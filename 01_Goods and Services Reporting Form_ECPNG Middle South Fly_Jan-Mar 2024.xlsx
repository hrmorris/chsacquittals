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CHS ACQUITTALS\CHS Reports\2024\"/>
    </mc:Choice>
  </mc:AlternateContent>
  <xr:revisionPtr revIDLastSave="0" documentId="13_ncr:1_{71A08E35-769F-4F09-9108-77CC0001AA4F}" xr6:coauthVersionLast="47" xr6:coauthVersionMax="47" xr10:uidLastSave="{00000000-0000-0000-0000-000000000000}"/>
  <bookViews>
    <workbookView xWindow="-120" yWindow="-120" windowWidth="29040" windowHeight="15720" tabRatio="783" xr2:uid="{C9B0F2D9-F3A1-4AA1-9DAE-EC82F0E5E651}"/>
  </bookViews>
  <sheets>
    <sheet name="Summary" sheetId="1" r:id="rId1"/>
    <sheet name="Administration" sheetId="2" r:id="rId2"/>
    <sheet name="BalimoDistHosp" sheetId="3" r:id="rId3"/>
    <sheet name="AwabaHSC" sheetId="4" r:id="rId4"/>
    <sheet name="AdibaHSC" sheetId="5" r:id="rId5"/>
    <sheet name="MapodoHSC" sheetId="6" r:id="rId6"/>
    <sheet name="WasuaHSC" sheetId="7" r:id="rId7"/>
    <sheet name="WawoiFallsHSC" sheetId="8" r:id="rId8"/>
    <sheet name="SukiHSC" sheetId="9" r:id="rId9"/>
    <sheet name="UpiaraHSC" sheetId="10" r:id="rId10"/>
    <sheet name="KewaAP" sheetId="11" r:id="rId11"/>
    <sheet name="KimamaAP" sheetId="12" r:id="rId12"/>
    <sheet name="KenewaAP" sheetId="13" r:id="rId13"/>
    <sheet name="SaiwaseAP" sheetId="14" r:id="rId14"/>
    <sheet name="DuwabaAP" sheetId="15" r:id="rId15"/>
    <sheet name="DewaraAP" sheetId="16" r:id="rId16"/>
    <sheet name="DimisisiAP" sheetId="21" r:id="rId17"/>
    <sheet name="KiriwoAP" sheetId="17" r:id="rId18"/>
    <sheet name="LewadaAP" sheetId="18" r:id="rId19"/>
    <sheet name="SomokopaAP" sheetId="19" r:id="rId20"/>
    <sheet name="PariameAP" sheetId="20" r:id="rId21"/>
  </sheets>
  <definedNames>
    <definedName name="FacLi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7" i="1" l="1"/>
  <c r="F266" i="1"/>
  <c r="F264" i="1"/>
  <c r="F263" i="1"/>
  <c r="F265" i="1"/>
  <c r="C259" i="1"/>
  <c r="C258" i="1"/>
  <c r="F147" i="1"/>
  <c r="F146" i="1"/>
  <c r="F144" i="1"/>
  <c r="F143" i="1"/>
  <c r="C136" i="1"/>
  <c r="C256" i="1" s="1"/>
  <c r="F27" i="1"/>
  <c r="F26" i="1"/>
  <c r="F24" i="1"/>
  <c r="F25" i="1"/>
  <c r="F23" i="1" l="1"/>
  <c r="C18" i="1"/>
  <c r="C19" i="1"/>
  <c r="E28" i="1"/>
  <c r="F22" i="1"/>
  <c r="C139" i="1"/>
  <c r="C138" i="1"/>
  <c r="F145" i="1"/>
  <c r="F28" i="1" l="1"/>
  <c r="F84" i="1" l="1"/>
  <c r="F156" i="1"/>
  <c r="F98" i="1"/>
  <c r="E104" i="1"/>
  <c r="F104" i="1" s="1"/>
  <c r="F172" i="1"/>
  <c r="F197" i="1"/>
  <c r="F274" i="1"/>
  <c r="E96" i="1"/>
  <c r="F96" i="1" s="1"/>
  <c r="F87" i="1"/>
  <c r="F327" i="1"/>
  <c r="E336" i="1"/>
  <c r="F336" i="1" s="1"/>
  <c r="F183" i="1"/>
  <c r="F343" i="1"/>
  <c r="E325" i="1"/>
  <c r="F325" i="1" s="1"/>
  <c r="F320" i="1"/>
  <c r="F33" i="1"/>
  <c r="F213" i="1"/>
  <c r="F290" i="1"/>
  <c r="F115" i="1"/>
  <c r="F355" i="1"/>
  <c r="E167" i="1"/>
  <c r="F167" i="1" s="1"/>
  <c r="F159" i="1"/>
  <c r="F323" i="1"/>
  <c r="F36" i="1"/>
  <c r="F58" i="1"/>
  <c r="F202" i="1"/>
  <c r="F222" i="1"/>
  <c r="E287" i="1"/>
  <c r="F287" i="1" s="1"/>
  <c r="F279" i="1"/>
  <c r="F299" i="1"/>
  <c r="F113" i="1"/>
  <c r="F353" i="1"/>
  <c r="F51" i="1"/>
  <c r="F164" i="1"/>
  <c r="F83" i="1"/>
  <c r="F328" i="1"/>
  <c r="F324" i="1"/>
  <c r="F35" i="1"/>
  <c r="F338" i="1"/>
  <c r="E344" i="1"/>
  <c r="F344" i="1" s="1"/>
  <c r="F43" i="1"/>
  <c r="F219" i="1"/>
  <c r="F294" i="1"/>
  <c r="F162" i="1"/>
  <c r="F81" i="1"/>
  <c r="F101" i="1"/>
  <c r="E85" i="1"/>
  <c r="F85" i="1" s="1"/>
  <c r="F80" i="1"/>
  <c r="E157" i="1"/>
  <c r="F152" i="1"/>
  <c r="F234" i="1"/>
  <c r="F77" i="1"/>
  <c r="F317" i="1"/>
  <c r="F103" i="1"/>
  <c r="F179" i="1"/>
  <c r="E348" i="1"/>
  <c r="F348" i="1" s="1"/>
  <c r="F346" i="1"/>
  <c r="F46" i="1"/>
  <c r="F212" i="1"/>
  <c r="F233" i="1"/>
  <c r="F289" i="1"/>
  <c r="E295" i="1"/>
  <c r="F295" i="1" s="1"/>
  <c r="F75" i="1"/>
  <c r="F315" i="1"/>
  <c r="F112" i="1"/>
  <c r="F354" i="1"/>
  <c r="F89" i="1"/>
  <c r="F329" i="1"/>
  <c r="F161" i="1"/>
  <c r="F39" i="1"/>
  <c r="E47" i="1"/>
  <c r="F47" i="1" s="1"/>
  <c r="F59" i="1"/>
  <c r="F195" i="1"/>
  <c r="E216" i="1"/>
  <c r="F216" i="1" s="1"/>
  <c r="F207" i="1"/>
  <c r="F215" i="1"/>
  <c r="F227" i="1"/>
  <c r="F272" i="1"/>
  <c r="E277" i="1"/>
  <c r="F282" i="1"/>
  <c r="F292" i="1"/>
  <c r="F304" i="1"/>
  <c r="F82" i="1"/>
  <c r="F100" i="1"/>
  <c r="F155" i="1"/>
  <c r="F178" i="1"/>
  <c r="F322" i="1"/>
  <c r="F340" i="1"/>
  <c r="F74" i="1"/>
  <c r="E78" i="1"/>
  <c r="F78" i="1" s="1"/>
  <c r="F99" i="1"/>
  <c r="F154" i="1"/>
  <c r="F174" i="1"/>
  <c r="F316" i="1"/>
  <c r="F341" i="1"/>
  <c r="F34" i="1"/>
  <c r="F44" i="1"/>
  <c r="F54" i="1"/>
  <c r="F68" i="1"/>
  <c r="F72" i="1" s="1"/>
  <c r="E72" i="1"/>
  <c r="F200" i="1"/>
  <c r="E205" i="1"/>
  <c r="F205" i="1" s="1"/>
  <c r="F210" i="1"/>
  <c r="F220" i="1"/>
  <c r="F231" i="1"/>
  <c r="F275" i="1"/>
  <c r="F285" i="1"/>
  <c r="F297" i="1"/>
  <c r="E300" i="1"/>
  <c r="F300" i="1" s="1"/>
  <c r="F160" i="1"/>
  <c r="F76" i="1"/>
  <c r="F321" i="1"/>
  <c r="F57" i="1"/>
  <c r="E60" i="1"/>
  <c r="F60" i="1" s="1"/>
  <c r="F173" i="1"/>
  <c r="F94" i="1"/>
  <c r="F339" i="1"/>
  <c r="F65" i="1"/>
  <c r="F209" i="1"/>
  <c r="F230" i="1"/>
  <c r="F284" i="1"/>
  <c r="E312" i="1"/>
  <c r="F308" i="1"/>
  <c r="F312" i="1" s="1"/>
  <c r="F107" i="1"/>
  <c r="F185" i="1"/>
  <c r="F347" i="1"/>
  <c r="F102" i="1"/>
  <c r="F342" i="1"/>
  <c r="F177" i="1"/>
  <c r="E180" i="1"/>
  <c r="F180" i="1" s="1"/>
  <c r="F45" i="1"/>
  <c r="F153" i="1"/>
  <c r="E318" i="1"/>
  <c r="F318" i="1" s="1"/>
  <c r="F314" i="1"/>
  <c r="F53" i="1"/>
  <c r="F203" i="1"/>
  <c r="F223" i="1"/>
  <c r="F280" i="1"/>
  <c r="E306" i="1"/>
  <c r="F302" i="1"/>
  <c r="F306" i="1" s="1"/>
  <c r="F95" i="1"/>
  <c r="F171" i="1"/>
  <c r="F335" i="1"/>
  <c r="F92" i="1"/>
  <c r="F114" i="1"/>
  <c r="F170" i="1"/>
  <c r="F334" i="1"/>
  <c r="F32" i="1"/>
  <c r="F37" i="1" s="1"/>
  <c r="E37" i="1"/>
  <c r="F42" i="1"/>
  <c r="F52" i="1"/>
  <c r="F64" i="1"/>
  <c r="F196" i="1"/>
  <c r="F208" i="1"/>
  <c r="F218" i="1"/>
  <c r="E224" i="1"/>
  <c r="F224" i="1" s="1"/>
  <c r="F229" i="1"/>
  <c r="F273" i="1"/>
  <c r="F283" i="1"/>
  <c r="F293" i="1"/>
  <c r="F305" i="1"/>
  <c r="F93" i="1"/>
  <c r="E175" i="1"/>
  <c r="F175" i="1" s="1"/>
  <c r="F169" i="1"/>
  <c r="F333" i="1"/>
  <c r="F90" i="1"/>
  <c r="F165" i="1"/>
  <c r="F332" i="1"/>
  <c r="F41" i="1"/>
  <c r="F63" i="1"/>
  <c r="F109" i="1"/>
  <c r="E192" i="1"/>
  <c r="F188" i="1"/>
  <c r="F192" i="1" s="1"/>
  <c r="F349" i="1"/>
  <c r="F106" i="1"/>
  <c r="E108" i="1"/>
  <c r="F108" i="1" s="1"/>
  <c r="E186" i="1"/>
  <c r="F182" i="1"/>
  <c r="F186" i="1" s="1"/>
  <c r="F350" i="1"/>
  <c r="F49" i="1"/>
  <c r="E55" i="1"/>
  <c r="F55" i="1" s="1"/>
  <c r="F201" i="1"/>
  <c r="F211" i="1"/>
  <c r="F221" i="1"/>
  <c r="F232" i="1"/>
  <c r="F276" i="1"/>
  <c r="F286" i="1"/>
  <c r="F298" i="1"/>
  <c r="F91" i="1"/>
  <c r="F111" i="1"/>
  <c r="F166" i="1"/>
  <c r="F331" i="1"/>
  <c r="F351" i="1"/>
  <c r="F88" i="1"/>
  <c r="F110" i="1"/>
  <c r="F163" i="1"/>
  <c r="F184" i="1"/>
  <c r="F330" i="1"/>
  <c r="F352" i="1"/>
  <c r="F40" i="1"/>
  <c r="F50" i="1"/>
  <c r="F62" i="1"/>
  <c r="F66" i="1" s="1"/>
  <c r="E66" i="1"/>
  <c r="F194" i="1"/>
  <c r="E198" i="1"/>
  <c r="F198" i="1" s="1"/>
  <c r="F204" i="1"/>
  <c r="F214" i="1"/>
  <c r="E228" i="1"/>
  <c r="F228" i="1" s="1"/>
  <c r="F226" i="1"/>
  <c r="F235" i="1"/>
  <c r="F281" i="1"/>
  <c r="F291" i="1"/>
  <c r="F303" i="1"/>
  <c r="F116" i="1" l="1"/>
  <c r="F118" i="1" s="1"/>
  <c r="E142" i="1" s="1"/>
  <c r="F277" i="1"/>
  <c r="F356" i="1" s="1"/>
  <c r="F157" i="1"/>
  <c r="F236" i="1" s="1"/>
  <c r="E116" i="1"/>
  <c r="E118" i="1" s="1"/>
  <c r="E356" i="1"/>
  <c r="E236" i="1"/>
  <c r="F142" i="1" l="1"/>
  <c r="E148" i="1"/>
  <c r="F148" i="1" l="1"/>
  <c r="F238" i="1" s="1"/>
  <c r="E262" i="1" s="1"/>
  <c r="E238" i="1"/>
  <c r="F262" i="1" l="1"/>
  <c r="E268" i="1"/>
  <c r="E358" i="1" l="1"/>
  <c r="F268" i="1"/>
  <c r="F358" i="1" s="1"/>
</calcChain>
</file>

<file path=xl/sharedStrings.xml><?xml version="1.0" encoding="utf-8"?>
<sst xmlns="http://schemas.openxmlformats.org/spreadsheetml/2006/main" count="7544" uniqueCount="131">
  <si>
    <t>ENTRY FORM</t>
  </si>
  <si>
    <t>Region:</t>
  </si>
  <si>
    <t>Health Manager:</t>
  </si>
  <si>
    <t>Province:</t>
  </si>
  <si>
    <t>Email Address</t>
  </si>
  <si>
    <t>Name of Church Agency:</t>
  </si>
  <si>
    <t>Phone Number:</t>
  </si>
  <si>
    <t>Facility:</t>
  </si>
  <si>
    <t>Month</t>
  </si>
  <si>
    <t>Year</t>
  </si>
  <si>
    <t>INCOME</t>
  </si>
  <si>
    <t>TOTAL</t>
  </si>
  <si>
    <t>BAL B/Fwd</t>
  </si>
  <si>
    <t>CMC Operational Grants</t>
  </si>
  <si>
    <t>143:1 USER FEES (Free Health Care)</t>
  </si>
  <si>
    <t>143:2 LOCAL FUNDS</t>
  </si>
  <si>
    <t>143:3 EXTERNAL FUNDS</t>
  </si>
  <si>
    <t>143:4 INTERESTS &amp; TAX REBATES</t>
  </si>
  <si>
    <t>Total Income</t>
  </si>
  <si>
    <t>EXPENDITURE</t>
  </si>
  <si>
    <t>TRAVEL AND SUBSISTENCE</t>
  </si>
  <si>
    <t>MCH CLINICS</t>
  </si>
  <si>
    <t>PATIENT TFR</t>
  </si>
  <si>
    <t>STAFF TRAVEL</t>
  </si>
  <si>
    <t>ALLOWANCES (ACCOM &amp; TRANSPORT)</t>
  </si>
  <si>
    <t>ACCOMODATION</t>
  </si>
  <si>
    <t>S/Total</t>
  </si>
  <si>
    <t>UTILITIES</t>
  </si>
  <si>
    <t>PHONE/FAX</t>
  </si>
  <si>
    <t>POSTAGE - STAMPS</t>
  </si>
  <si>
    <t>INTERNET &amp; EMAIL</t>
  </si>
  <si>
    <t>ELECTRICITY - Solar Expense</t>
  </si>
  <si>
    <t>GAS</t>
  </si>
  <si>
    <t>COURIER - FREIGHT &amp; DELIVERY</t>
  </si>
  <si>
    <t>CLEANING &amp; REMOVAL</t>
  </si>
  <si>
    <t>WATER &amp; SEWERAGE</t>
  </si>
  <si>
    <t>OFFICE MATERIALS AND SUPPLIES</t>
  </si>
  <si>
    <t>STATIONERY</t>
  </si>
  <si>
    <t>SUPPLIES (MEDICAL)</t>
  </si>
  <si>
    <t>CONSUMABLES (TONER, CATRIDGES, etc</t>
  </si>
  <si>
    <t>EQUIPMENT &amp; SOFTWARE (STAPLES,CALCULATORS, CD)</t>
  </si>
  <si>
    <t>LIBRARY BOOKS, PERIODICALS,JOURNALS,MAGAZINES</t>
  </si>
  <si>
    <t>AMENITIES (TEA SUPPLIES, TOILETERIES,ETC)</t>
  </si>
  <si>
    <t>OPERATIONAL MATERIALS AND SUPPLIES</t>
  </si>
  <si>
    <t>PATIENT RATIONS</t>
  </si>
  <si>
    <t>MEDICAL EQUIPMENT &amp; SUPPLIES</t>
  </si>
  <si>
    <t>FREIGHT (air/road/sea)</t>
  </si>
  <si>
    <t>TRANSPORT AND FUEL</t>
  </si>
  <si>
    <t xml:space="preserve">Vehicle Hire </t>
  </si>
  <si>
    <t xml:space="preserve">Dinghy Hire </t>
  </si>
  <si>
    <t xml:space="preserve">Fuel Cost </t>
  </si>
  <si>
    <t xml:space="preserve">Oil </t>
  </si>
  <si>
    <t>ADMINISTRATIVE CONSULTANCY FEES</t>
  </si>
  <si>
    <t>AUDIT/ACCOUNTING SUPPORT</t>
  </si>
  <si>
    <t>LEGAL</t>
  </si>
  <si>
    <t>IT &amp; COMPUTER SUPPORT</t>
  </si>
  <si>
    <t>VALUATION,ASSESSMENTS</t>
  </si>
  <si>
    <t>RENTAL OF PROPERTY</t>
  </si>
  <si>
    <t xml:space="preserve">Building Rent </t>
  </si>
  <si>
    <t xml:space="preserve">Machine Rent </t>
  </si>
  <si>
    <t xml:space="preserve">Equipment Rent </t>
  </si>
  <si>
    <t>Furnitures &amp; Fittings</t>
  </si>
  <si>
    <t>ROUTINE MAINTENANCE EXP</t>
  </si>
  <si>
    <t>EQUIPMENT</t>
  </si>
  <si>
    <t>FURNITURE</t>
  </si>
  <si>
    <t>BUILDINGS</t>
  </si>
  <si>
    <t>VEHICLE</t>
  </si>
  <si>
    <t>GENERAL (DRAINANGE,PLUMBING,OTH)</t>
  </si>
  <si>
    <t>OTHER OPERATIONAL EXPS</t>
  </si>
  <si>
    <t>ADVERTISEMENT</t>
  </si>
  <si>
    <t>CASUAL EMPLOYEES (PAYS)</t>
  </si>
  <si>
    <t>CLEANING &amp; REMOVALS</t>
  </si>
  <si>
    <t>INSURANCE</t>
  </si>
  <si>
    <t>PRINTING &amp; SUBSCRIPTIONS</t>
  </si>
  <si>
    <t>PROPERTY TAX</t>
  </si>
  <si>
    <t>RECRUITMENT &amp; INTERVIEWS</t>
  </si>
  <si>
    <t>REPATRIATION</t>
  </si>
  <si>
    <t>ELECTION EXP</t>
  </si>
  <si>
    <t>TRAINING</t>
  </si>
  <si>
    <t xml:space="preserve">Materials Cost for Training </t>
  </si>
  <si>
    <t xml:space="preserve">Volunteering Worker Pay </t>
  </si>
  <si>
    <t xml:space="preserve">Equipment Hire </t>
  </si>
  <si>
    <t xml:space="preserve">Venue Hire </t>
  </si>
  <si>
    <t xml:space="preserve">ACCOMODATION </t>
  </si>
  <si>
    <t xml:space="preserve">Vehicle/Dinghy Hire </t>
  </si>
  <si>
    <t>MEMBERSHIP FEES, SUBSCRIPTIONS &amp; OTHERS</t>
  </si>
  <si>
    <t xml:space="preserve">ANNUAL CONFERENCE </t>
  </si>
  <si>
    <t>MEMBERSHIP FEES</t>
  </si>
  <si>
    <t>GRANTS TO INDIVIDUALS &amp; NPO</t>
  </si>
  <si>
    <t>PURCHASE OF FURNITURE &amp; OFFICE EQUIPMENT</t>
  </si>
  <si>
    <t>PURCHASE OF VEHICLES</t>
  </si>
  <si>
    <t>PURCHASE OF PLANT, EQUIPMENT &amp; MACHINERY</t>
  </si>
  <si>
    <t>CONSTRUCTION, RENOVATION &amp; IMPROVEMENT</t>
  </si>
  <si>
    <t>SUBSTANTIAL &amp; SPECIFIC MAINTENANCE</t>
  </si>
  <si>
    <t>Advance to Salary/Project/Store Accts</t>
  </si>
  <si>
    <t>TOTAL FUNDS EXPENSED</t>
  </si>
  <si>
    <t>SURPLUS/DEFICIT</t>
  </si>
  <si>
    <t>SOUTHERN</t>
  </si>
  <si>
    <t>MR. HECTOR MORRIS</t>
  </si>
  <si>
    <t>WESTERN</t>
  </si>
  <si>
    <t>healthsecretary@ecpnghslfha.org</t>
  </si>
  <si>
    <t>EVANGELICAL CHURCH OF PAPUA NEW GUINEA</t>
  </si>
  <si>
    <t>ECPNG MIDDLE SOUTH FLY-BALIMO &amp; FACILITIES</t>
  </si>
  <si>
    <t>JANUARY</t>
  </si>
  <si>
    <t>FEBRUARY</t>
  </si>
  <si>
    <t>MARCH</t>
  </si>
  <si>
    <t>APRIL</t>
  </si>
  <si>
    <t>71979183/71885547</t>
  </si>
  <si>
    <t>ADMINISTRATION</t>
  </si>
  <si>
    <t>From</t>
  </si>
  <si>
    <t>To</t>
  </si>
  <si>
    <t>BALIMO DIST HOSP</t>
  </si>
  <si>
    <t>ADIBA HSC</t>
  </si>
  <si>
    <t>AWABA HSC</t>
  </si>
  <si>
    <t>MAPODO HSC</t>
  </si>
  <si>
    <t>WASUA HSC</t>
  </si>
  <si>
    <t>WAWOI FALLS HSC</t>
  </si>
  <si>
    <t>SUKI HSC</t>
  </si>
  <si>
    <t>UPIARA HSC</t>
  </si>
  <si>
    <t>KEWA AP</t>
  </si>
  <si>
    <t>KIMAMA AP</t>
  </si>
  <si>
    <t>KENEWA AP</t>
  </si>
  <si>
    <t>SAIWASE AP</t>
  </si>
  <si>
    <t>DUWABA AP</t>
  </si>
  <si>
    <t>DEWARA AP</t>
  </si>
  <si>
    <t>DIMISISI AP</t>
  </si>
  <si>
    <t>KIRIWO AP</t>
  </si>
  <si>
    <t>LEWADA AP</t>
  </si>
  <si>
    <t>SOMOKOPA AP</t>
  </si>
  <si>
    <t>PARIAME AP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</si>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</sst>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K&quot;* #,##0.00_-;\-&quot;K&quot;* #,##0.00_-;_-&quot;K&quot;* &quot;-&quot;??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8"/>
      <color theme="3"/>
      <name val="Calibri"/>
      <family val="2"/>
      <scheme val="minor"/>
    </font>
    <font>
      <b/>
      <sz val="16"/>
      <name val="Arial"/>
      <family val="2"/>
    </font>
    <font>
      <b/>
      <sz val="10"/>
      <name val="Albertus"/>
    </font>
    <font>
      <sz val="11"/>
      <name val="Albertus"/>
      <family val="2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1"/>
      <name val="Arial"/>
      <family val="2"/>
    </font>
    <font>
      <sz val="10"/>
      <name val="Albertus"/>
      <family val="2"/>
    </font>
    <font>
      <b/>
      <sz val="10"/>
      <color indexed="10"/>
      <name val="Arial"/>
      <family val="2"/>
    </font>
    <font>
      <sz val="14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8"/>
      <color theme="1"/>
      <name val="Arial"/>
      <family val="2"/>
    </font>
    <font>
      <sz val="9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b/>
      <u/>
      <sz val="8"/>
      <name val="Arial"/>
      <family val="2"/>
    </font>
    <font>
      <u/>
      <sz val="10"/>
      <name val="Arial"/>
      <family val="2"/>
    </font>
    <font>
      <u/>
      <sz val="10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medium">
        <color auto="1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auto="1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dotted">
        <color auto="1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otted">
        <color auto="1"/>
      </right>
      <top/>
      <bottom/>
      <diagonal/>
    </border>
    <border>
      <left style="medium">
        <color indexed="64"/>
      </left>
      <right style="dotted">
        <color auto="1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2" applyNumberFormat="0" applyAlignment="0" applyProtection="0"/>
    <xf numFmtId="0" fontId="5" fillId="0" borderId="0"/>
    <xf numFmtId="0" fontId="12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96">
    <xf numFmtId="0" fontId="0" fillId="0" borderId="0" xfId="0"/>
    <xf numFmtId="0" fontId="6" fillId="3" borderId="3" xfId="4" applyFont="1" applyFill="1" applyBorder="1"/>
    <xf numFmtId="0" fontId="6" fillId="3" borderId="4" xfId="4" applyFont="1" applyFill="1" applyBorder="1"/>
    <xf numFmtId="0" fontId="6" fillId="3" borderId="5" xfId="4" applyFont="1" applyFill="1" applyBorder="1"/>
    <xf numFmtId="0" fontId="6" fillId="3" borderId="6" xfId="4" applyFont="1" applyFill="1" applyBorder="1"/>
    <xf numFmtId="0" fontId="6" fillId="3" borderId="0" xfId="4" applyFont="1" applyFill="1"/>
    <xf numFmtId="0" fontId="6" fillId="3" borderId="7" xfId="4" applyFont="1" applyFill="1" applyBorder="1"/>
    <xf numFmtId="0" fontId="8" fillId="3" borderId="0" xfId="4" applyFont="1" applyFill="1" applyAlignment="1">
      <alignment horizontal="right" vertical="center"/>
    </xf>
    <xf numFmtId="0" fontId="4" fillId="3" borderId="8" xfId="0" applyFont="1" applyFill="1" applyBorder="1" applyAlignment="1">
      <alignment horizontal="right" vertical="center"/>
    </xf>
    <xf numFmtId="0" fontId="3" fillId="4" borderId="2" xfId="3" applyFill="1" applyProtection="1">
      <protection locked="0"/>
    </xf>
    <xf numFmtId="0" fontId="9" fillId="3" borderId="0" xfId="4" applyFont="1" applyFill="1" applyAlignment="1">
      <alignment horizontal="right" vertical="center"/>
    </xf>
    <xf numFmtId="0" fontId="10" fillId="3" borderId="0" xfId="4" applyFont="1" applyFill="1"/>
    <xf numFmtId="0" fontId="11" fillId="3" borderId="0" xfId="4" applyFont="1" applyFill="1" applyAlignment="1">
      <alignment horizontal="right" vertical="center"/>
    </xf>
    <xf numFmtId="0" fontId="10" fillId="3" borderId="0" xfId="4" applyFont="1" applyFill="1" applyAlignment="1">
      <alignment horizontal="right" vertical="center"/>
    </xf>
    <xf numFmtId="0" fontId="11" fillId="3" borderId="8" xfId="4" applyFont="1" applyFill="1" applyBorder="1" applyAlignment="1">
      <alignment horizontal="right" vertical="center"/>
    </xf>
    <xf numFmtId="0" fontId="3" fillId="4" borderId="9" xfId="3" applyNumberFormat="1" applyFill="1" applyBorder="1" applyProtection="1">
      <protection locked="0"/>
    </xf>
    <xf numFmtId="0" fontId="13" fillId="3" borderId="6" xfId="4" applyFont="1" applyFill="1" applyBorder="1" applyAlignment="1">
      <alignment horizontal="right"/>
    </xf>
    <xf numFmtId="0" fontId="6" fillId="4" borderId="10" xfId="4" applyFont="1" applyFill="1" applyBorder="1" applyAlignment="1" applyProtection="1">
      <alignment horizontal="left" vertical="center"/>
      <protection locked="0"/>
    </xf>
    <xf numFmtId="0" fontId="13" fillId="3" borderId="7" xfId="4" applyFont="1" applyFill="1" applyBorder="1" applyAlignment="1">
      <alignment horizontal="center"/>
    </xf>
    <xf numFmtId="0" fontId="6" fillId="3" borderId="11" xfId="4" applyFont="1" applyFill="1" applyBorder="1"/>
    <xf numFmtId="0" fontId="15" fillId="3" borderId="11" xfId="4" applyFont="1" applyFill="1" applyBorder="1"/>
    <xf numFmtId="0" fontId="13" fillId="3" borderId="11" xfId="4" applyFont="1" applyFill="1" applyBorder="1" applyAlignment="1">
      <alignment horizontal="center"/>
    </xf>
    <xf numFmtId="0" fontId="16" fillId="3" borderId="12" xfId="4" applyFont="1" applyFill="1" applyBorder="1"/>
    <xf numFmtId="0" fontId="16" fillId="3" borderId="13" xfId="4" applyFont="1" applyFill="1" applyBorder="1"/>
    <xf numFmtId="0" fontId="6" fillId="3" borderId="14" xfId="4" applyFont="1" applyFill="1" applyBorder="1"/>
    <xf numFmtId="0" fontId="13" fillId="3" borderId="15" xfId="4" applyFont="1" applyFill="1" applyBorder="1" applyAlignment="1">
      <alignment horizontal="center"/>
    </xf>
    <xf numFmtId="0" fontId="11" fillId="3" borderId="0" xfId="4" applyFont="1" applyFill="1"/>
    <xf numFmtId="43" fontId="17" fillId="4" borderId="16" xfId="1" applyFont="1" applyFill="1" applyBorder="1" applyAlignment="1" applyProtection="1">
      <alignment horizontal="center"/>
      <protection locked="0"/>
    </xf>
    <xf numFmtId="43" fontId="18" fillId="3" borderId="17" xfId="4" applyNumberFormat="1" applyFont="1" applyFill="1" applyBorder="1" applyAlignment="1">
      <alignment horizontal="center"/>
    </xf>
    <xf numFmtId="164" fontId="13" fillId="3" borderId="7" xfId="4" applyNumberFormat="1" applyFont="1" applyFill="1" applyBorder="1" applyAlignment="1">
      <alignment horizontal="center"/>
    </xf>
    <xf numFmtId="0" fontId="19" fillId="3" borderId="6" xfId="4" applyFont="1" applyFill="1" applyBorder="1"/>
    <xf numFmtId="0" fontId="20" fillId="3" borderId="0" xfId="4" applyFont="1" applyFill="1"/>
    <xf numFmtId="43" fontId="18" fillId="3" borderId="19" xfId="4" applyNumberFormat="1" applyFont="1" applyFill="1" applyBorder="1" applyAlignment="1">
      <alignment horizontal="center"/>
    </xf>
    <xf numFmtId="43" fontId="13" fillId="3" borderId="7" xfId="4" applyNumberFormat="1" applyFont="1" applyFill="1" applyBorder="1"/>
    <xf numFmtId="0" fontId="17" fillId="3" borderId="0" xfId="4" applyFont="1" applyFill="1" applyAlignment="1">
      <alignment horizontal="left" indent="1"/>
    </xf>
    <xf numFmtId="0" fontId="13" fillId="3" borderId="0" xfId="4" applyFont="1" applyFill="1" applyAlignment="1">
      <alignment horizontal="left"/>
    </xf>
    <xf numFmtId="43" fontId="19" fillId="3" borderId="18" xfId="1" applyFont="1" applyFill="1" applyBorder="1" applyProtection="1"/>
    <xf numFmtId="44" fontId="18" fillId="3" borderId="19" xfId="4" applyNumberFormat="1" applyFont="1" applyFill="1" applyBorder="1" applyAlignment="1">
      <alignment horizontal="center"/>
    </xf>
    <xf numFmtId="164" fontId="13" fillId="3" borderId="7" xfId="4" applyNumberFormat="1" applyFont="1" applyFill="1" applyBorder="1"/>
    <xf numFmtId="0" fontId="18" fillId="3" borderId="0" xfId="4" applyFont="1" applyFill="1"/>
    <xf numFmtId="164" fontId="18" fillId="3" borderId="20" xfId="6" applyFont="1" applyFill="1" applyBorder="1" applyProtection="1"/>
    <xf numFmtId="164" fontId="13" fillId="3" borderId="21" xfId="4" applyNumberFormat="1" applyFont="1" applyFill="1" applyBorder="1"/>
    <xf numFmtId="164" fontId="18" fillId="3" borderId="14" xfId="6" applyFont="1" applyFill="1" applyBorder="1" applyProtection="1"/>
    <xf numFmtId="164" fontId="13" fillId="3" borderId="22" xfId="4" applyNumberFormat="1" applyFont="1" applyFill="1" applyBorder="1"/>
    <xf numFmtId="0" fontId="18" fillId="3" borderId="6" xfId="4" applyFont="1" applyFill="1" applyBorder="1"/>
    <xf numFmtId="165" fontId="18" fillId="3" borderId="16" xfId="4" applyNumberFormat="1" applyFont="1" applyFill="1" applyBorder="1"/>
    <xf numFmtId="44" fontId="19" fillId="3" borderId="17" xfId="1" applyNumberFormat="1" applyFont="1" applyFill="1" applyBorder="1" applyProtection="1"/>
    <xf numFmtId="165" fontId="13" fillId="3" borderId="7" xfId="4" applyNumberFormat="1" applyFont="1" applyFill="1" applyBorder="1"/>
    <xf numFmtId="0" fontId="17" fillId="3" borderId="0" xfId="4" applyFont="1" applyFill="1"/>
    <xf numFmtId="43" fontId="21" fillId="4" borderId="18" xfId="1" applyFont="1" applyFill="1" applyBorder="1" applyProtection="1">
      <protection locked="0"/>
    </xf>
    <xf numFmtId="43" fontId="19" fillId="3" borderId="19" xfId="1" applyFont="1" applyFill="1" applyBorder="1" applyProtection="1"/>
    <xf numFmtId="0" fontId="17" fillId="3" borderId="6" xfId="4" applyFont="1" applyFill="1" applyBorder="1"/>
    <xf numFmtId="165" fontId="6" fillId="3" borderId="7" xfId="4" applyNumberFormat="1" applyFont="1" applyFill="1" applyBorder="1"/>
    <xf numFmtId="0" fontId="18" fillId="3" borderId="0" xfId="4" applyFont="1" applyFill="1" applyAlignment="1">
      <alignment horizontal="center"/>
    </xf>
    <xf numFmtId="44" fontId="19" fillId="3" borderId="19" xfId="1" applyNumberFormat="1" applyFont="1" applyFill="1" applyBorder="1" applyProtection="1"/>
    <xf numFmtId="165" fontId="13" fillId="3" borderId="7" xfId="6" applyNumberFormat="1" applyFont="1" applyFill="1" applyBorder="1" applyProtection="1"/>
    <xf numFmtId="43" fontId="21" fillId="3" borderId="18" xfId="1" applyFont="1" applyFill="1" applyBorder="1" applyProtection="1"/>
    <xf numFmtId="43" fontId="21" fillId="3" borderId="19" xfId="1" applyFont="1" applyFill="1" applyBorder="1" applyProtection="1"/>
    <xf numFmtId="43" fontId="19" fillId="4" borderId="18" xfId="1" applyFont="1" applyFill="1" applyBorder="1" applyProtection="1">
      <protection locked="0"/>
    </xf>
    <xf numFmtId="0" fontId="22" fillId="3" borderId="0" xfId="0" applyFont="1" applyFill="1"/>
    <xf numFmtId="0" fontId="13" fillId="3" borderId="7" xfId="4" applyFont="1" applyFill="1" applyBorder="1"/>
    <xf numFmtId="0" fontId="17" fillId="3" borderId="23" xfId="4" applyFont="1" applyFill="1" applyBorder="1"/>
    <xf numFmtId="0" fontId="18" fillId="3" borderId="11" xfId="4" applyFont="1" applyFill="1" applyBorder="1"/>
    <xf numFmtId="44" fontId="19" fillId="3" borderId="25" xfId="1" applyNumberFormat="1" applyFont="1" applyFill="1" applyBorder="1" applyProtection="1"/>
    <xf numFmtId="0" fontId="5" fillId="3" borderId="6" xfId="4" applyFill="1" applyBorder="1"/>
    <xf numFmtId="0" fontId="19" fillId="3" borderId="4" xfId="4" applyFont="1" applyFill="1" applyBorder="1"/>
    <xf numFmtId="0" fontId="19" fillId="3" borderId="5" xfId="4" applyFont="1" applyFill="1" applyBorder="1"/>
    <xf numFmtId="43" fontId="17" fillId="3" borderId="26" xfId="7" applyFont="1" applyFill="1" applyBorder="1" applyProtection="1"/>
    <xf numFmtId="44" fontId="11" fillId="3" borderId="17" xfId="7" applyNumberFormat="1" applyFont="1" applyFill="1" applyBorder="1" applyProtection="1"/>
    <xf numFmtId="43" fontId="23" fillId="3" borderId="7" xfId="7" applyFont="1" applyFill="1" applyBorder="1" applyProtection="1"/>
    <xf numFmtId="0" fontId="19" fillId="3" borderId="0" xfId="4" applyFont="1" applyFill="1"/>
    <xf numFmtId="0" fontId="19" fillId="3" borderId="7" xfId="4" applyFont="1" applyFill="1" applyBorder="1"/>
    <xf numFmtId="43" fontId="11" fillId="3" borderId="27" xfId="7" applyFont="1" applyFill="1" applyBorder="1" applyProtection="1"/>
    <xf numFmtId="43" fontId="23" fillId="3" borderId="25" xfId="7" applyFont="1" applyFill="1" applyBorder="1" applyProtection="1"/>
    <xf numFmtId="43" fontId="5" fillId="3" borderId="28" xfId="4" applyNumberFormat="1" applyFill="1" applyBorder="1"/>
    <xf numFmtId="44" fontId="13" fillId="3" borderId="29" xfId="4" applyNumberFormat="1" applyFont="1" applyFill="1" applyBorder="1"/>
    <xf numFmtId="0" fontId="5" fillId="3" borderId="7" xfId="4" applyFill="1" applyBorder="1"/>
    <xf numFmtId="0" fontId="5" fillId="3" borderId="23" xfId="4" applyFill="1" applyBorder="1"/>
    <xf numFmtId="0" fontId="5" fillId="3" borderId="11" xfId="4" applyFill="1" applyBorder="1"/>
    <xf numFmtId="0" fontId="5" fillId="3" borderId="30" xfId="4" applyFill="1" applyBorder="1"/>
    <xf numFmtId="0" fontId="0" fillId="0" borderId="7" xfId="0" applyBorder="1"/>
    <xf numFmtId="0" fontId="24" fillId="3" borderId="11" xfId="4" applyFont="1" applyFill="1" applyBorder="1"/>
    <xf numFmtId="0" fontId="26" fillId="4" borderId="2" xfId="5" applyFont="1" applyFill="1" applyBorder="1" applyProtection="1">
      <protection locked="0"/>
    </xf>
    <xf numFmtId="0" fontId="5" fillId="0" borderId="4" xfId="4" applyBorder="1"/>
    <xf numFmtId="0" fontId="25" fillId="0" borderId="0" xfId="4" applyFont="1"/>
    <xf numFmtId="0" fontId="5" fillId="0" borderId="0" xfId="4"/>
    <xf numFmtId="0" fontId="10" fillId="3" borderId="0" xfId="4" applyFont="1" applyFill="1" applyAlignment="1">
      <alignment horizontal="right"/>
    </xf>
    <xf numFmtId="14" fontId="6" fillId="3" borderId="0" xfId="4" applyNumberFormat="1" applyFont="1" applyFill="1"/>
    <xf numFmtId="0" fontId="14" fillId="3" borderId="0" xfId="4" applyFont="1" applyFill="1" applyAlignment="1">
      <alignment horizontal="right"/>
    </xf>
    <xf numFmtId="14" fontId="14" fillId="3" borderId="0" xfId="4" applyNumberFormat="1" applyFont="1" applyFill="1"/>
    <xf numFmtId="43" fontId="21" fillId="4" borderId="20" xfId="1" applyFont="1" applyFill="1" applyBorder="1" applyProtection="1">
      <protection locked="0"/>
    </xf>
    <xf numFmtId="43" fontId="17" fillId="3" borderId="31" xfId="7" applyFont="1" applyFill="1" applyBorder="1" applyProtection="1"/>
    <xf numFmtId="43" fontId="11" fillId="3" borderId="32" xfId="7" applyFont="1" applyFill="1" applyBorder="1" applyProtection="1"/>
    <xf numFmtId="43" fontId="5" fillId="3" borderId="33" xfId="4" applyNumberFormat="1" applyFill="1" applyBorder="1"/>
    <xf numFmtId="43" fontId="21" fillId="4" borderId="24" xfId="1" applyFont="1" applyFill="1" applyBorder="1" applyProtection="1">
      <protection locked="0"/>
    </xf>
    <xf numFmtId="0" fontId="7" fillId="3" borderId="1" xfId="2" applyFont="1" applyFill="1" applyAlignment="1" applyProtection="1">
      <alignment horizontal="center" vertical="center"/>
    </xf>
  </cellXfs>
  <cellStyles count="8">
    <cellStyle name="Comma" xfId="1" builtinId="3"/>
    <cellStyle name="Comma 5" xfId="7" xr:uid="{EBBEE6D4-D969-4AF9-A27D-0E008BA836F8}"/>
    <cellStyle name="Comma_AGENCY BUDGETING FORMAT" xfId="6" xr:uid="{E81134FE-4383-4867-91E5-9BDF98BA915C}"/>
    <cellStyle name="Heading 1" xfId="2" builtinId="16"/>
    <cellStyle name="Hyperlink" xfId="5" builtinId="8"/>
    <cellStyle name="Input" xfId="3" builtinId="20"/>
    <cellStyle name="Normal" xfId="0" builtinId="0"/>
    <cellStyle name="Normal 2" xfId="4" xr:uid="{DBF2E7B4-0595-4FF9-8BF6-E2CA65C6ED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226786</xdr:colOff>
      <xdr:row>8</xdr:row>
      <xdr:rowOff>132724</xdr:rowOff>
    </xdr:from>
    <xdr:to>
      <xdr:col>3</xdr:col>
      <xdr:colOff>177155</xdr:colOff>
      <xdr:row>19</xdr:row>
      <xdr:rowOff>106914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2339869-5C6B-45AC-87F6-C66D282FDB94}"/>
            </a:ext>
          </a:extLst>
        </xdr:cNvPr>
        <xdr:cNvSpPr/>
      </xdr:nvSpPr>
      <xdr:spPr>
        <a:xfrm>
          <a:off x="302986" y="165672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8</xdr:row>
      <xdr:rowOff>123070</xdr:rowOff>
    </xdr:from>
    <xdr:to>
      <xdr:col>6</xdr:col>
      <xdr:colOff>58316</xdr:colOff>
      <xdr:row>14</xdr:row>
      <xdr:rowOff>28702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68C44FD-4C70-4653-BCB6-81C86B12D633}"/>
            </a:ext>
          </a:extLst>
        </xdr:cNvPr>
        <xdr:cNvSpPr/>
      </xdr:nvSpPr>
      <xdr:spPr>
        <a:xfrm>
          <a:off x="5124515" y="164707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4</xdr:row>
      <xdr:rowOff>159641</xdr:rowOff>
    </xdr:from>
    <xdr:to>
      <xdr:col>4</xdr:col>
      <xdr:colOff>903147</xdr:colOff>
      <xdr:row>6</xdr:row>
      <xdr:rowOff>99299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E7F2CFA-065F-4AC5-A72B-138E09DD0E17}"/>
            </a:ext>
          </a:extLst>
        </xdr:cNvPr>
        <xdr:cNvSpPr/>
      </xdr:nvSpPr>
      <xdr:spPr>
        <a:xfrm>
          <a:off x="3270261" y="80734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</xdr:row>
      <xdr:rowOff>13272</xdr:rowOff>
    </xdr:from>
    <xdr:to>
      <xdr:col>5</xdr:col>
      <xdr:colOff>1456069</xdr:colOff>
      <xdr:row>7</xdr:row>
      <xdr:rowOff>217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23580AB-BC8A-4217-8E98-2AD8896EF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27997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3</xdr:row>
      <xdr:rowOff>73623</xdr:rowOff>
    </xdr:from>
    <xdr:to>
      <xdr:col>4</xdr:col>
      <xdr:colOff>1639151</xdr:colOff>
      <xdr:row>4</xdr:row>
      <xdr:rowOff>107456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02E7590-0FA0-4563-B663-9E915AE9CC4F}"/>
            </a:ext>
          </a:extLst>
        </xdr:cNvPr>
        <xdr:cNvSpPr txBox="1"/>
      </xdr:nvSpPr>
      <xdr:spPr>
        <a:xfrm>
          <a:off x="2618075" y="53082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</xdr:row>
      <xdr:rowOff>84234</xdr:rowOff>
    </xdr:from>
    <xdr:to>
      <xdr:col>4</xdr:col>
      <xdr:colOff>607428</xdr:colOff>
      <xdr:row>3</xdr:row>
      <xdr:rowOff>41009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9B958E1-3A61-4CA4-A360-2E6B808CFEB0}"/>
            </a:ext>
          </a:extLst>
        </xdr:cNvPr>
        <xdr:cNvSpPr txBox="1"/>
      </xdr:nvSpPr>
      <xdr:spPr>
        <a:xfrm>
          <a:off x="3498656" y="16043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</xdr:row>
      <xdr:rowOff>20221</xdr:rowOff>
    </xdr:from>
    <xdr:to>
      <xdr:col>2</xdr:col>
      <xdr:colOff>463860</xdr:colOff>
      <xdr:row>6</xdr:row>
      <xdr:rowOff>149030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E048B8C-BF4B-4EAF-9CCB-02625B4A6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286921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128</xdr:row>
      <xdr:rowOff>132724</xdr:rowOff>
    </xdr:from>
    <xdr:to>
      <xdr:col>3</xdr:col>
      <xdr:colOff>177155</xdr:colOff>
      <xdr:row>139</xdr:row>
      <xdr:rowOff>106914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0DAC09B5-A866-4DA7-AFCC-16D2E974816D}"/>
            </a:ext>
          </a:extLst>
        </xdr:cNvPr>
        <xdr:cNvSpPr/>
      </xdr:nvSpPr>
      <xdr:spPr>
        <a:xfrm>
          <a:off x="302986" y="24088099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128</xdr:row>
      <xdr:rowOff>123070</xdr:rowOff>
    </xdr:from>
    <xdr:to>
      <xdr:col>6</xdr:col>
      <xdr:colOff>58316</xdr:colOff>
      <xdr:row>134</xdr:row>
      <xdr:rowOff>28702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658F02EE-9D34-4BDC-B1A2-1AF2A1DF28A1}"/>
            </a:ext>
          </a:extLst>
        </xdr:cNvPr>
        <xdr:cNvSpPr/>
      </xdr:nvSpPr>
      <xdr:spPr>
        <a:xfrm>
          <a:off x="5124515" y="24078445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124</xdr:row>
      <xdr:rowOff>159641</xdr:rowOff>
    </xdr:from>
    <xdr:to>
      <xdr:col>4</xdr:col>
      <xdr:colOff>903147</xdr:colOff>
      <xdr:row>126</xdr:row>
      <xdr:rowOff>99299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3D1C277-979F-4710-8D67-A3042CE8847E}"/>
            </a:ext>
          </a:extLst>
        </xdr:cNvPr>
        <xdr:cNvSpPr/>
      </xdr:nvSpPr>
      <xdr:spPr>
        <a:xfrm>
          <a:off x="3270261" y="23238716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122</xdr:row>
      <xdr:rowOff>13272</xdr:rowOff>
    </xdr:from>
    <xdr:to>
      <xdr:col>5</xdr:col>
      <xdr:colOff>1456069</xdr:colOff>
      <xdr:row>127</xdr:row>
      <xdr:rowOff>217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FA30F09-AF5E-4D1F-9AF7-A39967066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22711347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123</xdr:row>
      <xdr:rowOff>73623</xdr:rowOff>
    </xdr:from>
    <xdr:to>
      <xdr:col>4</xdr:col>
      <xdr:colOff>1639151</xdr:colOff>
      <xdr:row>124</xdr:row>
      <xdr:rowOff>107456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1A8A2C0-4FD0-4FC8-BA10-AF0EA9477486}"/>
            </a:ext>
          </a:extLst>
        </xdr:cNvPr>
        <xdr:cNvSpPr txBox="1"/>
      </xdr:nvSpPr>
      <xdr:spPr>
        <a:xfrm>
          <a:off x="2618075" y="22962198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121</xdr:row>
      <xdr:rowOff>84234</xdr:rowOff>
    </xdr:from>
    <xdr:to>
      <xdr:col>4</xdr:col>
      <xdr:colOff>607428</xdr:colOff>
      <xdr:row>123</xdr:row>
      <xdr:rowOff>41009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0682F65-A190-4C12-83F7-745430B6F49D}"/>
            </a:ext>
          </a:extLst>
        </xdr:cNvPr>
        <xdr:cNvSpPr txBox="1"/>
      </xdr:nvSpPr>
      <xdr:spPr>
        <a:xfrm>
          <a:off x="3498656" y="22591809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122</xdr:row>
      <xdr:rowOff>20221</xdr:rowOff>
    </xdr:from>
    <xdr:to>
      <xdr:col>2</xdr:col>
      <xdr:colOff>463860</xdr:colOff>
      <xdr:row>126</xdr:row>
      <xdr:rowOff>149030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6A4563B-6279-4817-80A5-B918125B5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22718296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248</xdr:row>
      <xdr:rowOff>132724</xdr:rowOff>
    </xdr:from>
    <xdr:to>
      <xdr:col>3</xdr:col>
      <xdr:colOff>177155</xdr:colOff>
      <xdr:row>259</xdr:row>
      <xdr:rowOff>106914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912BB2F4-1DBF-4699-B8D2-20D9741BA096}"/>
            </a:ext>
          </a:extLst>
        </xdr:cNvPr>
        <xdr:cNvSpPr/>
      </xdr:nvSpPr>
      <xdr:spPr>
        <a:xfrm>
          <a:off x="302986" y="4651947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248</xdr:row>
      <xdr:rowOff>123070</xdr:rowOff>
    </xdr:from>
    <xdr:to>
      <xdr:col>6</xdr:col>
      <xdr:colOff>58316</xdr:colOff>
      <xdr:row>254</xdr:row>
      <xdr:rowOff>28702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6F7DAD11-51EE-4714-A638-72664BFE3216}"/>
            </a:ext>
          </a:extLst>
        </xdr:cNvPr>
        <xdr:cNvSpPr/>
      </xdr:nvSpPr>
      <xdr:spPr>
        <a:xfrm>
          <a:off x="5124515" y="4650982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244</xdr:row>
      <xdr:rowOff>159641</xdr:rowOff>
    </xdr:from>
    <xdr:to>
      <xdr:col>4</xdr:col>
      <xdr:colOff>903147</xdr:colOff>
      <xdr:row>246</xdr:row>
      <xdr:rowOff>99299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1D9F7EC-33F0-4559-98D0-76E982B4D830}"/>
            </a:ext>
          </a:extLst>
        </xdr:cNvPr>
        <xdr:cNvSpPr/>
      </xdr:nvSpPr>
      <xdr:spPr>
        <a:xfrm>
          <a:off x="3270261" y="4567009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242</xdr:row>
      <xdr:rowOff>13272</xdr:rowOff>
    </xdr:from>
    <xdr:to>
      <xdr:col>5</xdr:col>
      <xdr:colOff>1456069</xdr:colOff>
      <xdr:row>247</xdr:row>
      <xdr:rowOff>217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06EAD34-4DA0-495F-9AE2-92F21083E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4514272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243</xdr:row>
      <xdr:rowOff>73623</xdr:rowOff>
    </xdr:from>
    <xdr:to>
      <xdr:col>4</xdr:col>
      <xdr:colOff>1639151</xdr:colOff>
      <xdr:row>244</xdr:row>
      <xdr:rowOff>107456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D14CE58-04D6-41E0-8BDD-75FC741C0269}"/>
            </a:ext>
          </a:extLst>
        </xdr:cNvPr>
        <xdr:cNvSpPr txBox="1"/>
      </xdr:nvSpPr>
      <xdr:spPr>
        <a:xfrm>
          <a:off x="2618075" y="4539357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241</xdr:row>
      <xdr:rowOff>84234</xdr:rowOff>
    </xdr:from>
    <xdr:to>
      <xdr:col>4</xdr:col>
      <xdr:colOff>607428</xdr:colOff>
      <xdr:row>243</xdr:row>
      <xdr:rowOff>41009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EEF5573-CE1C-49A8-857B-4CA70A32F33B}"/>
            </a:ext>
          </a:extLst>
        </xdr:cNvPr>
        <xdr:cNvSpPr txBox="1"/>
      </xdr:nvSpPr>
      <xdr:spPr>
        <a:xfrm>
          <a:off x="3498656" y="4502318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242</xdr:row>
      <xdr:rowOff>20221</xdr:rowOff>
    </xdr:from>
    <xdr:to>
      <xdr:col>2</xdr:col>
      <xdr:colOff>463860</xdr:colOff>
      <xdr:row>246</xdr:row>
      <xdr:rowOff>149030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34AA528-2054-4F2C-89C9-7917ADE2A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45149671"/>
          <a:ext cx="1257579" cy="8908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226786</xdr:colOff>
      <xdr:row>8</xdr:row>
      <xdr:rowOff>132724</xdr:rowOff>
    </xdr:from>
    <xdr:to>
      <xdr:col>3</xdr:col>
      <xdr:colOff>177155</xdr:colOff>
      <xdr:row>19</xdr:row>
      <xdr:rowOff>106914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83D252E-2C78-413A-8259-2DA9D644329F}"/>
            </a:ext>
          </a:extLst>
        </xdr:cNvPr>
        <xdr:cNvSpPr/>
      </xdr:nvSpPr>
      <xdr:spPr>
        <a:xfrm>
          <a:off x="302986" y="165672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8</xdr:row>
      <xdr:rowOff>123070</xdr:rowOff>
    </xdr:from>
    <xdr:to>
      <xdr:col>6</xdr:col>
      <xdr:colOff>58316</xdr:colOff>
      <xdr:row>14</xdr:row>
      <xdr:rowOff>28702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8EDC9D8-2764-4732-9580-799B35257184}"/>
            </a:ext>
          </a:extLst>
        </xdr:cNvPr>
        <xdr:cNvSpPr/>
      </xdr:nvSpPr>
      <xdr:spPr>
        <a:xfrm>
          <a:off x="5124515" y="164707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4</xdr:row>
      <xdr:rowOff>159641</xdr:rowOff>
    </xdr:from>
    <xdr:to>
      <xdr:col>4</xdr:col>
      <xdr:colOff>903147</xdr:colOff>
      <xdr:row>6</xdr:row>
      <xdr:rowOff>99299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7C7AEA8-6FCD-474F-9A59-C9E1A6AD3456}"/>
            </a:ext>
          </a:extLst>
        </xdr:cNvPr>
        <xdr:cNvSpPr/>
      </xdr:nvSpPr>
      <xdr:spPr>
        <a:xfrm>
          <a:off x="3270261" y="80734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</xdr:row>
      <xdr:rowOff>13272</xdr:rowOff>
    </xdr:from>
    <xdr:to>
      <xdr:col>5</xdr:col>
      <xdr:colOff>1456069</xdr:colOff>
      <xdr:row>7</xdr:row>
      <xdr:rowOff>217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4830A54-9DEE-4411-9727-941341842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27997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3</xdr:row>
      <xdr:rowOff>73623</xdr:rowOff>
    </xdr:from>
    <xdr:to>
      <xdr:col>4</xdr:col>
      <xdr:colOff>1639151</xdr:colOff>
      <xdr:row>4</xdr:row>
      <xdr:rowOff>107456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CAD99AE-B453-4423-BF4E-7E97A0418236}"/>
            </a:ext>
          </a:extLst>
        </xdr:cNvPr>
        <xdr:cNvSpPr txBox="1"/>
      </xdr:nvSpPr>
      <xdr:spPr>
        <a:xfrm>
          <a:off x="2618075" y="53082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</xdr:row>
      <xdr:rowOff>84234</xdr:rowOff>
    </xdr:from>
    <xdr:to>
      <xdr:col>4</xdr:col>
      <xdr:colOff>607428</xdr:colOff>
      <xdr:row>3</xdr:row>
      <xdr:rowOff>41009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7690F0E-F628-432C-ADDF-979802E77EA4}"/>
            </a:ext>
          </a:extLst>
        </xdr:cNvPr>
        <xdr:cNvSpPr txBox="1"/>
      </xdr:nvSpPr>
      <xdr:spPr>
        <a:xfrm>
          <a:off x="3498656" y="16043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</xdr:row>
      <xdr:rowOff>20221</xdr:rowOff>
    </xdr:from>
    <xdr:to>
      <xdr:col>2</xdr:col>
      <xdr:colOff>463860</xdr:colOff>
      <xdr:row>6</xdr:row>
      <xdr:rowOff>149030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8402AAB-C7D2-47E1-B551-2F9A303AF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286921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128</xdr:row>
      <xdr:rowOff>132724</xdr:rowOff>
    </xdr:from>
    <xdr:to>
      <xdr:col>3</xdr:col>
      <xdr:colOff>177155</xdr:colOff>
      <xdr:row>139</xdr:row>
      <xdr:rowOff>106914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65640D8D-68A9-4386-908A-A91A73AF258E}"/>
            </a:ext>
          </a:extLst>
        </xdr:cNvPr>
        <xdr:cNvSpPr/>
      </xdr:nvSpPr>
      <xdr:spPr>
        <a:xfrm>
          <a:off x="302986" y="24088099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128</xdr:row>
      <xdr:rowOff>123070</xdr:rowOff>
    </xdr:from>
    <xdr:to>
      <xdr:col>6</xdr:col>
      <xdr:colOff>58316</xdr:colOff>
      <xdr:row>134</xdr:row>
      <xdr:rowOff>28702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448B008A-FF3B-4237-8678-90ACE2E66548}"/>
            </a:ext>
          </a:extLst>
        </xdr:cNvPr>
        <xdr:cNvSpPr/>
      </xdr:nvSpPr>
      <xdr:spPr>
        <a:xfrm>
          <a:off x="5124515" y="24078445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124</xdr:row>
      <xdr:rowOff>159641</xdr:rowOff>
    </xdr:from>
    <xdr:to>
      <xdr:col>4</xdr:col>
      <xdr:colOff>903147</xdr:colOff>
      <xdr:row>126</xdr:row>
      <xdr:rowOff>99299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FE5D092B-7B51-4474-9DF5-957BDD47305E}"/>
            </a:ext>
          </a:extLst>
        </xdr:cNvPr>
        <xdr:cNvSpPr/>
      </xdr:nvSpPr>
      <xdr:spPr>
        <a:xfrm>
          <a:off x="3270261" y="23238716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122</xdr:row>
      <xdr:rowOff>13272</xdr:rowOff>
    </xdr:from>
    <xdr:to>
      <xdr:col>5</xdr:col>
      <xdr:colOff>1456069</xdr:colOff>
      <xdr:row>127</xdr:row>
      <xdr:rowOff>217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D5640F8-871D-4C75-9ADC-90B8FB56F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22711347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123</xdr:row>
      <xdr:rowOff>73623</xdr:rowOff>
    </xdr:from>
    <xdr:to>
      <xdr:col>4</xdr:col>
      <xdr:colOff>1639151</xdr:colOff>
      <xdr:row>124</xdr:row>
      <xdr:rowOff>107456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949D05C-2A94-4A84-ABAB-22C155DACFF5}"/>
            </a:ext>
          </a:extLst>
        </xdr:cNvPr>
        <xdr:cNvSpPr txBox="1"/>
      </xdr:nvSpPr>
      <xdr:spPr>
        <a:xfrm>
          <a:off x="2618075" y="22962198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121</xdr:row>
      <xdr:rowOff>84234</xdr:rowOff>
    </xdr:from>
    <xdr:to>
      <xdr:col>4</xdr:col>
      <xdr:colOff>607428</xdr:colOff>
      <xdr:row>123</xdr:row>
      <xdr:rowOff>41009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F647D88-6ADE-4255-8DAC-FECCA99E9A1D}"/>
            </a:ext>
          </a:extLst>
        </xdr:cNvPr>
        <xdr:cNvSpPr txBox="1"/>
      </xdr:nvSpPr>
      <xdr:spPr>
        <a:xfrm>
          <a:off x="3498656" y="22591809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122</xdr:row>
      <xdr:rowOff>20221</xdr:rowOff>
    </xdr:from>
    <xdr:to>
      <xdr:col>2</xdr:col>
      <xdr:colOff>463860</xdr:colOff>
      <xdr:row>126</xdr:row>
      <xdr:rowOff>149030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D954D5D-7620-41FD-AC4F-EDD45FE0C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22718296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248</xdr:row>
      <xdr:rowOff>132724</xdr:rowOff>
    </xdr:from>
    <xdr:to>
      <xdr:col>3</xdr:col>
      <xdr:colOff>177155</xdr:colOff>
      <xdr:row>259</xdr:row>
      <xdr:rowOff>106914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428CA388-1A52-4160-B5DA-3D450FF26D59}"/>
            </a:ext>
          </a:extLst>
        </xdr:cNvPr>
        <xdr:cNvSpPr/>
      </xdr:nvSpPr>
      <xdr:spPr>
        <a:xfrm>
          <a:off x="302986" y="4651947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248</xdr:row>
      <xdr:rowOff>123070</xdr:rowOff>
    </xdr:from>
    <xdr:to>
      <xdr:col>6</xdr:col>
      <xdr:colOff>58316</xdr:colOff>
      <xdr:row>254</xdr:row>
      <xdr:rowOff>28702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5F880CF6-E114-469E-9A32-DA8FA141EB9C}"/>
            </a:ext>
          </a:extLst>
        </xdr:cNvPr>
        <xdr:cNvSpPr/>
      </xdr:nvSpPr>
      <xdr:spPr>
        <a:xfrm>
          <a:off x="5124515" y="4650982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244</xdr:row>
      <xdr:rowOff>159641</xdr:rowOff>
    </xdr:from>
    <xdr:to>
      <xdr:col>4</xdr:col>
      <xdr:colOff>903147</xdr:colOff>
      <xdr:row>246</xdr:row>
      <xdr:rowOff>99299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6FAE8176-79E5-4350-B650-24A8BCAE9310}"/>
            </a:ext>
          </a:extLst>
        </xdr:cNvPr>
        <xdr:cNvSpPr/>
      </xdr:nvSpPr>
      <xdr:spPr>
        <a:xfrm>
          <a:off x="3270261" y="4567009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242</xdr:row>
      <xdr:rowOff>13272</xdr:rowOff>
    </xdr:from>
    <xdr:to>
      <xdr:col>5</xdr:col>
      <xdr:colOff>1456069</xdr:colOff>
      <xdr:row>247</xdr:row>
      <xdr:rowOff>217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6C09A78-75C6-4768-AA69-9FCC0D854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4514272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243</xdr:row>
      <xdr:rowOff>73623</xdr:rowOff>
    </xdr:from>
    <xdr:to>
      <xdr:col>4</xdr:col>
      <xdr:colOff>1639151</xdr:colOff>
      <xdr:row>244</xdr:row>
      <xdr:rowOff>107456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3079E7E-315E-4898-8778-02D8FDB766A0}"/>
            </a:ext>
          </a:extLst>
        </xdr:cNvPr>
        <xdr:cNvSpPr txBox="1"/>
      </xdr:nvSpPr>
      <xdr:spPr>
        <a:xfrm>
          <a:off x="2618075" y="4539357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241</xdr:row>
      <xdr:rowOff>84234</xdr:rowOff>
    </xdr:from>
    <xdr:to>
      <xdr:col>4</xdr:col>
      <xdr:colOff>607428</xdr:colOff>
      <xdr:row>243</xdr:row>
      <xdr:rowOff>41009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EA80249-D7F7-4920-8D14-277A19B962F8}"/>
            </a:ext>
          </a:extLst>
        </xdr:cNvPr>
        <xdr:cNvSpPr txBox="1"/>
      </xdr:nvSpPr>
      <xdr:spPr>
        <a:xfrm>
          <a:off x="3498656" y="4502318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242</xdr:row>
      <xdr:rowOff>20221</xdr:rowOff>
    </xdr:from>
    <xdr:to>
      <xdr:col>2</xdr:col>
      <xdr:colOff>463860</xdr:colOff>
      <xdr:row>246</xdr:row>
      <xdr:rowOff>149030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2DF036C-BFFC-4032-A5C2-591B87E81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45149671"/>
          <a:ext cx="1257579" cy="8908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226786</xdr:colOff>
      <xdr:row>8</xdr:row>
      <xdr:rowOff>132724</xdr:rowOff>
    </xdr:from>
    <xdr:to>
      <xdr:col>3</xdr:col>
      <xdr:colOff>177155</xdr:colOff>
      <xdr:row>19</xdr:row>
      <xdr:rowOff>106914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52F6776-CF93-415E-943C-100DBC5CE5C7}"/>
            </a:ext>
          </a:extLst>
        </xdr:cNvPr>
        <xdr:cNvSpPr/>
      </xdr:nvSpPr>
      <xdr:spPr>
        <a:xfrm>
          <a:off x="302986" y="165672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8</xdr:row>
      <xdr:rowOff>123070</xdr:rowOff>
    </xdr:from>
    <xdr:to>
      <xdr:col>6</xdr:col>
      <xdr:colOff>58316</xdr:colOff>
      <xdr:row>14</xdr:row>
      <xdr:rowOff>28702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C233798-879F-4A2E-9162-7DD79F7C5E17}"/>
            </a:ext>
          </a:extLst>
        </xdr:cNvPr>
        <xdr:cNvSpPr/>
      </xdr:nvSpPr>
      <xdr:spPr>
        <a:xfrm>
          <a:off x="5124515" y="164707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4</xdr:row>
      <xdr:rowOff>159641</xdr:rowOff>
    </xdr:from>
    <xdr:to>
      <xdr:col>4</xdr:col>
      <xdr:colOff>903147</xdr:colOff>
      <xdr:row>6</xdr:row>
      <xdr:rowOff>99299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B207DB4-62F4-4A31-A2BB-B25CDEFFC539}"/>
            </a:ext>
          </a:extLst>
        </xdr:cNvPr>
        <xdr:cNvSpPr/>
      </xdr:nvSpPr>
      <xdr:spPr>
        <a:xfrm>
          <a:off x="3270261" y="80734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</xdr:row>
      <xdr:rowOff>13272</xdr:rowOff>
    </xdr:from>
    <xdr:to>
      <xdr:col>5</xdr:col>
      <xdr:colOff>1456069</xdr:colOff>
      <xdr:row>7</xdr:row>
      <xdr:rowOff>217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BF382BC-AB52-498E-BF30-B9AF8A19B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27997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3</xdr:row>
      <xdr:rowOff>73623</xdr:rowOff>
    </xdr:from>
    <xdr:to>
      <xdr:col>4</xdr:col>
      <xdr:colOff>1639151</xdr:colOff>
      <xdr:row>4</xdr:row>
      <xdr:rowOff>107456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4CACD9E-CF3F-494C-A97E-08266D833DC6}"/>
            </a:ext>
          </a:extLst>
        </xdr:cNvPr>
        <xdr:cNvSpPr txBox="1"/>
      </xdr:nvSpPr>
      <xdr:spPr>
        <a:xfrm>
          <a:off x="2618075" y="53082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</xdr:row>
      <xdr:rowOff>84234</xdr:rowOff>
    </xdr:from>
    <xdr:to>
      <xdr:col>4</xdr:col>
      <xdr:colOff>607428</xdr:colOff>
      <xdr:row>3</xdr:row>
      <xdr:rowOff>41009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43EE8DC-3037-4DFC-BDF4-B5D455B0846D}"/>
            </a:ext>
          </a:extLst>
        </xdr:cNvPr>
        <xdr:cNvSpPr txBox="1"/>
      </xdr:nvSpPr>
      <xdr:spPr>
        <a:xfrm>
          <a:off x="3498656" y="16043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</xdr:row>
      <xdr:rowOff>20221</xdr:rowOff>
    </xdr:from>
    <xdr:to>
      <xdr:col>2</xdr:col>
      <xdr:colOff>463860</xdr:colOff>
      <xdr:row>6</xdr:row>
      <xdr:rowOff>149030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577A6D3-F2DC-4BF4-9A2A-FE4232590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286921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128</xdr:row>
      <xdr:rowOff>132724</xdr:rowOff>
    </xdr:from>
    <xdr:to>
      <xdr:col>3</xdr:col>
      <xdr:colOff>177155</xdr:colOff>
      <xdr:row>139</xdr:row>
      <xdr:rowOff>106914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3837AA71-3932-4F80-A382-C407BFCB61D8}"/>
            </a:ext>
          </a:extLst>
        </xdr:cNvPr>
        <xdr:cNvSpPr/>
      </xdr:nvSpPr>
      <xdr:spPr>
        <a:xfrm>
          <a:off x="302986" y="24088099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128</xdr:row>
      <xdr:rowOff>123070</xdr:rowOff>
    </xdr:from>
    <xdr:to>
      <xdr:col>6</xdr:col>
      <xdr:colOff>58316</xdr:colOff>
      <xdr:row>134</xdr:row>
      <xdr:rowOff>28702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0131BF6-B53D-4E31-BB2F-A5E0CEEA2679}"/>
            </a:ext>
          </a:extLst>
        </xdr:cNvPr>
        <xdr:cNvSpPr/>
      </xdr:nvSpPr>
      <xdr:spPr>
        <a:xfrm>
          <a:off x="5124515" y="24078445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124</xdr:row>
      <xdr:rowOff>159641</xdr:rowOff>
    </xdr:from>
    <xdr:to>
      <xdr:col>4</xdr:col>
      <xdr:colOff>903147</xdr:colOff>
      <xdr:row>126</xdr:row>
      <xdr:rowOff>99299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68DBF40-8CDF-4D5A-BE86-6581D007A910}"/>
            </a:ext>
          </a:extLst>
        </xdr:cNvPr>
        <xdr:cNvSpPr/>
      </xdr:nvSpPr>
      <xdr:spPr>
        <a:xfrm>
          <a:off x="3270261" y="23238716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122</xdr:row>
      <xdr:rowOff>13272</xdr:rowOff>
    </xdr:from>
    <xdr:to>
      <xdr:col>5</xdr:col>
      <xdr:colOff>1456069</xdr:colOff>
      <xdr:row>127</xdr:row>
      <xdr:rowOff>217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197FF0C-8297-4023-B4D6-B9102AD75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22711347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123</xdr:row>
      <xdr:rowOff>73623</xdr:rowOff>
    </xdr:from>
    <xdr:to>
      <xdr:col>4</xdr:col>
      <xdr:colOff>1639151</xdr:colOff>
      <xdr:row>124</xdr:row>
      <xdr:rowOff>107456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ECA61A8-15C8-41D1-9E27-EDF8951DF54B}"/>
            </a:ext>
          </a:extLst>
        </xdr:cNvPr>
        <xdr:cNvSpPr txBox="1"/>
      </xdr:nvSpPr>
      <xdr:spPr>
        <a:xfrm>
          <a:off x="2618075" y="22962198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121</xdr:row>
      <xdr:rowOff>84234</xdr:rowOff>
    </xdr:from>
    <xdr:to>
      <xdr:col>4</xdr:col>
      <xdr:colOff>607428</xdr:colOff>
      <xdr:row>123</xdr:row>
      <xdr:rowOff>41009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16FE63E-B6AF-4F98-8291-0284E6F49E7C}"/>
            </a:ext>
          </a:extLst>
        </xdr:cNvPr>
        <xdr:cNvSpPr txBox="1"/>
      </xdr:nvSpPr>
      <xdr:spPr>
        <a:xfrm>
          <a:off x="3498656" y="22591809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122</xdr:row>
      <xdr:rowOff>20221</xdr:rowOff>
    </xdr:from>
    <xdr:to>
      <xdr:col>2</xdr:col>
      <xdr:colOff>463860</xdr:colOff>
      <xdr:row>126</xdr:row>
      <xdr:rowOff>149030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CB5531E-DCC4-44F5-8FCB-251C78D39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22718296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248</xdr:row>
      <xdr:rowOff>132724</xdr:rowOff>
    </xdr:from>
    <xdr:to>
      <xdr:col>3</xdr:col>
      <xdr:colOff>177155</xdr:colOff>
      <xdr:row>259</xdr:row>
      <xdr:rowOff>106914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06D5DA8E-D1AE-4953-9681-B60724A39F2A}"/>
            </a:ext>
          </a:extLst>
        </xdr:cNvPr>
        <xdr:cNvSpPr/>
      </xdr:nvSpPr>
      <xdr:spPr>
        <a:xfrm>
          <a:off x="302986" y="4651947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248</xdr:row>
      <xdr:rowOff>123070</xdr:rowOff>
    </xdr:from>
    <xdr:to>
      <xdr:col>6</xdr:col>
      <xdr:colOff>58316</xdr:colOff>
      <xdr:row>254</xdr:row>
      <xdr:rowOff>28702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1ED15A16-8B33-4326-95DF-6689F79047BF}"/>
            </a:ext>
          </a:extLst>
        </xdr:cNvPr>
        <xdr:cNvSpPr/>
      </xdr:nvSpPr>
      <xdr:spPr>
        <a:xfrm>
          <a:off x="5124515" y="4650982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244</xdr:row>
      <xdr:rowOff>159641</xdr:rowOff>
    </xdr:from>
    <xdr:to>
      <xdr:col>4</xdr:col>
      <xdr:colOff>903147</xdr:colOff>
      <xdr:row>246</xdr:row>
      <xdr:rowOff>99299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22905FB-71BC-4220-AB20-D5A479E0735B}"/>
            </a:ext>
          </a:extLst>
        </xdr:cNvPr>
        <xdr:cNvSpPr/>
      </xdr:nvSpPr>
      <xdr:spPr>
        <a:xfrm>
          <a:off x="3270261" y="4567009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242</xdr:row>
      <xdr:rowOff>13272</xdr:rowOff>
    </xdr:from>
    <xdr:to>
      <xdr:col>5</xdr:col>
      <xdr:colOff>1456069</xdr:colOff>
      <xdr:row>247</xdr:row>
      <xdr:rowOff>217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65189C5-48BA-454C-B99C-55439CDFA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4514272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243</xdr:row>
      <xdr:rowOff>73623</xdr:rowOff>
    </xdr:from>
    <xdr:to>
      <xdr:col>4</xdr:col>
      <xdr:colOff>1639151</xdr:colOff>
      <xdr:row>244</xdr:row>
      <xdr:rowOff>107456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8021CE1-5259-49E1-B8D1-581A2723F573}"/>
            </a:ext>
          </a:extLst>
        </xdr:cNvPr>
        <xdr:cNvSpPr txBox="1"/>
      </xdr:nvSpPr>
      <xdr:spPr>
        <a:xfrm>
          <a:off x="2618075" y="4539357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241</xdr:row>
      <xdr:rowOff>84234</xdr:rowOff>
    </xdr:from>
    <xdr:to>
      <xdr:col>4</xdr:col>
      <xdr:colOff>607428</xdr:colOff>
      <xdr:row>243</xdr:row>
      <xdr:rowOff>41009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124B85F-F187-413A-9BC4-721D1AD618D8}"/>
            </a:ext>
          </a:extLst>
        </xdr:cNvPr>
        <xdr:cNvSpPr txBox="1"/>
      </xdr:nvSpPr>
      <xdr:spPr>
        <a:xfrm>
          <a:off x="3498656" y="4502318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242</xdr:row>
      <xdr:rowOff>20221</xdr:rowOff>
    </xdr:from>
    <xdr:to>
      <xdr:col>2</xdr:col>
      <xdr:colOff>463860</xdr:colOff>
      <xdr:row>246</xdr:row>
      <xdr:rowOff>149030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2CD34E3-64CC-4F94-B068-CD9B45F60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45149671"/>
          <a:ext cx="1257579" cy="89080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226786</xdr:colOff>
      <xdr:row>8</xdr:row>
      <xdr:rowOff>132724</xdr:rowOff>
    </xdr:from>
    <xdr:to>
      <xdr:col>3</xdr:col>
      <xdr:colOff>177155</xdr:colOff>
      <xdr:row>19</xdr:row>
      <xdr:rowOff>106914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0F9405C-D95E-4581-A84A-73280809D540}"/>
            </a:ext>
          </a:extLst>
        </xdr:cNvPr>
        <xdr:cNvSpPr/>
      </xdr:nvSpPr>
      <xdr:spPr>
        <a:xfrm>
          <a:off x="302986" y="165672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8</xdr:row>
      <xdr:rowOff>123070</xdr:rowOff>
    </xdr:from>
    <xdr:to>
      <xdr:col>6</xdr:col>
      <xdr:colOff>58316</xdr:colOff>
      <xdr:row>14</xdr:row>
      <xdr:rowOff>28702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3F3E8E3-7F48-43AE-970F-FF6639D38114}"/>
            </a:ext>
          </a:extLst>
        </xdr:cNvPr>
        <xdr:cNvSpPr/>
      </xdr:nvSpPr>
      <xdr:spPr>
        <a:xfrm>
          <a:off x="5124515" y="164707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4</xdr:row>
      <xdr:rowOff>159641</xdr:rowOff>
    </xdr:from>
    <xdr:to>
      <xdr:col>4</xdr:col>
      <xdr:colOff>903147</xdr:colOff>
      <xdr:row>6</xdr:row>
      <xdr:rowOff>99299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A6AEE54-8DDA-4C80-8256-2AFF33FAF672}"/>
            </a:ext>
          </a:extLst>
        </xdr:cNvPr>
        <xdr:cNvSpPr/>
      </xdr:nvSpPr>
      <xdr:spPr>
        <a:xfrm>
          <a:off x="3270261" y="80734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</xdr:row>
      <xdr:rowOff>13272</xdr:rowOff>
    </xdr:from>
    <xdr:to>
      <xdr:col>5</xdr:col>
      <xdr:colOff>1456069</xdr:colOff>
      <xdr:row>7</xdr:row>
      <xdr:rowOff>217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F95BE90-209F-4E98-B739-D7C038F06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27997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3</xdr:row>
      <xdr:rowOff>73623</xdr:rowOff>
    </xdr:from>
    <xdr:to>
      <xdr:col>4</xdr:col>
      <xdr:colOff>1639151</xdr:colOff>
      <xdr:row>4</xdr:row>
      <xdr:rowOff>107456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F6570B4-C449-4A98-9C15-FDCD28DBA102}"/>
            </a:ext>
          </a:extLst>
        </xdr:cNvPr>
        <xdr:cNvSpPr txBox="1"/>
      </xdr:nvSpPr>
      <xdr:spPr>
        <a:xfrm>
          <a:off x="2618075" y="53082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</xdr:row>
      <xdr:rowOff>84234</xdr:rowOff>
    </xdr:from>
    <xdr:to>
      <xdr:col>4</xdr:col>
      <xdr:colOff>607428</xdr:colOff>
      <xdr:row>3</xdr:row>
      <xdr:rowOff>41009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DF96002-3390-4E31-828C-C33FECD980CF}"/>
            </a:ext>
          </a:extLst>
        </xdr:cNvPr>
        <xdr:cNvSpPr txBox="1"/>
      </xdr:nvSpPr>
      <xdr:spPr>
        <a:xfrm>
          <a:off x="3498656" y="16043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</xdr:row>
      <xdr:rowOff>20221</xdr:rowOff>
    </xdr:from>
    <xdr:to>
      <xdr:col>2</xdr:col>
      <xdr:colOff>463860</xdr:colOff>
      <xdr:row>6</xdr:row>
      <xdr:rowOff>149030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DA5EACE-3E2F-4A12-B985-C26671307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286921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128</xdr:row>
      <xdr:rowOff>132724</xdr:rowOff>
    </xdr:from>
    <xdr:to>
      <xdr:col>3</xdr:col>
      <xdr:colOff>177155</xdr:colOff>
      <xdr:row>139</xdr:row>
      <xdr:rowOff>106914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EEA18641-C72F-4BF1-B52F-AC06D6A5CF5C}"/>
            </a:ext>
          </a:extLst>
        </xdr:cNvPr>
        <xdr:cNvSpPr/>
      </xdr:nvSpPr>
      <xdr:spPr>
        <a:xfrm>
          <a:off x="302986" y="24088099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128</xdr:row>
      <xdr:rowOff>123070</xdr:rowOff>
    </xdr:from>
    <xdr:to>
      <xdr:col>6</xdr:col>
      <xdr:colOff>58316</xdr:colOff>
      <xdr:row>134</xdr:row>
      <xdr:rowOff>28702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79B4789-D896-4E64-9C83-6F0AD5109E63}"/>
            </a:ext>
          </a:extLst>
        </xdr:cNvPr>
        <xdr:cNvSpPr/>
      </xdr:nvSpPr>
      <xdr:spPr>
        <a:xfrm>
          <a:off x="5124515" y="24078445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124</xdr:row>
      <xdr:rowOff>159641</xdr:rowOff>
    </xdr:from>
    <xdr:to>
      <xdr:col>4</xdr:col>
      <xdr:colOff>903147</xdr:colOff>
      <xdr:row>126</xdr:row>
      <xdr:rowOff>99299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2D33DB5-D89A-474A-A7BB-0D2ABB5C0A00}"/>
            </a:ext>
          </a:extLst>
        </xdr:cNvPr>
        <xdr:cNvSpPr/>
      </xdr:nvSpPr>
      <xdr:spPr>
        <a:xfrm>
          <a:off x="3270261" y="23238716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122</xdr:row>
      <xdr:rowOff>13272</xdr:rowOff>
    </xdr:from>
    <xdr:to>
      <xdr:col>5</xdr:col>
      <xdr:colOff>1456069</xdr:colOff>
      <xdr:row>127</xdr:row>
      <xdr:rowOff>217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F207904-0562-46F3-A9AF-AC5505FEE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22711347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123</xdr:row>
      <xdr:rowOff>73623</xdr:rowOff>
    </xdr:from>
    <xdr:to>
      <xdr:col>4</xdr:col>
      <xdr:colOff>1639151</xdr:colOff>
      <xdr:row>124</xdr:row>
      <xdr:rowOff>107456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C688963-E68F-451F-9FE4-00581EE5FAA1}"/>
            </a:ext>
          </a:extLst>
        </xdr:cNvPr>
        <xdr:cNvSpPr txBox="1"/>
      </xdr:nvSpPr>
      <xdr:spPr>
        <a:xfrm>
          <a:off x="2618075" y="22962198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121</xdr:row>
      <xdr:rowOff>84234</xdr:rowOff>
    </xdr:from>
    <xdr:to>
      <xdr:col>4</xdr:col>
      <xdr:colOff>607428</xdr:colOff>
      <xdr:row>123</xdr:row>
      <xdr:rowOff>41009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5A43ABE-0D69-4682-9E12-04CCEF934BC6}"/>
            </a:ext>
          </a:extLst>
        </xdr:cNvPr>
        <xdr:cNvSpPr txBox="1"/>
      </xdr:nvSpPr>
      <xdr:spPr>
        <a:xfrm>
          <a:off x="3498656" y="22591809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122</xdr:row>
      <xdr:rowOff>20221</xdr:rowOff>
    </xdr:from>
    <xdr:to>
      <xdr:col>2</xdr:col>
      <xdr:colOff>463860</xdr:colOff>
      <xdr:row>126</xdr:row>
      <xdr:rowOff>149030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FB69BA3-E5E0-49AD-9A8B-2C2224767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22718296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248</xdr:row>
      <xdr:rowOff>132724</xdr:rowOff>
    </xdr:from>
    <xdr:to>
      <xdr:col>3</xdr:col>
      <xdr:colOff>177155</xdr:colOff>
      <xdr:row>259</xdr:row>
      <xdr:rowOff>106914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B2CC42ED-D876-4F93-88E1-06DE92940A58}"/>
            </a:ext>
          </a:extLst>
        </xdr:cNvPr>
        <xdr:cNvSpPr/>
      </xdr:nvSpPr>
      <xdr:spPr>
        <a:xfrm>
          <a:off x="302986" y="4651947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248</xdr:row>
      <xdr:rowOff>123070</xdr:rowOff>
    </xdr:from>
    <xdr:to>
      <xdr:col>6</xdr:col>
      <xdr:colOff>58316</xdr:colOff>
      <xdr:row>254</xdr:row>
      <xdr:rowOff>28702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A9D6EDEC-1736-473E-A776-4A9ED19CF592}"/>
            </a:ext>
          </a:extLst>
        </xdr:cNvPr>
        <xdr:cNvSpPr/>
      </xdr:nvSpPr>
      <xdr:spPr>
        <a:xfrm>
          <a:off x="5124515" y="4650982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244</xdr:row>
      <xdr:rowOff>159641</xdr:rowOff>
    </xdr:from>
    <xdr:to>
      <xdr:col>4</xdr:col>
      <xdr:colOff>903147</xdr:colOff>
      <xdr:row>246</xdr:row>
      <xdr:rowOff>99299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193AC42-DC6C-4FED-9226-5938BD5AAA4B}"/>
            </a:ext>
          </a:extLst>
        </xdr:cNvPr>
        <xdr:cNvSpPr/>
      </xdr:nvSpPr>
      <xdr:spPr>
        <a:xfrm>
          <a:off x="3270261" y="4567009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242</xdr:row>
      <xdr:rowOff>13272</xdr:rowOff>
    </xdr:from>
    <xdr:to>
      <xdr:col>5</xdr:col>
      <xdr:colOff>1456069</xdr:colOff>
      <xdr:row>247</xdr:row>
      <xdr:rowOff>217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C9D4677-6E8A-4692-9537-96A9B617A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4514272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243</xdr:row>
      <xdr:rowOff>73623</xdr:rowOff>
    </xdr:from>
    <xdr:to>
      <xdr:col>4</xdr:col>
      <xdr:colOff>1639151</xdr:colOff>
      <xdr:row>244</xdr:row>
      <xdr:rowOff>107456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245322C-30B7-4E08-8654-F515BA189036}"/>
            </a:ext>
          </a:extLst>
        </xdr:cNvPr>
        <xdr:cNvSpPr txBox="1"/>
      </xdr:nvSpPr>
      <xdr:spPr>
        <a:xfrm>
          <a:off x="2618075" y="4539357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241</xdr:row>
      <xdr:rowOff>84234</xdr:rowOff>
    </xdr:from>
    <xdr:to>
      <xdr:col>4</xdr:col>
      <xdr:colOff>607428</xdr:colOff>
      <xdr:row>243</xdr:row>
      <xdr:rowOff>41009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4460601-65EC-4263-A1A4-1A8442AB45DD}"/>
            </a:ext>
          </a:extLst>
        </xdr:cNvPr>
        <xdr:cNvSpPr txBox="1"/>
      </xdr:nvSpPr>
      <xdr:spPr>
        <a:xfrm>
          <a:off x="3498656" y="4502318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242</xdr:row>
      <xdr:rowOff>20221</xdr:rowOff>
    </xdr:from>
    <xdr:to>
      <xdr:col>2</xdr:col>
      <xdr:colOff>463860</xdr:colOff>
      <xdr:row>246</xdr:row>
      <xdr:rowOff>149030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957BA3B-7F65-469A-B95C-988F34935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45149671"/>
          <a:ext cx="1257579" cy="89080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226786</xdr:colOff>
      <xdr:row>8</xdr:row>
      <xdr:rowOff>132724</xdr:rowOff>
    </xdr:from>
    <xdr:to>
      <xdr:col>3</xdr:col>
      <xdr:colOff>177155</xdr:colOff>
      <xdr:row>19</xdr:row>
      <xdr:rowOff>106914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38815A8-B906-4848-AD88-C7BB2F2D8781}"/>
            </a:ext>
          </a:extLst>
        </xdr:cNvPr>
        <xdr:cNvSpPr/>
      </xdr:nvSpPr>
      <xdr:spPr>
        <a:xfrm>
          <a:off x="302986" y="165672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8</xdr:row>
      <xdr:rowOff>123070</xdr:rowOff>
    </xdr:from>
    <xdr:to>
      <xdr:col>6</xdr:col>
      <xdr:colOff>58316</xdr:colOff>
      <xdr:row>14</xdr:row>
      <xdr:rowOff>28702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190A89F5-FCFE-48B4-AC19-DC6078C61CBC}"/>
            </a:ext>
          </a:extLst>
        </xdr:cNvPr>
        <xdr:cNvSpPr/>
      </xdr:nvSpPr>
      <xdr:spPr>
        <a:xfrm>
          <a:off x="5124515" y="164707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4</xdr:row>
      <xdr:rowOff>159641</xdr:rowOff>
    </xdr:from>
    <xdr:to>
      <xdr:col>4</xdr:col>
      <xdr:colOff>903147</xdr:colOff>
      <xdr:row>6</xdr:row>
      <xdr:rowOff>99299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942256B-CAF4-4BF5-B1C1-5E95F2FD947E}"/>
            </a:ext>
          </a:extLst>
        </xdr:cNvPr>
        <xdr:cNvSpPr/>
      </xdr:nvSpPr>
      <xdr:spPr>
        <a:xfrm>
          <a:off x="3270261" y="80734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</xdr:row>
      <xdr:rowOff>13272</xdr:rowOff>
    </xdr:from>
    <xdr:to>
      <xdr:col>5</xdr:col>
      <xdr:colOff>1456069</xdr:colOff>
      <xdr:row>7</xdr:row>
      <xdr:rowOff>217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8282A19-62AE-4717-B657-D60444348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27997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3</xdr:row>
      <xdr:rowOff>73623</xdr:rowOff>
    </xdr:from>
    <xdr:to>
      <xdr:col>4</xdr:col>
      <xdr:colOff>1639151</xdr:colOff>
      <xdr:row>4</xdr:row>
      <xdr:rowOff>107456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F6EB6-7ABA-4550-B7A8-1875D2E2FB13}"/>
            </a:ext>
          </a:extLst>
        </xdr:cNvPr>
        <xdr:cNvSpPr txBox="1"/>
      </xdr:nvSpPr>
      <xdr:spPr>
        <a:xfrm>
          <a:off x="2618075" y="53082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</xdr:row>
      <xdr:rowOff>84234</xdr:rowOff>
    </xdr:from>
    <xdr:to>
      <xdr:col>4</xdr:col>
      <xdr:colOff>607428</xdr:colOff>
      <xdr:row>3</xdr:row>
      <xdr:rowOff>41009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4EC6D12-E955-4885-84BC-5EDC507EE2DC}"/>
            </a:ext>
          </a:extLst>
        </xdr:cNvPr>
        <xdr:cNvSpPr txBox="1"/>
      </xdr:nvSpPr>
      <xdr:spPr>
        <a:xfrm>
          <a:off x="3498656" y="16043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</xdr:row>
      <xdr:rowOff>20221</xdr:rowOff>
    </xdr:from>
    <xdr:to>
      <xdr:col>2</xdr:col>
      <xdr:colOff>463860</xdr:colOff>
      <xdr:row>6</xdr:row>
      <xdr:rowOff>149030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2C0F72D-8511-4894-8E43-9C2CC22FE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286921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128</xdr:row>
      <xdr:rowOff>132724</xdr:rowOff>
    </xdr:from>
    <xdr:to>
      <xdr:col>3</xdr:col>
      <xdr:colOff>177155</xdr:colOff>
      <xdr:row>139</xdr:row>
      <xdr:rowOff>106914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19D32E7C-1882-4794-A829-D4337A6ED967}"/>
            </a:ext>
          </a:extLst>
        </xdr:cNvPr>
        <xdr:cNvSpPr/>
      </xdr:nvSpPr>
      <xdr:spPr>
        <a:xfrm>
          <a:off x="302986" y="24088099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128</xdr:row>
      <xdr:rowOff>123070</xdr:rowOff>
    </xdr:from>
    <xdr:to>
      <xdr:col>6</xdr:col>
      <xdr:colOff>58316</xdr:colOff>
      <xdr:row>134</xdr:row>
      <xdr:rowOff>28702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E9C6A6C8-799E-4093-99D9-DDD8946C4CC3}"/>
            </a:ext>
          </a:extLst>
        </xdr:cNvPr>
        <xdr:cNvSpPr/>
      </xdr:nvSpPr>
      <xdr:spPr>
        <a:xfrm>
          <a:off x="5124515" y="24078445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124</xdr:row>
      <xdr:rowOff>159641</xdr:rowOff>
    </xdr:from>
    <xdr:to>
      <xdr:col>4</xdr:col>
      <xdr:colOff>903147</xdr:colOff>
      <xdr:row>126</xdr:row>
      <xdr:rowOff>99299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7194B5C-7119-4CF9-9B03-16A9EDDB3D8E}"/>
            </a:ext>
          </a:extLst>
        </xdr:cNvPr>
        <xdr:cNvSpPr/>
      </xdr:nvSpPr>
      <xdr:spPr>
        <a:xfrm>
          <a:off x="3270261" y="23238716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122</xdr:row>
      <xdr:rowOff>13272</xdr:rowOff>
    </xdr:from>
    <xdr:to>
      <xdr:col>5</xdr:col>
      <xdr:colOff>1456069</xdr:colOff>
      <xdr:row>127</xdr:row>
      <xdr:rowOff>217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9496FDB-E3D8-43E7-A4B3-04F7CD348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22711347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123</xdr:row>
      <xdr:rowOff>73623</xdr:rowOff>
    </xdr:from>
    <xdr:to>
      <xdr:col>4</xdr:col>
      <xdr:colOff>1639151</xdr:colOff>
      <xdr:row>124</xdr:row>
      <xdr:rowOff>107456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90A010F-3F82-4C0B-9549-02987D8CF1E8}"/>
            </a:ext>
          </a:extLst>
        </xdr:cNvPr>
        <xdr:cNvSpPr txBox="1"/>
      </xdr:nvSpPr>
      <xdr:spPr>
        <a:xfrm>
          <a:off x="2618075" y="22962198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121</xdr:row>
      <xdr:rowOff>84234</xdr:rowOff>
    </xdr:from>
    <xdr:to>
      <xdr:col>4</xdr:col>
      <xdr:colOff>607428</xdr:colOff>
      <xdr:row>123</xdr:row>
      <xdr:rowOff>41009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85DE8CE-0EC9-4B6A-8A89-4351260BD91A}"/>
            </a:ext>
          </a:extLst>
        </xdr:cNvPr>
        <xdr:cNvSpPr txBox="1"/>
      </xdr:nvSpPr>
      <xdr:spPr>
        <a:xfrm>
          <a:off x="3498656" y="22591809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122</xdr:row>
      <xdr:rowOff>20221</xdr:rowOff>
    </xdr:from>
    <xdr:to>
      <xdr:col>2</xdr:col>
      <xdr:colOff>463860</xdr:colOff>
      <xdr:row>126</xdr:row>
      <xdr:rowOff>149030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55D87F-D4C0-4411-9A85-0ED491CBD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22718296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248</xdr:row>
      <xdr:rowOff>132724</xdr:rowOff>
    </xdr:from>
    <xdr:to>
      <xdr:col>3</xdr:col>
      <xdr:colOff>177155</xdr:colOff>
      <xdr:row>259</xdr:row>
      <xdr:rowOff>106914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F39D6667-A2F4-4367-91E7-84EFD7FF8555}"/>
            </a:ext>
          </a:extLst>
        </xdr:cNvPr>
        <xdr:cNvSpPr/>
      </xdr:nvSpPr>
      <xdr:spPr>
        <a:xfrm>
          <a:off x="302986" y="4651947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248</xdr:row>
      <xdr:rowOff>123070</xdr:rowOff>
    </xdr:from>
    <xdr:to>
      <xdr:col>6</xdr:col>
      <xdr:colOff>58316</xdr:colOff>
      <xdr:row>254</xdr:row>
      <xdr:rowOff>28702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5B974082-5163-4E53-9704-D6AF2129630E}"/>
            </a:ext>
          </a:extLst>
        </xdr:cNvPr>
        <xdr:cNvSpPr/>
      </xdr:nvSpPr>
      <xdr:spPr>
        <a:xfrm>
          <a:off x="5124515" y="4650982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244</xdr:row>
      <xdr:rowOff>159641</xdr:rowOff>
    </xdr:from>
    <xdr:to>
      <xdr:col>4</xdr:col>
      <xdr:colOff>903147</xdr:colOff>
      <xdr:row>246</xdr:row>
      <xdr:rowOff>99299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8DEBFFD4-F18B-4587-B2D7-F2E51501B760}"/>
            </a:ext>
          </a:extLst>
        </xdr:cNvPr>
        <xdr:cNvSpPr/>
      </xdr:nvSpPr>
      <xdr:spPr>
        <a:xfrm>
          <a:off x="3270261" y="4567009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242</xdr:row>
      <xdr:rowOff>13272</xdr:rowOff>
    </xdr:from>
    <xdr:to>
      <xdr:col>5</xdr:col>
      <xdr:colOff>1456069</xdr:colOff>
      <xdr:row>247</xdr:row>
      <xdr:rowOff>217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44D9B0A-A148-4485-AE1C-D7FDB5E06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4514272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243</xdr:row>
      <xdr:rowOff>73623</xdr:rowOff>
    </xdr:from>
    <xdr:to>
      <xdr:col>4</xdr:col>
      <xdr:colOff>1639151</xdr:colOff>
      <xdr:row>244</xdr:row>
      <xdr:rowOff>107456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50B6F9B-0BB0-4FC9-8B5A-0727FFC511DA}"/>
            </a:ext>
          </a:extLst>
        </xdr:cNvPr>
        <xdr:cNvSpPr txBox="1"/>
      </xdr:nvSpPr>
      <xdr:spPr>
        <a:xfrm>
          <a:off x="2618075" y="4539357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241</xdr:row>
      <xdr:rowOff>84234</xdr:rowOff>
    </xdr:from>
    <xdr:to>
      <xdr:col>4</xdr:col>
      <xdr:colOff>607428</xdr:colOff>
      <xdr:row>243</xdr:row>
      <xdr:rowOff>41009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A391047-1E6A-4E1E-8A11-E7689B34C01F}"/>
            </a:ext>
          </a:extLst>
        </xdr:cNvPr>
        <xdr:cNvSpPr txBox="1"/>
      </xdr:nvSpPr>
      <xdr:spPr>
        <a:xfrm>
          <a:off x="3498656" y="4502318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242</xdr:row>
      <xdr:rowOff>20221</xdr:rowOff>
    </xdr:from>
    <xdr:to>
      <xdr:col>2</xdr:col>
      <xdr:colOff>463860</xdr:colOff>
      <xdr:row>246</xdr:row>
      <xdr:rowOff>149030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1C1EC6B-7D60-4B29-9680-EB99D2895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45149671"/>
          <a:ext cx="1257579" cy="89080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226786</xdr:colOff>
      <xdr:row>8</xdr:row>
      <xdr:rowOff>132724</xdr:rowOff>
    </xdr:from>
    <xdr:to>
      <xdr:col>3</xdr:col>
      <xdr:colOff>177155</xdr:colOff>
      <xdr:row>19</xdr:row>
      <xdr:rowOff>106914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0363A6F-7E1F-4C67-AEED-0DFB2542A460}"/>
            </a:ext>
          </a:extLst>
        </xdr:cNvPr>
        <xdr:cNvSpPr/>
      </xdr:nvSpPr>
      <xdr:spPr>
        <a:xfrm>
          <a:off x="302986" y="165672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8</xdr:row>
      <xdr:rowOff>123070</xdr:rowOff>
    </xdr:from>
    <xdr:to>
      <xdr:col>6</xdr:col>
      <xdr:colOff>58316</xdr:colOff>
      <xdr:row>14</xdr:row>
      <xdr:rowOff>28702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5AC8E7AD-4554-416E-B4BF-CD3FA44F7630}"/>
            </a:ext>
          </a:extLst>
        </xdr:cNvPr>
        <xdr:cNvSpPr/>
      </xdr:nvSpPr>
      <xdr:spPr>
        <a:xfrm>
          <a:off x="5124515" y="164707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4</xdr:row>
      <xdr:rowOff>159641</xdr:rowOff>
    </xdr:from>
    <xdr:to>
      <xdr:col>4</xdr:col>
      <xdr:colOff>903147</xdr:colOff>
      <xdr:row>6</xdr:row>
      <xdr:rowOff>99299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407E18F-2F69-405A-9C43-C720C8BA1B9A}"/>
            </a:ext>
          </a:extLst>
        </xdr:cNvPr>
        <xdr:cNvSpPr/>
      </xdr:nvSpPr>
      <xdr:spPr>
        <a:xfrm>
          <a:off x="3270261" y="80734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</xdr:row>
      <xdr:rowOff>13272</xdr:rowOff>
    </xdr:from>
    <xdr:to>
      <xdr:col>5</xdr:col>
      <xdr:colOff>1456069</xdr:colOff>
      <xdr:row>7</xdr:row>
      <xdr:rowOff>217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B42442-8844-4BD3-8912-7C746993F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27997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3</xdr:row>
      <xdr:rowOff>73623</xdr:rowOff>
    </xdr:from>
    <xdr:to>
      <xdr:col>4</xdr:col>
      <xdr:colOff>1639151</xdr:colOff>
      <xdr:row>4</xdr:row>
      <xdr:rowOff>107456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1830A6D-EF7C-415A-949D-050F4A32E4DA}"/>
            </a:ext>
          </a:extLst>
        </xdr:cNvPr>
        <xdr:cNvSpPr txBox="1"/>
      </xdr:nvSpPr>
      <xdr:spPr>
        <a:xfrm>
          <a:off x="2618075" y="53082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</xdr:row>
      <xdr:rowOff>84234</xdr:rowOff>
    </xdr:from>
    <xdr:to>
      <xdr:col>4</xdr:col>
      <xdr:colOff>607428</xdr:colOff>
      <xdr:row>3</xdr:row>
      <xdr:rowOff>41009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28FAC2C-C3A5-4FC5-91B6-2143B38964C0}"/>
            </a:ext>
          </a:extLst>
        </xdr:cNvPr>
        <xdr:cNvSpPr txBox="1"/>
      </xdr:nvSpPr>
      <xdr:spPr>
        <a:xfrm>
          <a:off x="3498656" y="16043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</xdr:row>
      <xdr:rowOff>20221</xdr:rowOff>
    </xdr:from>
    <xdr:to>
      <xdr:col>2</xdr:col>
      <xdr:colOff>463860</xdr:colOff>
      <xdr:row>6</xdr:row>
      <xdr:rowOff>149030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BE98358-C4AB-4CD0-A5D6-EAB4F73ED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286921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128</xdr:row>
      <xdr:rowOff>132724</xdr:rowOff>
    </xdr:from>
    <xdr:to>
      <xdr:col>3</xdr:col>
      <xdr:colOff>177155</xdr:colOff>
      <xdr:row>139</xdr:row>
      <xdr:rowOff>106914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F7CF458E-35C3-4A4D-BD78-3CE0F222CEDD}"/>
            </a:ext>
          </a:extLst>
        </xdr:cNvPr>
        <xdr:cNvSpPr/>
      </xdr:nvSpPr>
      <xdr:spPr>
        <a:xfrm>
          <a:off x="302986" y="24088099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128</xdr:row>
      <xdr:rowOff>123070</xdr:rowOff>
    </xdr:from>
    <xdr:to>
      <xdr:col>6</xdr:col>
      <xdr:colOff>58316</xdr:colOff>
      <xdr:row>134</xdr:row>
      <xdr:rowOff>28702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EC4CFB73-BF47-406B-8223-7085D2546326}"/>
            </a:ext>
          </a:extLst>
        </xdr:cNvPr>
        <xdr:cNvSpPr/>
      </xdr:nvSpPr>
      <xdr:spPr>
        <a:xfrm>
          <a:off x="5124515" y="24078445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124</xdr:row>
      <xdr:rowOff>159641</xdr:rowOff>
    </xdr:from>
    <xdr:to>
      <xdr:col>4</xdr:col>
      <xdr:colOff>903147</xdr:colOff>
      <xdr:row>126</xdr:row>
      <xdr:rowOff>99299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339F15D-BBFD-4D25-AED3-1B5084D2C53D}"/>
            </a:ext>
          </a:extLst>
        </xdr:cNvPr>
        <xdr:cNvSpPr/>
      </xdr:nvSpPr>
      <xdr:spPr>
        <a:xfrm>
          <a:off x="3270261" y="23238716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122</xdr:row>
      <xdr:rowOff>13272</xdr:rowOff>
    </xdr:from>
    <xdr:to>
      <xdr:col>5</xdr:col>
      <xdr:colOff>1456069</xdr:colOff>
      <xdr:row>127</xdr:row>
      <xdr:rowOff>217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6384571-76BB-4400-B561-5C492B4FB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22711347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123</xdr:row>
      <xdr:rowOff>73623</xdr:rowOff>
    </xdr:from>
    <xdr:to>
      <xdr:col>4</xdr:col>
      <xdr:colOff>1639151</xdr:colOff>
      <xdr:row>124</xdr:row>
      <xdr:rowOff>107456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EB74814-0297-4D30-9ED7-C5B3B2C5634D}"/>
            </a:ext>
          </a:extLst>
        </xdr:cNvPr>
        <xdr:cNvSpPr txBox="1"/>
      </xdr:nvSpPr>
      <xdr:spPr>
        <a:xfrm>
          <a:off x="2618075" y="22962198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121</xdr:row>
      <xdr:rowOff>84234</xdr:rowOff>
    </xdr:from>
    <xdr:to>
      <xdr:col>4</xdr:col>
      <xdr:colOff>607428</xdr:colOff>
      <xdr:row>123</xdr:row>
      <xdr:rowOff>41009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FF0A569-7ABF-4643-8A8D-61942566CAAD}"/>
            </a:ext>
          </a:extLst>
        </xdr:cNvPr>
        <xdr:cNvSpPr txBox="1"/>
      </xdr:nvSpPr>
      <xdr:spPr>
        <a:xfrm>
          <a:off x="3498656" y="22591809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122</xdr:row>
      <xdr:rowOff>20221</xdr:rowOff>
    </xdr:from>
    <xdr:to>
      <xdr:col>2</xdr:col>
      <xdr:colOff>463860</xdr:colOff>
      <xdr:row>126</xdr:row>
      <xdr:rowOff>149030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1ED6670-E0CC-49D6-953F-1D5E5797F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22718296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248</xdr:row>
      <xdr:rowOff>132724</xdr:rowOff>
    </xdr:from>
    <xdr:to>
      <xdr:col>3</xdr:col>
      <xdr:colOff>177155</xdr:colOff>
      <xdr:row>259</xdr:row>
      <xdr:rowOff>106914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D28CF2D9-CB6C-4B0A-9414-45A319C19276}"/>
            </a:ext>
          </a:extLst>
        </xdr:cNvPr>
        <xdr:cNvSpPr/>
      </xdr:nvSpPr>
      <xdr:spPr>
        <a:xfrm>
          <a:off x="302986" y="4651947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248</xdr:row>
      <xdr:rowOff>123070</xdr:rowOff>
    </xdr:from>
    <xdr:to>
      <xdr:col>6</xdr:col>
      <xdr:colOff>58316</xdr:colOff>
      <xdr:row>254</xdr:row>
      <xdr:rowOff>28702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4B847772-F752-4C1C-8B35-13AFF573DAF3}"/>
            </a:ext>
          </a:extLst>
        </xdr:cNvPr>
        <xdr:cNvSpPr/>
      </xdr:nvSpPr>
      <xdr:spPr>
        <a:xfrm>
          <a:off x="5124515" y="4650982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244</xdr:row>
      <xdr:rowOff>159641</xdr:rowOff>
    </xdr:from>
    <xdr:to>
      <xdr:col>4</xdr:col>
      <xdr:colOff>903147</xdr:colOff>
      <xdr:row>246</xdr:row>
      <xdr:rowOff>99299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13ADEF0-9742-43DE-97AF-CD75B19640E1}"/>
            </a:ext>
          </a:extLst>
        </xdr:cNvPr>
        <xdr:cNvSpPr/>
      </xdr:nvSpPr>
      <xdr:spPr>
        <a:xfrm>
          <a:off x="3270261" y="4567009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242</xdr:row>
      <xdr:rowOff>13272</xdr:rowOff>
    </xdr:from>
    <xdr:to>
      <xdr:col>5</xdr:col>
      <xdr:colOff>1456069</xdr:colOff>
      <xdr:row>247</xdr:row>
      <xdr:rowOff>217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B98398A-D7BF-4BFB-9515-7683A577E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4514272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243</xdr:row>
      <xdr:rowOff>73623</xdr:rowOff>
    </xdr:from>
    <xdr:to>
      <xdr:col>4</xdr:col>
      <xdr:colOff>1639151</xdr:colOff>
      <xdr:row>244</xdr:row>
      <xdr:rowOff>107456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B7D7A4A-815A-4B7D-AA08-334257DE6ED5}"/>
            </a:ext>
          </a:extLst>
        </xdr:cNvPr>
        <xdr:cNvSpPr txBox="1"/>
      </xdr:nvSpPr>
      <xdr:spPr>
        <a:xfrm>
          <a:off x="2618075" y="4539357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241</xdr:row>
      <xdr:rowOff>84234</xdr:rowOff>
    </xdr:from>
    <xdr:to>
      <xdr:col>4</xdr:col>
      <xdr:colOff>607428</xdr:colOff>
      <xdr:row>243</xdr:row>
      <xdr:rowOff>41009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38F858F-43D2-4C31-8DA8-90E81B548240}"/>
            </a:ext>
          </a:extLst>
        </xdr:cNvPr>
        <xdr:cNvSpPr txBox="1"/>
      </xdr:nvSpPr>
      <xdr:spPr>
        <a:xfrm>
          <a:off x="3498656" y="4502318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242</xdr:row>
      <xdr:rowOff>20221</xdr:rowOff>
    </xdr:from>
    <xdr:to>
      <xdr:col>2</xdr:col>
      <xdr:colOff>463860</xdr:colOff>
      <xdr:row>246</xdr:row>
      <xdr:rowOff>149030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AAB2B42-CECD-4F05-B41F-DD436FD51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45149671"/>
          <a:ext cx="1257579" cy="89080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226786</xdr:colOff>
      <xdr:row>8</xdr:row>
      <xdr:rowOff>132724</xdr:rowOff>
    </xdr:from>
    <xdr:to>
      <xdr:col>3</xdr:col>
      <xdr:colOff>177155</xdr:colOff>
      <xdr:row>19</xdr:row>
      <xdr:rowOff>106914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01542BD-7275-4504-9126-E7EC6FE97D24}"/>
            </a:ext>
          </a:extLst>
        </xdr:cNvPr>
        <xdr:cNvSpPr/>
      </xdr:nvSpPr>
      <xdr:spPr>
        <a:xfrm>
          <a:off x="302986" y="165672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8</xdr:row>
      <xdr:rowOff>123070</xdr:rowOff>
    </xdr:from>
    <xdr:to>
      <xdr:col>6</xdr:col>
      <xdr:colOff>58316</xdr:colOff>
      <xdr:row>14</xdr:row>
      <xdr:rowOff>28702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C15CE11-E054-4B07-A15F-CDB55CCCE490}"/>
            </a:ext>
          </a:extLst>
        </xdr:cNvPr>
        <xdr:cNvSpPr/>
      </xdr:nvSpPr>
      <xdr:spPr>
        <a:xfrm>
          <a:off x="5124515" y="164707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4</xdr:row>
      <xdr:rowOff>159641</xdr:rowOff>
    </xdr:from>
    <xdr:to>
      <xdr:col>4</xdr:col>
      <xdr:colOff>903147</xdr:colOff>
      <xdr:row>6</xdr:row>
      <xdr:rowOff>99299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BD1773C-01D0-47AA-BC60-D3E797EF70BB}"/>
            </a:ext>
          </a:extLst>
        </xdr:cNvPr>
        <xdr:cNvSpPr/>
      </xdr:nvSpPr>
      <xdr:spPr>
        <a:xfrm>
          <a:off x="3270261" y="80734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</xdr:row>
      <xdr:rowOff>13272</xdr:rowOff>
    </xdr:from>
    <xdr:to>
      <xdr:col>5</xdr:col>
      <xdr:colOff>1456069</xdr:colOff>
      <xdr:row>7</xdr:row>
      <xdr:rowOff>217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F6307D9-B0B0-4A1F-A406-14F5DB6B7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27997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3</xdr:row>
      <xdr:rowOff>73623</xdr:rowOff>
    </xdr:from>
    <xdr:to>
      <xdr:col>4</xdr:col>
      <xdr:colOff>1639151</xdr:colOff>
      <xdr:row>4</xdr:row>
      <xdr:rowOff>107456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069C7F8-2B67-4CA4-93C1-E44BEB40505B}"/>
            </a:ext>
          </a:extLst>
        </xdr:cNvPr>
        <xdr:cNvSpPr txBox="1"/>
      </xdr:nvSpPr>
      <xdr:spPr>
        <a:xfrm>
          <a:off x="2618075" y="53082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</xdr:row>
      <xdr:rowOff>84234</xdr:rowOff>
    </xdr:from>
    <xdr:to>
      <xdr:col>4</xdr:col>
      <xdr:colOff>607428</xdr:colOff>
      <xdr:row>3</xdr:row>
      <xdr:rowOff>41009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02F620D-6551-4817-BAF5-B04BDFB6B248}"/>
            </a:ext>
          </a:extLst>
        </xdr:cNvPr>
        <xdr:cNvSpPr txBox="1"/>
      </xdr:nvSpPr>
      <xdr:spPr>
        <a:xfrm>
          <a:off x="3498656" y="16043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</xdr:row>
      <xdr:rowOff>20221</xdr:rowOff>
    </xdr:from>
    <xdr:to>
      <xdr:col>2</xdr:col>
      <xdr:colOff>463860</xdr:colOff>
      <xdr:row>6</xdr:row>
      <xdr:rowOff>149030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8CF4F7B-8EAA-47A1-ADDD-4F3EC2EB9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286921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128</xdr:row>
      <xdr:rowOff>132724</xdr:rowOff>
    </xdr:from>
    <xdr:to>
      <xdr:col>3</xdr:col>
      <xdr:colOff>177155</xdr:colOff>
      <xdr:row>139</xdr:row>
      <xdr:rowOff>106914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F48EF728-ED57-416B-96DE-20CF79226886}"/>
            </a:ext>
          </a:extLst>
        </xdr:cNvPr>
        <xdr:cNvSpPr/>
      </xdr:nvSpPr>
      <xdr:spPr>
        <a:xfrm>
          <a:off x="302986" y="24088099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128</xdr:row>
      <xdr:rowOff>123070</xdr:rowOff>
    </xdr:from>
    <xdr:to>
      <xdr:col>6</xdr:col>
      <xdr:colOff>58316</xdr:colOff>
      <xdr:row>134</xdr:row>
      <xdr:rowOff>28702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63172A50-5F00-4BE5-B134-E8238F9E20B5}"/>
            </a:ext>
          </a:extLst>
        </xdr:cNvPr>
        <xdr:cNvSpPr/>
      </xdr:nvSpPr>
      <xdr:spPr>
        <a:xfrm>
          <a:off x="5124515" y="24078445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124</xdr:row>
      <xdr:rowOff>159641</xdr:rowOff>
    </xdr:from>
    <xdr:to>
      <xdr:col>4</xdr:col>
      <xdr:colOff>903147</xdr:colOff>
      <xdr:row>126</xdr:row>
      <xdr:rowOff>99299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0134258-A107-4447-913E-5FE2C8C99A78}"/>
            </a:ext>
          </a:extLst>
        </xdr:cNvPr>
        <xdr:cNvSpPr/>
      </xdr:nvSpPr>
      <xdr:spPr>
        <a:xfrm>
          <a:off x="3270261" y="23238716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122</xdr:row>
      <xdr:rowOff>13272</xdr:rowOff>
    </xdr:from>
    <xdr:to>
      <xdr:col>5</xdr:col>
      <xdr:colOff>1456069</xdr:colOff>
      <xdr:row>127</xdr:row>
      <xdr:rowOff>217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9F0D00D-FE88-4AED-81E9-0FE5E0DCE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22711347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123</xdr:row>
      <xdr:rowOff>73623</xdr:rowOff>
    </xdr:from>
    <xdr:to>
      <xdr:col>4</xdr:col>
      <xdr:colOff>1639151</xdr:colOff>
      <xdr:row>124</xdr:row>
      <xdr:rowOff>107456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A25449E-5BD4-4FBA-8F1A-4D776E2126CF}"/>
            </a:ext>
          </a:extLst>
        </xdr:cNvPr>
        <xdr:cNvSpPr txBox="1"/>
      </xdr:nvSpPr>
      <xdr:spPr>
        <a:xfrm>
          <a:off x="2618075" y="22962198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121</xdr:row>
      <xdr:rowOff>84234</xdr:rowOff>
    </xdr:from>
    <xdr:to>
      <xdr:col>4</xdr:col>
      <xdr:colOff>607428</xdr:colOff>
      <xdr:row>123</xdr:row>
      <xdr:rowOff>41009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489CF77-6EC7-440E-8DAB-C98B1D00E390}"/>
            </a:ext>
          </a:extLst>
        </xdr:cNvPr>
        <xdr:cNvSpPr txBox="1"/>
      </xdr:nvSpPr>
      <xdr:spPr>
        <a:xfrm>
          <a:off x="3498656" y="22591809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122</xdr:row>
      <xdr:rowOff>20221</xdr:rowOff>
    </xdr:from>
    <xdr:to>
      <xdr:col>2</xdr:col>
      <xdr:colOff>463860</xdr:colOff>
      <xdr:row>126</xdr:row>
      <xdr:rowOff>149030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C057F66-0102-48B2-AE29-82EB60BA8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22718296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248</xdr:row>
      <xdr:rowOff>132724</xdr:rowOff>
    </xdr:from>
    <xdr:to>
      <xdr:col>3</xdr:col>
      <xdr:colOff>177155</xdr:colOff>
      <xdr:row>259</xdr:row>
      <xdr:rowOff>106914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456F1566-1BFF-4351-932C-EC2C096E83B5}"/>
            </a:ext>
          </a:extLst>
        </xdr:cNvPr>
        <xdr:cNvSpPr/>
      </xdr:nvSpPr>
      <xdr:spPr>
        <a:xfrm>
          <a:off x="302986" y="4651947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248</xdr:row>
      <xdr:rowOff>123070</xdr:rowOff>
    </xdr:from>
    <xdr:to>
      <xdr:col>6</xdr:col>
      <xdr:colOff>58316</xdr:colOff>
      <xdr:row>254</xdr:row>
      <xdr:rowOff>28702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2B770540-C9B1-48EC-82BA-CA2CE5EA1E4B}"/>
            </a:ext>
          </a:extLst>
        </xdr:cNvPr>
        <xdr:cNvSpPr/>
      </xdr:nvSpPr>
      <xdr:spPr>
        <a:xfrm>
          <a:off x="5124515" y="4650982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244</xdr:row>
      <xdr:rowOff>159641</xdr:rowOff>
    </xdr:from>
    <xdr:to>
      <xdr:col>4</xdr:col>
      <xdr:colOff>903147</xdr:colOff>
      <xdr:row>246</xdr:row>
      <xdr:rowOff>99299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045F319-F859-4A56-A17B-2203F41A5931}"/>
            </a:ext>
          </a:extLst>
        </xdr:cNvPr>
        <xdr:cNvSpPr/>
      </xdr:nvSpPr>
      <xdr:spPr>
        <a:xfrm>
          <a:off x="3270261" y="4567009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242</xdr:row>
      <xdr:rowOff>13272</xdr:rowOff>
    </xdr:from>
    <xdr:to>
      <xdr:col>5</xdr:col>
      <xdr:colOff>1456069</xdr:colOff>
      <xdr:row>247</xdr:row>
      <xdr:rowOff>217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70BDB5E-9D98-4819-B90E-7B2EEF2A9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4514272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243</xdr:row>
      <xdr:rowOff>73623</xdr:rowOff>
    </xdr:from>
    <xdr:to>
      <xdr:col>4</xdr:col>
      <xdr:colOff>1639151</xdr:colOff>
      <xdr:row>244</xdr:row>
      <xdr:rowOff>107456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A7F125B-FE48-4272-B453-238C367DBE59}"/>
            </a:ext>
          </a:extLst>
        </xdr:cNvPr>
        <xdr:cNvSpPr txBox="1"/>
      </xdr:nvSpPr>
      <xdr:spPr>
        <a:xfrm>
          <a:off x="2618075" y="4539357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241</xdr:row>
      <xdr:rowOff>84234</xdr:rowOff>
    </xdr:from>
    <xdr:to>
      <xdr:col>4</xdr:col>
      <xdr:colOff>607428</xdr:colOff>
      <xdr:row>243</xdr:row>
      <xdr:rowOff>41009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2D6DA5E-4DA0-4037-831A-02CA16E8EA73}"/>
            </a:ext>
          </a:extLst>
        </xdr:cNvPr>
        <xdr:cNvSpPr txBox="1"/>
      </xdr:nvSpPr>
      <xdr:spPr>
        <a:xfrm>
          <a:off x="3498656" y="4502318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242</xdr:row>
      <xdr:rowOff>20221</xdr:rowOff>
    </xdr:from>
    <xdr:to>
      <xdr:col>2</xdr:col>
      <xdr:colOff>463860</xdr:colOff>
      <xdr:row>246</xdr:row>
      <xdr:rowOff>149030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1CB9F0C-D730-412A-818D-AA2C7D9EE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45149671"/>
          <a:ext cx="1257579" cy="89080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226786</xdr:colOff>
      <xdr:row>8</xdr:row>
      <xdr:rowOff>132724</xdr:rowOff>
    </xdr:from>
    <xdr:to>
      <xdr:col>3</xdr:col>
      <xdr:colOff>177155</xdr:colOff>
      <xdr:row>19</xdr:row>
      <xdr:rowOff>106914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F73C859-6025-4687-B407-0CB28EEA7C64}"/>
            </a:ext>
          </a:extLst>
        </xdr:cNvPr>
        <xdr:cNvSpPr/>
      </xdr:nvSpPr>
      <xdr:spPr>
        <a:xfrm>
          <a:off x="302986" y="165672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8</xdr:row>
      <xdr:rowOff>123070</xdr:rowOff>
    </xdr:from>
    <xdr:to>
      <xdr:col>6</xdr:col>
      <xdr:colOff>58316</xdr:colOff>
      <xdr:row>14</xdr:row>
      <xdr:rowOff>28702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EB9AFD4-E1FE-4D3E-A477-D7B51D9363FC}"/>
            </a:ext>
          </a:extLst>
        </xdr:cNvPr>
        <xdr:cNvSpPr/>
      </xdr:nvSpPr>
      <xdr:spPr>
        <a:xfrm>
          <a:off x="5124515" y="164707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4</xdr:row>
      <xdr:rowOff>159641</xdr:rowOff>
    </xdr:from>
    <xdr:to>
      <xdr:col>4</xdr:col>
      <xdr:colOff>903147</xdr:colOff>
      <xdr:row>6</xdr:row>
      <xdr:rowOff>99299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43E17A3-8874-4C19-8B48-8ED421BB63A6}"/>
            </a:ext>
          </a:extLst>
        </xdr:cNvPr>
        <xdr:cNvSpPr/>
      </xdr:nvSpPr>
      <xdr:spPr>
        <a:xfrm>
          <a:off x="3270261" y="80734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</xdr:row>
      <xdr:rowOff>13272</xdr:rowOff>
    </xdr:from>
    <xdr:to>
      <xdr:col>5</xdr:col>
      <xdr:colOff>1456069</xdr:colOff>
      <xdr:row>7</xdr:row>
      <xdr:rowOff>217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932C6E-5C18-47E9-BB77-E79FA12C0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27997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3</xdr:row>
      <xdr:rowOff>73623</xdr:rowOff>
    </xdr:from>
    <xdr:to>
      <xdr:col>4</xdr:col>
      <xdr:colOff>1639151</xdr:colOff>
      <xdr:row>4</xdr:row>
      <xdr:rowOff>107456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879F1AC-A08A-40E9-AAD7-7C8CF43681AB}"/>
            </a:ext>
          </a:extLst>
        </xdr:cNvPr>
        <xdr:cNvSpPr txBox="1"/>
      </xdr:nvSpPr>
      <xdr:spPr>
        <a:xfrm>
          <a:off x="2618075" y="53082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</xdr:row>
      <xdr:rowOff>84234</xdr:rowOff>
    </xdr:from>
    <xdr:to>
      <xdr:col>4</xdr:col>
      <xdr:colOff>607428</xdr:colOff>
      <xdr:row>3</xdr:row>
      <xdr:rowOff>41009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88C33F-D2FB-431C-ADA8-EFFE8178B71C}"/>
            </a:ext>
          </a:extLst>
        </xdr:cNvPr>
        <xdr:cNvSpPr txBox="1"/>
      </xdr:nvSpPr>
      <xdr:spPr>
        <a:xfrm>
          <a:off x="3498656" y="16043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</xdr:row>
      <xdr:rowOff>20221</xdr:rowOff>
    </xdr:from>
    <xdr:to>
      <xdr:col>2</xdr:col>
      <xdr:colOff>463860</xdr:colOff>
      <xdr:row>6</xdr:row>
      <xdr:rowOff>149030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CAFEE34-47D9-4ACA-8B53-9A167E068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286921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128</xdr:row>
      <xdr:rowOff>132724</xdr:rowOff>
    </xdr:from>
    <xdr:to>
      <xdr:col>3</xdr:col>
      <xdr:colOff>177155</xdr:colOff>
      <xdr:row>139</xdr:row>
      <xdr:rowOff>106914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4AA8DB6B-120F-4719-8FDB-3D31742F78A2}"/>
            </a:ext>
          </a:extLst>
        </xdr:cNvPr>
        <xdr:cNvSpPr/>
      </xdr:nvSpPr>
      <xdr:spPr>
        <a:xfrm>
          <a:off x="302986" y="24088099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128</xdr:row>
      <xdr:rowOff>123070</xdr:rowOff>
    </xdr:from>
    <xdr:to>
      <xdr:col>6</xdr:col>
      <xdr:colOff>58316</xdr:colOff>
      <xdr:row>134</xdr:row>
      <xdr:rowOff>28702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607E29B0-2C0E-48E7-B40B-5DE2014320E7}"/>
            </a:ext>
          </a:extLst>
        </xdr:cNvPr>
        <xdr:cNvSpPr/>
      </xdr:nvSpPr>
      <xdr:spPr>
        <a:xfrm>
          <a:off x="5124515" y="24078445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124</xdr:row>
      <xdr:rowOff>159641</xdr:rowOff>
    </xdr:from>
    <xdr:to>
      <xdr:col>4</xdr:col>
      <xdr:colOff>903147</xdr:colOff>
      <xdr:row>126</xdr:row>
      <xdr:rowOff>99299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DCBFD97-175B-407B-962C-2199847DA543}"/>
            </a:ext>
          </a:extLst>
        </xdr:cNvPr>
        <xdr:cNvSpPr/>
      </xdr:nvSpPr>
      <xdr:spPr>
        <a:xfrm>
          <a:off x="3270261" y="23238716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122</xdr:row>
      <xdr:rowOff>13272</xdr:rowOff>
    </xdr:from>
    <xdr:to>
      <xdr:col>5</xdr:col>
      <xdr:colOff>1456069</xdr:colOff>
      <xdr:row>127</xdr:row>
      <xdr:rowOff>217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12D0E8-95FA-4F70-9A55-5FF1FB5B2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22711347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123</xdr:row>
      <xdr:rowOff>73623</xdr:rowOff>
    </xdr:from>
    <xdr:to>
      <xdr:col>4</xdr:col>
      <xdr:colOff>1639151</xdr:colOff>
      <xdr:row>124</xdr:row>
      <xdr:rowOff>107456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67BE9AA-E1F4-4F7B-9323-2646D69733B2}"/>
            </a:ext>
          </a:extLst>
        </xdr:cNvPr>
        <xdr:cNvSpPr txBox="1"/>
      </xdr:nvSpPr>
      <xdr:spPr>
        <a:xfrm>
          <a:off x="2618075" y="22962198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121</xdr:row>
      <xdr:rowOff>84234</xdr:rowOff>
    </xdr:from>
    <xdr:to>
      <xdr:col>4</xdr:col>
      <xdr:colOff>607428</xdr:colOff>
      <xdr:row>123</xdr:row>
      <xdr:rowOff>41009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416F1E7-3341-4AA7-86C6-4205EB9ABC26}"/>
            </a:ext>
          </a:extLst>
        </xdr:cNvPr>
        <xdr:cNvSpPr txBox="1"/>
      </xdr:nvSpPr>
      <xdr:spPr>
        <a:xfrm>
          <a:off x="3498656" y="22591809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122</xdr:row>
      <xdr:rowOff>20221</xdr:rowOff>
    </xdr:from>
    <xdr:to>
      <xdr:col>2</xdr:col>
      <xdr:colOff>463860</xdr:colOff>
      <xdr:row>126</xdr:row>
      <xdr:rowOff>149030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5F91C5D-D449-4976-A6D0-47A124E7E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22718296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248</xdr:row>
      <xdr:rowOff>132724</xdr:rowOff>
    </xdr:from>
    <xdr:to>
      <xdr:col>3</xdr:col>
      <xdr:colOff>177155</xdr:colOff>
      <xdr:row>259</xdr:row>
      <xdr:rowOff>106914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EF50D3C4-9BB9-45A1-9410-6E29D9EDE127}"/>
            </a:ext>
          </a:extLst>
        </xdr:cNvPr>
        <xdr:cNvSpPr/>
      </xdr:nvSpPr>
      <xdr:spPr>
        <a:xfrm>
          <a:off x="302986" y="4651947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248</xdr:row>
      <xdr:rowOff>123070</xdr:rowOff>
    </xdr:from>
    <xdr:to>
      <xdr:col>6</xdr:col>
      <xdr:colOff>58316</xdr:colOff>
      <xdr:row>254</xdr:row>
      <xdr:rowOff>28702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D33746C5-C259-4897-A9FE-F4C70DB4F1E4}"/>
            </a:ext>
          </a:extLst>
        </xdr:cNvPr>
        <xdr:cNvSpPr/>
      </xdr:nvSpPr>
      <xdr:spPr>
        <a:xfrm>
          <a:off x="5124515" y="4650982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244</xdr:row>
      <xdr:rowOff>159641</xdr:rowOff>
    </xdr:from>
    <xdr:to>
      <xdr:col>4</xdr:col>
      <xdr:colOff>903147</xdr:colOff>
      <xdr:row>246</xdr:row>
      <xdr:rowOff>99299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A4DE979-184F-47CA-B266-16C5C7019B2B}"/>
            </a:ext>
          </a:extLst>
        </xdr:cNvPr>
        <xdr:cNvSpPr/>
      </xdr:nvSpPr>
      <xdr:spPr>
        <a:xfrm>
          <a:off x="3270261" y="4567009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242</xdr:row>
      <xdr:rowOff>13272</xdr:rowOff>
    </xdr:from>
    <xdr:to>
      <xdr:col>5</xdr:col>
      <xdr:colOff>1456069</xdr:colOff>
      <xdr:row>247</xdr:row>
      <xdr:rowOff>217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28C84DB-C42F-4C7B-B023-0DEBE606C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4514272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243</xdr:row>
      <xdr:rowOff>73623</xdr:rowOff>
    </xdr:from>
    <xdr:to>
      <xdr:col>4</xdr:col>
      <xdr:colOff>1639151</xdr:colOff>
      <xdr:row>244</xdr:row>
      <xdr:rowOff>107456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B17A7FB-6080-4E10-A0BD-F4071348B0B5}"/>
            </a:ext>
          </a:extLst>
        </xdr:cNvPr>
        <xdr:cNvSpPr txBox="1"/>
      </xdr:nvSpPr>
      <xdr:spPr>
        <a:xfrm>
          <a:off x="2618075" y="4539357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241</xdr:row>
      <xdr:rowOff>84234</xdr:rowOff>
    </xdr:from>
    <xdr:to>
      <xdr:col>4</xdr:col>
      <xdr:colOff>607428</xdr:colOff>
      <xdr:row>243</xdr:row>
      <xdr:rowOff>41009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6710AB8-2FC8-41E6-9BF9-8C8A254F6EAE}"/>
            </a:ext>
          </a:extLst>
        </xdr:cNvPr>
        <xdr:cNvSpPr txBox="1"/>
      </xdr:nvSpPr>
      <xdr:spPr>
        <a:xfrm>
          <a:off x="3498656" y="4502318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242</xdr:row>
      <xdr:rowOff>20221</xdr:rowOff>
    </xdr:from>
    <xdr:to>
      <xdr:col>2</xdr:col>
      <xdr:colOff>463860</xdr:colOff>
      <xdr:row>246</xdr:row>
      <xdr:rowOff>149030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60965A4-C22A-4491-91EE-42BF53939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45149671"/>
          <a:ext cx="1257579" cy="89080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226786</xdr:colOff>
      <xdr:row>8</xdr:row>
      <xdr:rowOff>132724</xdr:rowOff>
    </xdr:from>
    <xdr:to>
      <xdr:col>3</xdr:col>
      <xdr:colOff>177155</xdr:colOff>
      <xdr:row>19</xdr:row>
      <xdr:rowOff>106914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53C64DD-0AFF-48CC-982B-5ADBF821DA18}"/>
            </a:ext>
          </a:extLst>
        </xdr:cNvPr>
        <xdr:cNvSpPr/>
      </xdr:nvSpPr>
      <xdr:spPr>
        <a:xfrm>
          <a:off x="302986" y="165672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8</xdr:row>
      <xdr:rowOff>123070</xdr:rowOff>
    </xdr:from>
    <xdr:to>
      <xdr:col>6</xdr:col>
      <xdr:colOff>58316</xdr:colOff>
      <xdr:row>14</xdr:row>
      <xdr:rowOff>28702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14096070-A88D-463D-9D15-95BCFF4E4FA8}"/>
            </a:ext>
          </a:extLst>
        </xdr:cNvPr>
        <xdr:cNvSpPr/>
      </xdr:nvSpPr>
      <xdr:spPr>
        <a:xfrm>
          <a:off x="5124515" y="164707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4</xdr:row>
      <xdr:rowOff>159641</xdr:rowOff>
    </xdr:from>
    <xdr:to>
      <xdr:col>4</xdr:col>
      <xdr:colOff>903147</xdr:colOff>
      <xdr:row>6</xdr:row>
      <xdr:rowOff>99299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E9461C8-5C53-4F6E-8267-980E4E247B5A}"/>
            </a:ext>
          </a:extLst>
        </xdr:cNvPr>
        <xdr:cNvSpPr/>
      </xdr:nvSpPr>
      <xdr:spPr>
        <a:xfrm>
          <a:off x="3270261" y="80734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</xdr:row>
      <xdr:rowOff>13272</xdr:rowOff>
    </xdr:from>
    <xdr:to>
      <xdr:col>5</xdr:col>
      <xdr:colOff>1456069</xdr:colOff>
      <xdr:row>7</xdr:row>
      <xdr:rowOff>217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421B9E3-2704-475E-A638-A41F8ACE5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27997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3</xdr:row>
      <xdr:rowOff>73623</xdr:rowOff>
    </xdr:from>
    <xdr:to>
      <xdr:col>4</xdr:col>
      <xdr:colOff>1639151</xdr:colOff>
      <xdr:row>4</xdr:row>
      <xdr:rowOff>107456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25E3E4B-5D64-4388-BC91-29916350F13B}"/>
            </a:ext>
          </a:extLst>
        </xdr:cNvPr>
        <xdr:cNvSpPr txBox="1"/>
      </xdr:nvSpPr>
      <xdr:spPr>
        <a:xfrm>
          <a:off x="2618075" y="53082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</xdr:row>
      <xdr:rowOff>84234</xdr:rowOff>
    </xdr:from>
    <xdr:to>
      <xdr:col>4</xdr:col>
      <xdr:colOff>607428</xdr:colOff>
      <xdr:row>3</xdr:row>
      <xdr:rowOff>41009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B160A69-4EC2-4A3A-9D98-E51845CAD614}"/>
            </a:ext>
          </a:extLst>
        </xdr:cNvPr>
        <xdr:cNvSpPr txBox="1"/>
      </xdr:nvSpPr>
      <xdr:spPr>
        <a:xfrm>
          <a:off x="3498656" y="16043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</xdr:row>
      <xdr:rowOff>20221</xdr:rowOff>
    </xdr:from>
    <xdr:to>
      <xdr:col>2</xdr:col>
      <xdr:colOff>463860</xdr:colOff>
      <xdr:row>6</xdr:row>
      <xdr:rowOff>149030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BA8F020-4DAA-4B77-86AA-669054D55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286921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128</xdr:row>
      <xdr:rowOff>132724</xdr:rowOff>
    </xdr:from>
    <xdr:to>
      <xdr:col>3</xdr:col>
      <xdr:colOff>177155</xdr:colOff>
      <xdr:row>139</xdr:row>
      <xdr:rowOff>106914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74D3BE85-DF50-416F-A8C6-626C4F590DA2}"/>
            </a:ext>
          </a:extLst>
        </xdr:cNvPr>
        <xdr:cNvSpPr/>
      </xdr:nvSpPr>
      <xdr:spPr>
        <a:xfrm>
          <a:off x="302986" y="24088099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128</xdr:row>
      <xdr:rowOff>123070</xdr:rowOff>
    </xdr:from>
    <xdr:to>
      <xdr:col>6</xdr:col>
      <xdr:colOff>58316</xdr:colOff>
      <xdr:row>134</xdr:row>
      <xdr:rowOff>28702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B25AB0E4-8D59-4A69-8DB0-D53FB43AD2B3}"/>
            </a:ext>
          </a:extLst>
        </xdr:cNvPr>
        <xdr:cNvSpPr/>
      </xdr:nvSpPr>
      <xdr:spPr>
        <a:xfrm>
          <a:off x="5124515" y="24078445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124</xdr:row>
      <xdr:rowOff>159641</xdr:rowOff>
    </xdr:from>
    <xdr:to>
      <xdr:col>4</xdr:col>
      <xdr:colOff>903147</xdr:colOff>
      <xdr:row>126</xdr:row>
      <xdr:rowOff>99299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F4BB1431-2184-453D-B7BF-93B745A989C1}"/>
            </a:ext>
          </a:extLst>
        </xdr:cNvPr>
        <xdr:cNvSpPr/>
      </xdr:nvSpPr>
      <xdr:spPr>
        <a:xfrm>
          <a:off x="3270261" y="23238716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122</xdr:row>
      <xdr:rowOff>13272</xdr:rowOff>
    </xdr:from>
    <xdr:to>
      <xdr:col>5</xdr:col>
      <xdr:colOff>1456069</xdr:colOff>
      <xdr:row>127</xdr:row>
      <xdr:rowOff>217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70E19E5-F3F3-433E-9FA9-A0FBB22BF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22711347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123</xdr:row>
      <xdr:rowOff>73623</xdr:rowOff>
    </xdr:from>
    <xdr:to>
      <xdr:col>4</xdr:col>
      <xdr:colOff>1639151</xdr:colOff>
      <xdr:row>124</xdr:row>
      <xdr:rowOff>107456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06AE0DD-AEF5-49EE-B0B9-1A13AEA3EF0B}"/>
            </a:ext>
          </a:extLst>
        </xdr:cNvPr>
        <xdr:cNvSpPr txBox="1"/>
      </xdr:nvSpPr>
      <xdr:spPr>
        <a:xfrm>
          <a:off x="2618075" y="22962198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121</xdr:row>
      <xdr:rowOff>84234</xdr:rowOff>
    </xdr:from>
    <xdr:to>
      <xdr:col>4</xdr:col>
      <xdr:colOff>607428</xdr:colOff>
      <xdr:row>123</xdr:row>
      <xdr:rowOff>41009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9673DBC-7383-44D7-8D81-E856C26AC80A}"/>
            </a:ext>
          </a:extLst>
        </xdr:cNvPr>
        <xdr:cNvSpPr txBox="1"/>
      </xdr:nvSpPr>
      <xdr:spPr>
        <a:xfrm>
          <a:off x="3498656" y="22591809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122</xdr:row>
      <xdr:rowOff>20221</xdr:rowOff>
    </xdr:from>
    <xdr:to>
      <xdr:col>2</xdr:col>
      <xdr:colOff>463860</xdr:colOff>
      <xdr:row>126</xdr:row>
      <xdr:rowOff>149030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731042B-F8AE-4D2C-B772-CFC5E9A3E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22718296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248</xdr:row>
      <xdr:rowOff>132724</xdr:rowOff>
    </xdr:from>
    <xdr:to>
      <xdr:col>3</xdr:col>
      <xdr:colOff>177155</xdr:colOff>
      <xdr:row>259</xdr:row>
      <xdr:rowOff>106914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4A816764-9557-49CE-A7D0-BF57366AE37D}"/>
            </a:ext>
          </a:extLst>
        </xdr:cNvPr>
        <xdr:cNvSpPr/>
      </xdr:nvSpPr>
      <xdr:spPr>
        <a:xfrm>
          <a:off x="302986" y="4651947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248</xdr:row>
      <xdr:rowOff>123070</xdr:rowOff>
    </xdr:from>
    <xdr:to>
      <xdr:col>6</xdr:col>
      <xdr:colOff>58316</xdr:colOff>
      <xdr:row>254</xdr:row>
      <xdr:rowOff>28702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76858D5B-5AB3-4439-BFC6-E8BD48CF72EE}"/>
            </a:ext>
          </a:extLst>
        </xdr:cNvPr>
        <xdr:cNvSpPr/>
      </xdr:nvSpPr>
      <xdr:spPr>
        <a:xfrm>
          <a:off x="5124515" y="4650982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244</xdr:row>
      <xdr:rowOff>159641</xdr:rowOff>
    </xdr:from>
    <xdr:to>
      <xdr:col>4</xdr:col>
      <xdr:colOff>903147</xdr:colOff>
      <xdr:row>246</xdr:row>
      <xdr:rowOff>99299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8C9C3215-239E-43D4-8CC1-C297ACD3D8C8}"/>
            </a:ext>
          </a:extLst>
        </xdr:cNvPr>
        <xdr:cNvSpPr/>
      </xdr:nvSpPr>
      <xdr:spPr>
        <a:xfrm>
          <a:off x="3270261" y="4567009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242</xdr:row>
      <xdr:rowOff>13272</xdr:rowOff>
    </xdr:from>
    <xdr:to>
      <xdr:col>5</xdr:col>
      <xdr:colOff>1456069</xdr:colOff>
      <xdr:row>247</xdr:row>
      <xdr:rowOff>217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2534144-46AC-4B84-B332-6C5FB5B17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4514272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243</xdr:row>
      <xdr:rowOff>73623</xdr:rowOff>
    </xdr:from>
    <xdr:to>
      <xdr:col>4</xdr:col>
      <xdr:colOff>1639151</xdr:colOff>
      <xdr:row>244</xdr:row>
      <xdr:rowOff>107456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198CC44-48B1-4617-BE88-2363BADDB3C1}"/>
            </a:ext>
          </a:extLst>
        </xdr:cNvPr>
        <xdr:cNvSpPr txBox="1"/>
      </xdr:nvSpPr>
      <xdr:spPr>
        <a:xfrm>
          <a:off x="2618075" y="4539357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241</xdr:row>
      <xdr:rowOff>84234</xdr:rowOff>
    </xdr:from>
    <xdr:to>
      <xdr:col>4</xdr:col>
      <xdr:colOff>607428</xdr:colOff>
      <xdr:row>243</xdr:row>
      <xdr:rowOff>41009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E4BD474-BB5C-41D5-AFAD-DBFB47BAB8CD}"/>
            </a:ext>
          </a:extLst>
        </xdr:cNvPr>
        <xdr:cNvSpPr txBox="1"/>
      </xdr:nvSpPr>
      <xdr:spPr>
        <a:xfrm>
          <a:off x="3498656" y="4502318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242</xdr:row>
      <xdr:rowOff>20221</xdr:rowOff>
    </xdr:from>
    <xdr:to>
      <xdr:col>2</xdr:col>
      <xdr:colOff>463860</xdr:colOff>
      <xdr:row>246</xdr:row>
      <xdr:rowOff>149030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6211746-A805-4B1C-A856-B0735848C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45149671"/>
          <a:ext cx="1257579" cy="89080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226786</xdr:colOff>
      <xdr:row>8</xdr:row>
      <xdr:rowOff>132724</xdr:rowOff>
    </xdr:from>
    <xdr:to>
      <xdr:col>3</xdr:col>
      <xdr:colOff>177155</xdr:colOff>
      <xdr:row>19</xdr:row>
      <xdr:rowOff>106914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782CF95-19B1-43D2-B70D-74A63517F225}"/>
            </a:ext>
          </a:extLst>
        </xdr:cNvPr>
        <xdr:cNvSpPr/>
      </xdr:nvSpPr>
      <xdr:spPr>
        <a:xfrm>
          <a:off x="302986" y="165672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8</xdr:row>
      <xdr:rowOff>123070</xdr:rowOff>
    </xdr:from>
    <xdr:to>
      <xdr:col>6</xdr:col>
      <xdr:colOff>58316</xdr:colOff>
      <xdr:row>14</xdr:row>
      <xdr:rowOff>28702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36066AF-9E34-4831-AAEF-9CD7769C4E7D}"/>
            </a:ext>
          </a:extLst>
        </xdr:cNvPr>
        <xdr:cNvSpPr/>
      </xdr:nvSpPr>
      <xdr:spPr>
        <a:xfrm>
          <a:off x="5124515" y="164707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4</xdr:row>
      <xdr:rowOff>159641</xdr:rowOff>
    </xdr:from>
    <xdr:to>
      <xdr:col>4</xdr:col>
      <xdr:colOff>903147</xdr:colOff>
      <xdr:row>6</xdr:row>
      <xdr:rowOff>99299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11315D1-1C81-4373-AEB0-10D19ADEE70C}"/>
            </a:ext>
          </a:extLst>
        </xdr:cNvPr>
        <xdr:cNvSpPr/>
      </xdr:nvSpPr>
      <xdr:spPr>
        <a:xfrm>
          <a:off x="3270261" y="80734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</xdr:row>
      <xdr:rowOff>13272</xdr:rowOff>
    </xdr:from>
    <xdr:to>
      <xdr:col>5</xdr:col>
      <xdr:colOff>1456069</xdr:colOff>
      <xdr:row>7</xdr:row>
      <xdr:rowOff>217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56574DE-D0F3-4F34-91A3-A75E732F0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27997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3</xdr:row>
      <xdr:rowOff>73623</xdr:rowOff>
    </xdr:from>
    <xdr:to>
      <xdr:col>4</xdr:col>
      <xdr:colOff>1639151</xdr:colOff>
      <xdr:row>4</xdr:row>
      <xdr:rowOff>107456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704BA5C-DE5D-4E85-9EB8-1DD728695D11}"/>
            </a:ext>
          </a:extLst>
        </xdr:cNvPr>
        <xdr:cNvSpPr txBox="1"/>
      </xdr:nvSpPr>
      <xdr:spPr>
        <a:xfrm>
          <a:off x="2618075" y="53082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</xdr:row>
      <xdr:rowOff>84234</xdr:rowOff>
    </xdr:from>
    <xdr:to>
      <xdr:col>4</xdr:col>
      <xdr:colOff>607428</xdr:colOff>
      <xdr:row>3</xdr:row>
      <xdr:rowOff>41009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1157CE3-9893-4EFF-9250-08987BE62096}"/>
            </a:ext>
          </a:extLst>
        </xdr:cNvPr>
        <xdr:cNvSpPr txBox="1"/>
      </xdr:nvSpPr>
      <xdr:spPr>
        <a:xfrm>
          <a:off x="3498656" y="16043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</xdr:row>
      <xdr:rowOff>20221</xdr:rowOff>
    </xdr:from>
    <xdr:to>
      <xdr:col>2</xdr:col>
      <xdr:colOff>463860</xdr:colOff>
      <xdr:row>6</xdr:row>
      <xdr:rowOff>149030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5D9FB51-5BC0-460E-B5A1-2EE232C55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286921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128</xdr:row>
      <xdr:rowOff>132724</xdr:rowOff>
    </xdr:from>
    <xdr:to>
      <xdr:col>3</xdr:col>
      <xdr:colOff>177155</xdr:colOff>
      <xdr:row>139</xdr:row>
      <xdr:rowOff>106914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583512D7-DAE6-4738-A577-949A41C319AF}"/>
            </a:ext>
          </a:extLst>
        </xdr:cNvPr>
        <xdr:cNvSpPr/>
      </xdr:nvSpPr>
      <xdr:spPr>
        <a:xfrm>
          <a:off x="302986" y="24088099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128</xdr:row>
      <xdr:rowOff>123070</xdr:rowOff>
    </xdr:from>
    <xdr:to>
      <xdr:col>6</xdr:col>
      <xdr:colOff>58316</xdr:colOff>
      <xdr:row>134</xdr:row>
      <xdr:rowOff>28702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38C76E07-4BFF-42DA-9D19-37087C5E10C1}"/>
            </a:ext>
          </a:extLst>
        </xdr:cNvPr>
        <xdr:cNvSpPr/>
      </xdr:nvSpPr>
      <xdr:spPr>
        <a:xfrm>
          <a:off x="5124515" y="24078445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124</xdr:row>
      <xdr:rowOff>159641</xdr:rowOff>
    </xdr:from>
    <xdr:to>
      <xdr:col>4</xdr:col>
      <xdr:colOff>903147</xdr:colOff>
      <xdr:row>126</xdr:row>
      <xdr:rowOff>99299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ABD5D363-9CED-4921-8447-3019B1DC0AF7}"/>
            </a:ext>
          </a:extLst>
        </xdr:cNvPr>
        <xdr:cNvSpPr/>
      </xdr:nvSpPr>
      <xdr:spPr>
        <a:xfrm>
          <a:off x="3270261" y="23238716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122</xdr:row>
      <xdr:rowOff>13272</xdr:rowOff>
    </xdr:from>
    <xdr:to>
      <xdr:col>5</xdr:col>
      <xdr:colOff>1456069</xdr:colOff>
      <xdr:row>127</xdr:row>
      <xdr:rowOff>217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66B0352-994E-4325-B49B-103290F6C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22711347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123</xdr:row>
      <xdr:rowOff>73623</xdr:rowOff>
    </xdr:from>
    <xdr:to>
      <xdr:col>4</xdr:col>
      <xdr:colOff>1639151</xdr:colOff>
      <xdr:row>124</xdr:row>
      <xdr:rowOff>107456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D372FD6-FFC1-41DD-9C32-2ACC07850FAF}"/>
            </a:ext>
          </a:extLst>
        </xdr:cNvPr>
        <xdr:cNvSpPr txBox="1"/>
      </xdr:nvSpPr>
      <xdr:spPr>
        <a:xfrm>
          <a:off x="2618075" y="22962198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121</xdr:row>
      <xdr:rowOff>84234</xdr:rowOff>
    </xdr:from>
    <xdr:to>
      <xdr:col>4</xdr:col>
      <xdr:colOff>607428</xdr:colOff>
      <xdr:row>123</xdr:row>
      <xdr:rowOff>41009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4039B88-CFEF-4756-A2E8-8F33C684473D}"/>
            </a:ext>
          </a:extLst>
        </xdr:cNvPr>
        <xdr:cNvSpPr txBox="1"/>
      </xdr:nvSpPr>
      <xdr:spPr>
        <a:xfrm>
          <a:off x="3498656" y="22591809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122</xdr:row>
      <xdr:rowOff>20221</xdr:rowOff>
    </xdr:from>
    <xdr:to>
      <xdr:col>2</xdr:col>
      <xdr:colOff>463860</xdr:colOff>
      <xdr:row>126</xdr:row>
      <xdr:rowOff>149030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A791257-9EDA-4D56-B251-E3A41ADC4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22718296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248</xdr:row>
      <xdr:rowOff>132724</xdr:rowOff>
    </xdr:from>
    <xdr:to>
      <xdr:col>3</xdr:col>
      <xdr:colOff>177155</xdr:colOff>
      <xdr:row>259</xdr:row>
      <xdr:rowOff>106914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389572D6-7E4F-4E55-BC96-184348F1A5C5}"/>
            </a:ext>
          </a:extLst>
        </xdr:cNvPr>
        <xdr:cNvSpPr/>
      </xdr:nvSpPr>
      <xdr:spPr>
        <a:xfrm>
          <a:off x="302986" y="4651947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248</xdr:row>
      <xdr:rowOff>123070</xdr:rowOff>
    </xdr:from>
    <xdr:to>
      <xdr:col>6</xdr:col>
      <xdr:colOff>58316</xdr:colOff>
      <xdr:row>254</xdr:row>
      <xdr:rowOff>28702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990EF239-4244-49A4-B25A-ED4990766149}"/>
            </a:ext>
          </a:extLst>
        </xdr:cNvPr>
        <xdr:cNvSpPr/>
      </xdr:nvSpPr>
      <xdr:spPr>
        <a:xfrm>
          <a:off x="5124515" y="4650982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244</xdr:row>
      <xdr:rowOff>159641</xdr:rowOff>
    </xdr:from>
    <xdr:to>
      <xdr:col>4</xdr:col>
      <xdr:colOff>903147</xdr:colOff>
      <xdr:row>246</xdr:row>
      <xdr:rowOff>99299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C77F1E1-B30A-46AB-B31D-883D41D5C71C}"/>
            </a:ext>
          </a:extLst>
        </xdr:cNvPr>
        <xdr:cNvSpPr/>
      </xdr:nvSpPr>
      <xdr:spPr>
        <a:xfrm>
          <a:off x="3270261" y="4567009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242</xdr:row>
      <xdr:rowOff>13272</xdr:rowOff>
    </xdr:from>
    <xdr:to>
      <xdr:col>5</xdr:col>
      <xdr:colOff>1456069</xdr:colOff>
      <xdr:row>247</xdr:row>
      <xdr:rowOff>217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AC70D6D-79E1-4EA0-83C8-8DA90A791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4514272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243</xdr:row>
      <xdr:rowOff>73623</xdr:rowOff>
    </xdr:from>
    <xdr:to>
      <xdr:col>4</xdr:col>
      <xdr:colOff>1639151</xdr:colOff>
      <xdr:row>244</xdr:row>
      <xdr:rowOff>107456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90F153D-5B2D-4654-9757-28979BC0361F}"/>
            </a:ext>
          </a:extLst>
        </xdr:cNvPr>
        <xdr:cNvSpPr txBox="1"/>
      </xdr:nvSpPr>
      <xdr:spPr>
        <a:xfrm>
          <a:off x="2618075" y="4539357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241</xdr:row>
      <xdr:rowOff>84234</xdr:rowOff>
    </xdr:from>
    <xdr:to>
      <xdr:col>4</xdr:col>
      <xdr:colOff>607428</xdr:colOff>
      <xdr:row>243</xdr:row>
      <xdr:rowOff>41009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A4C8DC4-2C3B-4F92-A05B-CE52DF019863}"/>
            </a:ext>
          </a:extLst>
        </xdr:cNvPr>
        <xdr:cNvSpPr txBox="1"/>
      </xdr:nvSpPr>
      <xdr:spPr>
        <a:xfrm>
          <a:off x="3498656" y="4502318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242</xdr:row>
      <xdr:rowOff>20221</xdr:rowOff>
    </xdr:from>
    <xdr:to>
      <xdr:col>2</xdr:col>
      <xdr:colOff>463860</xdr:colOff>
      <xdr:row>246</xdr:row>
      <xdr:rowOff>149030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AB7AD9B-E326-4B3D-B03B-E575D47F7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45149671"/>
          <a:ext cx="1257579" cy="89080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226786</xdr:colOff>
      <xdr:row>8</xdr:row>
      <xdr:rowOff>132724</xdr:rowOff>
    </xdr:from>
    <xdr:to>
      <xdr:col>3</xdr:col>
      <xdr:colOff>177155</xdr:colOff>
      <xdr:row>19</xdr:row>
      <xdr:rowOff>106914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9058BD9-AF6C-48FB-8C09-AB121DCE0FDD}"/>
            </a:ext>
          </a:extLst>
        </xdr:cNvPr>
        <xdr:cNvSpPr/>
      </xdr:nvSpPr>
      <xdr:spPr>
        <a:xfrm>
          <a:off x="302986" y="165672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8</xdr:row>
      <xdr:rowOff>123070</xdr:rowOff>
    </xdr:from>
    <xdr:to>
      <xdr:col>6</xdr:col>
      <xdr:colOff>58316</xdr:colOff>
      <xdr:row>14</xdr:row>
      <xdr:rowOff>28702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F42FDB5-CE29-451C-886E-24DE72391531}"/>
            </a:ext>
          </a:extLst>
        </xdr:cNvPr>
        <xdr:cNvSpPr/>
      </xdr:nvSpPr>
      <xdr:spPr>
        <a:xfrm>
          <a:off x="5124515" y="164707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4</xdr:row>
      <xdr:rowOff>159641</xdr:rowOff>
    </xdr:from>
    <xdr:to>
      <xdr:col>4</xdr:col>
      <xdr:colOff>903147</xdr:colOff>
      <xdr:row>6</xdr:row>
      <xdr:rowOff>99299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190973F-6394-40F4-A59D-F451801EE9CC}"/>
            </a:ext>
          </a:extLst>
        </xdr:cNvPr>
        <xdr:cNvSpPr/>
      </xdr:nvSpPr>
      <xdr:spPr>
        <a:xfrm>
          <a:off x="3270261" y="80734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</xdr:row>
      <xdr:rowOff>13272</xdr:rowOff>
    </xdr:from>
    <xdr:to>
      <xdr:col>5</xdr:col>
      <xdr:colOff>1456069</xdr:colOff>
      <xdr:row>7</xdr:row>
      <xdr:rowOff>217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F0F258E-5F8D-4F26-813F-288A11318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27997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3</xdr:row>
      <xdr:rowOff>73623</xdr:rowOff>
    </xdr:from>
    <xdr:to>
      <xdr:col>4</xdr:col>
      <xdr:colOff>1639151</xdr:colOff>
      <xdr:row>4</xdr:row>
      <xdr:rowOff>107456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49E4CEB-3749-406F-99BF-920ED92DAC1B}"/>
            </a:ext>
          </a:extLst>
        </xdr:cNvPr>
        <xdr:cNvSpPr txBox="1"/>
      </xdr:nvSpPr>
      <xdr:spPr>
        <a:xfrm>
          <a:off x="2618075" y="53082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</xdr:row>
      <xdr:rowOff>84234</xdr:rowOff>
    </xdr:from>
    <xdr:to>
      <xdr:col>4</xdr:col>
      <xdr:colOff>607428</xdr:colOff>
      <xdr:row>3</xdr:row>
      <xdr:rowOff>41009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A2145C2-83A4-45F0-BEDB-E2CFBACE588F}"/>
            </a:ext>
          </a:extLst>
        </xdr:cNvPr>
        <xdr:cNvSpPr txBox="1"/>
      </xdr:nvSpPr>
      <xdr:spPr>
        <a:xfrm>
          <a:off x="3498656" y="16043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</xdr:row>
      <xdr:rowOff>20221</xdr:rowOff>
    </xdr:from>
    <xdr:to>
      <xdr:col>2</xdr:col>
      <xdr:colOff>463860</xdr:colOff>
      <xdr:row>6</xdr:row>
      <xdr:rowOff>149030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81D358F-08F8-4F96-9240-1670A4678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286921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128</xdr:row>
      <xdr:rowOff>132724</xdr:rowOff>
    </xdr:from>
    <xdr:to>
      <xdr:col>3</xdr:col>
      <xdr:colOff>177155</xdr:colOff>
      <xdr:row>139</xdr:row>
      <xdr:rowOff>106914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2799FDBE-439D-41CF-A6DA-1CB2E15CCA0B}"/>
            </a:ext>
          </a:extLst>
        </xdr:cNvPr>
        <xdr:cNvSpPr/>
      </xdr:nvSpPr>
      <xdr:spPr>
        <a:xfrm>
          <a:off x="302986" y="24088099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128</xdr:row>
      <xdr:rowOff>123070</xdr:rowOff>
    </xdr:from>
    <xdr:to>
      <xdr:col>6</xdr:col>
      <xdr:colOff>58316</xdr:colOff>
      <xdr:row>134</xdr:row>
      <xdr:rowOff>28702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C355E72C-20A9-4CAA-9255-9ACA5A46F76D}"/>
            </a:ext>
          </a:extLst>
        </xdr:cNvPr>
        <xdr:cNvSpPr/>
      </xdr:nvSpPr>
      <xdr:spPr>
        <a:xfrm>
          <a:off x="5124515" y="24078445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124</xdr:row>
      <xdr:rowOff>159641</xdr:rowOff>
    </xdr:from>
    <xdr:to>
      <xdr:col>4</xdr:col>
      <xdr:colOff>903147</xdr:colOff>
      <xdr:row>126</xdr:row>
      <xdr:rowOff>99299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528B4F9-684D-417C-A585-8DBE999D9BEA}"/>
            </a:ext>
          </a:extLst>
        </xdr:cNvPr>
        <xdr:cNvSpPr/>
      </xdr:nvSpPr>
      <xdr:spPr>
        <a:xfrm>
          <a:off x="3270261" y="23238716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122</xdr:row>
      <xdr:rowOff>13272</xdr:rowOff>
    </xdr:from>
    <xdr:to>
      <xdr:col>5</xdr:col>
      <xdr:colOff>1456069</xdr:colOff>
      <xdr:row>127</xdr:row>
      <xdr:rowOff>217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0410D13-50AF-40A2-9623-1B7E4570B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22711347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123</xdr:row>
      <xdr:rowOff>73623</xdr:rowOff>
    </xdr:from>
    <xdr:to>
      <xdr:col>4</xdr:col>
      <xdr:colOff>1639151</xdr:colOff>
      <xdr:row>124</xdr:row>
      <xdr:rowOff>107456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375E89F-D9A7-4E27-B54B-8FB4A14E7AC2}"/>
            </a:ext>
          </a:extLst>
        </xdr:cNvPr>
        <xdr:cNvSpPr txBox="1"/>
      </xdr:nvSpPr>
      <xdr:spPr>
        <a:xfrm>
          <a:off x="2618075" y="22962198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121</xdr:row>
      <xdr:rowOff>84234</xdr:rowOff>
    </xdr:from>
    <xdr:to>
      <xdr:col>4</xdr:col>
      <xdr:colOff>607428</xdr:colOff>
      <xdr:row>123</xdr:row>
      <xdr:rowOff>41009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2EF9BF9-AE02-49D0-9156-8DC0E364B275}"/>
            </a:ext>
          </a:extLst>
        </xdr:cNvPr>
        <xdr:cNvSpPr txBox="1"/>
      </xdr:nvSpPr>
      <xdr:spPr>
        <a:xfrm>
          <a:off x="3498656" y="22591809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122</xdr:row>
      <xdr:rowOff>20221</xdr:rowOff>
    </xdr:from>
    <xdr:to>
      <xdr:col>2</xdr:col>
      <xdr:colOff>463860</xdr:colOff>
      <xdr:row>126</xdr:row>
      <xdr:rowOff>149030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7D74B4F-E51B-49A9-AA0E-500076EAC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22718296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248</xdr:row>
      <xdr:rowOff>132724</xdr:rowOff>
    </xdr:from>
    <xdr:to>
      <xdr:col>3</xdr:col>
      <xdr:colOff>177155</xdr:colOff>
      <xdr:row>259</xdr:row>
      <xdr:rowOff>106914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4ECC2C6B-5391-44CA-96AF-44B1AA61F89D}"/>
            </a:ext>
          </a:extLst>
        </xdr:cNvPr>
        <xdr:cNvSpPr/>
      </xdr:nvSpPr>
      <xdr:spPr>
        <a:xfrm>
          <a:off x="302986" y="4651947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248</xdr:row>
      <xdr:rowOff>123070</xdr:rowOff>
    </xdr:from>
    <xdr:to>
      <xdr:col>6</xdr:col>
      <xdr:colOff>58316</xdr:colOff>
      <xdr:row>254</xdr:row>
      <xdr:rowOff>28702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344B1B17-E362-450B-A937-CDBD0D3198F7}"/>
            </a:ext>
          </a:extLst>
        </xdr:cNvPr>
        <xdr:cNvSpPr/>
      </xdr:nvSpPr>
      <xdr:spPr>
        <a:xfrm>
          <a:off x="5124515" y="4650982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244</xdr:row>
      <xdr:rowOff>159641</xdr:rowOff>
    </xdr:from>
    <xdr:to>
      <xdr:col>4</xdr:col>
      <xdr:colOff>903147</xdr:colOff>
      <xdr:row>246</xdr:row>
      <xdr:rowOff>99299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4BFED2C-59D3-4F56-B9A8-F72B3F9B10BF}"/>
            </a:ext>
          </a:extLst>
        </xdr:cNvPr>
        <xdr:cNvSpPr/>
      </xdr:nvSpPr>
      <xdr:spPr>
        <a:xfrm>
          <a:off x="3270261" y="4567009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242</xdr:row>
      <xdr:rowOff>13272</xdr:rowOff>
    </xdr:from>
    <xdr:to>
      <xdr:col>5</xdr:col>
      <xdr:colOff>1456069</xdr:colOff>
      <xdr:row>247</xdr:row>
      <xdr:rowOff>217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9D4A030-2678-42CA-9E5B-D06A465E2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4514272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243</xdr:row>
      <xdr:rowOff>73623</xdr:rowOff>
    </xdr:from>
    <xdr:to>
      <xdr:col>4</xdr:col>
      <xdr:colOff>1639151</xdr:colOff>
      <xdr:row>244</xdr:row>
      <xdr:rowOff>107456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7C192D9-DBE1-4BE7-995B-5CDAD590415C}"/>
            </a:ext>
          </a:extLst>
        </xdr:cNvPr>
        <xdr:cNvSpPr txBox="1"/>
      </xdr:nvSpPr>
      <xdr:spPr>
        <a:xfrm>
          <a:off x="2618075" y="4539357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241</xdr:row>
      <xdr:rowOff>84234</xdr:rowOff>
    </xdr:from>
    <xdr:to>
      <xdr:col>4</xdr:col>
      <xdr:colOff>607428</xdr:colOff>
      <xdr:row>243</xdr:row>
      <xdr:rowOff>41009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1DADDB1-EC32-4772-AF3A-E2A11510390A}"/>
            </a:ext>
          </a:extLst>
        </xdr:cNvPr>
        <xdr:cNvSpPr txBox="1"/>
      </xdr:nvSpPr>
      <xdr:spPr>
        <a:xfrm>
          <a:off x="3498656" y="4502318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242</xdr:row>
      <xdr:rowOff>20221</xdr:rowOff>
    </xdr:from>
    <xdr:to>
      <xdr:col>2</xdr:col>
      <xdr:colOff>463860</xdr:colOff>
      <xdr:row>246</xdr:row>
      <xdr:rowOff>149030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86918E0-D322-468C-803F-706E325B6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45149671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368</xdr:row>
      <xdr:rowOff>132724</xdr:rowOff>
    </xdr:from>
    <xdr:to>
      <xdr:col>3</xdr:col>
      <xdr:colOff>177155</xdr:colOff>
      <xdr:row>379</xdr:row>
      <xdr:rowOff>106914</xdr:rowOff>
    </xdr:to>
    <xdr:sp macro="" textlink="">
      <xdr:nvSpPr>
        <xdr:cNvPr id="44" name="Rectangle: Rounded Corners 43">
          <a:extLst>
            <a:ext uri="{FF2B5EF4-FFF2-40B4-BE49-F238E27FC236}">
              <a16:creationId xmlns:a16="http://schemas.microsoft.com/office/drawing/2014/main" id="{4CD25063-DF05-4A0A-A56C-A5E25FFA2560}"/>
            </a:ext>
          </a:extLst>
        </xdr:cNvPr>
        <xdr:cNvSpPr/>
      </xdr:nvSpPr>
      <xdr:spPr>
        <a:xfrm>
          <a:off x="302986" y="68950849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368</xdr:row>
      <xdr:rowOff>123070</xdr:rowOff>
    </xdr:from>
    <xdr:to>
      <xdr:col>6</xdr:col>
      <xdr:colOff>58316</xdr:colOff>
      <xdr:row>374</xdr:row>
      <xdr:rowOff>28702</xdr:rowOff>
    </xdr:to>
    <xdr:sp macro="" textlink="">
      <xdr:nvSpPr>
        <xdr:cNvPr id="45" name="Rectangle: Rounded Corners 44">
          <a:extLst>
            <a:ext uri="{FF2B5EF4-FFF2-40B4-BE49-F238E27FC236}">
              <a16:creationId xmlns:a16="http://schemas.microsoft.com/office/drawing/2014/main" id="{F3332FD0-55DD-4E69-B876-6586CEEF75C6}"/>
            </a:ext>
          </a:extLst>
        </xdr:cNvPr>
        <xdr:cNvSpPr/>
      </xdr:nvSpPr>
      <xdr:spPr>
        <a:xfrm>
          <a:off x="5124515" y="68941195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364</xdr:row>
      <xdr:rowOff>159641</xdr:rowOff>
    </xdr:from>
    <xdr:to>
      <xdr:col>4</xdr:col>
      <xdr:colOff>903147</xdr:colOff>
      <xdr:row>366</xdr:row>
      <xdr:rowOff>99299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EC5F7E6D-1ED0-4500-9A83-5677F06087E8}"/>
            </a:ext>
          </a:extLst>
        </xdr:cNvPr>
        <xdr:cNvSpPr/>
      </xdr:nvSpPr>
      <xdr:spPr>
        <a:xfrm>
          <a:off x="3270261" y="68101466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362</xdr:row>
      <xdr:rowOff>13272</xdr:rowOff>
    </xdr:from>
    <xdr:to>
      <xdr:col>5</xdr:col>
      <xdr:colOff>1456069</xdr:colOff>
      <xdr:row>367</xdr:row>
      <xdr:rowOff>217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A63A7475-0A29-4E44-A73B-5B89175AB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67574097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363</xdr:row>
      <xdr:rowOff>73623</xdr:rowOff>
    </xdr:from>
    <xdr:to>
      <xdr:col>4</xdr:col>
      <xdr:colOff>1639151</xdr:colOff>
      <xdr:row>364</xdr:row>
      <xdr:rowOff>107456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BF47B234-101A-4EDC-8346-A225B8E6F7D8}"/>
            </a:ext>
          </a:extLst>
        </xdr:cNvPr>
        <xdr:cNvSpPr txBox="1"/>
      </xdr:nvSpPr>
      <xdr:spPr>
        <a:xfrm>
          <a:off x="2618075" y="67824948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361</xdr:row>
      <xdr:rowOff>84234</xdr:rowOff>
    </xdr:from>
    <xdr:to>
      <xdr:col>4</xdr:col>
      <xdr:colOff>607428</xdr:colOff>
      <xdr:row>363</xdr:row>
      <xdr:rowOff>41009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8C521DB5-787C-47AD-B1A5-AE4B990684AF}"/>
            </a:ext>
          </a:extLst>
        </xdr:cNvPr>
        <xdr:cNvSpPr txBox="1"/>
      </xdr:nvSpPr>
      <xdr:spPr>
        <a:xfrm>
          <a:off x="3498656" y="67454559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362</xdr:row>
      <xdr:rowOff>20221</xdr:rowOff>
    </xdr:from>
    <xdr:to>
      <xdr:col>2</xdr:col>
      <xdr:colOff>463860</xdr:colOff>
      <xdr:row>366</xdr:row>
      <xdr:rowOff>149030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D55534D5-F365-4D5B-B168-F6DAE1E14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67581046"/>
          <a:ext cx="1257579" cy="89080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226786</xdr:colOff>
      <xdr:row>8</xdr:row>
      <xdr:rowOff>132724</xdr:rowOff>
    </xdr:from>
    <xdr:to>
      <xdr:col>3</xdr:col>
      <xdr:colOff>177155</xdr:colOff>
      <xdr:row>19</xdr:row>
      <xdr:rowOff>106914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BBF2F61-6FFA-43EE-A723-98F24A9A0DCC}"/>
            </a:ext>
          </a:extLst>
        </xdr:cNvPr>
        <xdr:cNvSpPr/>
      </xdr:nvSpPr>
      <xdr:spPr>
        <a:xfrm>
          <a:off x="302986" y="165672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8</xdr:row>
      <xdr:rowOff>123070</xdr:rowOff>
    </xdr:from>
    <xdr:to>
      <xdr:col>6</xdr:col>
      <xdr:colOff>58316</xdr:colOff>
      <xdr:row>14</xdr:row>
      <xdr:rowOff>28702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44E47E8B-7F9C-4F2E-99B4-A1CD15E8BA4F}"/>
            </a:ext>
          </a:extLst>
        </xdr:cNvPr>
        <xdr:cNvSpPr/>
      </xdr:nvSpPr>
      <xdr:spPr>
        <a:xfrm>
          <a:off x="5124515" y="164707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4</xdr:row>
      <xdr:rowOff>159641</xdr:rowOff>
    </xdr:from>
    <xdr:to>
      <xdr:col>4</xdr:col>
      <xdr:colOff>903147</xdr:colOff>
      <xdr:row>6</xdr:row>
      <xdr:rowOff>99299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7476DA2-9B6B-4CF0-8739-37DEB69D8009}"/>
            </a:ext>
          </a:extLst>
        </xdr:cNvPr>
        <xdr:cNvSpPr/>
      </xdr:nvSpPr>
      <xdr:spPr>
        <a:xfrm>
          <a:off x="3270261" y="80734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</xdr:row>
      <xdr:rowOff>13272</xdr:rowOff>
    </xdr:from>
    <xdr:to>
      <xdr:col>5</xdr:col>
      <xdr:colOff>1456069</xdr:colOff>
      <xdr:row>7</xdr:row>
      <xdr:rowOff>217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95F3E3C-3EE2-4EBF-91CB-D72F589E1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27997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3</xdr:row>
      <xdr:rowOff>73623</xdr:rowOff>
    </xdr:from>
    <xdr:to>
      <xdr:col>4</xdr:col>
      <xdr:colOff>1639151</xdr:colOff>
      <xdr:row>4</xdr:row>
      <xdr:rowOff>107456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951C656-2F85-40ED-9AB5-9F8C3E059CC1}"/>
            </a:ext>
          </a:extLst>
        </xdr:cNvPr>
        <xdr:cNvSpPr txBox="1"/>
      </xdr:nvSpPr>
      <xdr:spPr>
        <a:xfrm>
          <a:off x="2618075" y="53082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</xdr:row>
      <xdr:rowOff>84234</xdr:rowOff>
    </xdr:from>
    <xdr:to>
      <xdr:col>4</xdr:col>
      <xdr:colOff>607428</xdr:colOff>
      <xdr:row>3</xdr:row>
      <xdr:rowOff>41009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ADD9515-5BBA-466F-8242-C2830B078727}"/>
            </a:ext>
          </a:extLst>
        </xdr:cNvPr>
        <xdr:cNvSpPr txBox="1"/>
      </xdr:nvSpPr>
      <xdr:spPr>
        <a:xfrm>
          <a:off x="3498656" y="16043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</xdr:row>
      <xdr:rowOff>20221</xdr:rowOff>
    </xdr:from>
    <xdr:to>
      <xdr:col>2</xdr:col>
      <xdr:colOff>463860</xdr:colOff>
      <xdr:row>6</xdr:row>
      <xdr:rowOff>149030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5F644F8-125F-4144-AFF8-609BBF7EC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286921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128</xdr:row>
      <xdr:rowOff>132724</xdr:rowOff>
    </xdr:from>
    <xdr:to>
      <xdr:col>3</xdr:col>
      <xdr:colOff>177155</xdr:colOff>
      <xdr:row>139</xdr:row>
      <xdr:rowOff>106914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1B51BEB0-0DFF-4E19-A9BB-87616160A530}"/>
            </a:ext>
          </a:extLst>
        </xdr:cNvPr>
        <xdr:cNvSpPr/>
      </xdr:nvSpPr>
      <xdr:spPr>
        <a:xfrm>
          <a:off x="302986" y="24088099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128</xdr:row>
      <xdr:rowOff>123070</xdr:rowOff>
    </xdr:from>
    <xdr:to>
      <xdr:col>6</xdr:col>
      <xdr:colOff>58316</xdr:colOff>
      <xdr:row>134</xdr:row>
      <xdr:rowOff>28702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91B5CA82-EBD8-49E4-BA8F-64597026907A}"/>
            </a:ext>
          </a:extLst>
        </xdr:cNvPr>
        <xdr:cNvSpPr/>
      </xdr:nvSpPr>
      <xdr:spPr>
        <a:xfrm>
          <a:off x="5124515" y="24078445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124</xdr:row>
      <xdr:rowOff>159641</xdr:rowOff>
    </xdr:from>
    <xdr:to>
      <xdr:col>4</xdr:col>
      <xdr:colOff>903147</xdr:colOff>
      <xdr:row>126</xdr:row>
      <xdr:rowOff>99299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F7AF7F78-5C0D-41A7-8266-555753235A62}"/>
            </a:ext>
          </a:extLst>
        </xdr:cNvPr>
        <xdr:cNvSpPr/>
      </xdr:nvSpPr>
      <xdr:spPr>
        <a:xfrm>
          <a:off x="3270261" y="23238716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122</xdr:row>
      <xdr:rowOff>13272</xdr:rowOff>
    </xdr:from>
    <xdr:to>
      <xdr:col>5</xdr:col>
      <xdr:colOff>1456069</xdr:colOff>
      <xdr:row>127</xdr:row>
      <xdr:rowOff>217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E232691-EEAA-40B8-99F3-62A9C9BB2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22711347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123</xdr:row>
      <xdr:rowOff>73623</xdr:rowOff>
    </xdr:from>
    <xdr:to>
      <xdr:col>4</xdr:col>
      <xdr:colOff>1639151</xdr:colOff>
      <xdr:row>124</xdr:row>
      <xdr:rowOff>107456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961214A-9B0E-4321-AF36-02DC2B977B31}"/>
            </a:ext>
          </a:extLst>
        </xdr:cNvPr>
        <xdr:cNvSpPr txBox="1"/>
      </xdr:nvSpPr>
      <xdr:spPr>
        <a:xfrm>
          <a:off x="2618075" y="22962198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121</xdr:row>
      <xdr:rowOff>84234</xdr:rowOff>
    </xdr:from>
    <xdr:to>
      <xdr:col>4</xdr:col>
      <xdr:colOff>607428</xdr:colOff>
      <xdr:row>123</xdr:row>
      <xdr:rowOff>41009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098BD0D-BE9B-4B20-B4C6-EE66A3EC6875}"/>
            </a:ext>
          </a:extLst>
        </xdr:cNvPr>
        <xdr:cNvSpPr txBox="1"/>
      </xdr:nvSpPr>
      <xdr:spPr>
        <a:xfrm>
          <a:off x="3498656" y="22591809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122</xdr:row>
      <xdr:rowOff>20221</xdr:rowOff>
    </xdr:from>
    <xdr:to>
      <xdr:col>2</xdr:col>
      <xdr:colOff>463860</xdr:colOff>
      <xdr:row>126</xdr:row>
      <xdr:rowOff>149030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31D4273-335D-4B12-8268-8648C7F1C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22718296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248</xdr:row>
      <xdr:rowOff>132724</xdr:rowOff>
    </xdr:from>
    <xdr:to>
      <xdr:col>3</xdr:col>
      <xdr:colOff>177155</xdr:colOff>
      <xdr:row>259</xdr:row>
      <xdr:rowOff>106914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7D578CF2-CD2A-4958-A9DF-F9ABF02012C2}"/>
            </a:ext>
          </a:extLst>
        </xdr:cNvPr>
        <xdr:cNvSpPr/>
      </xdr:nvSpPr>
      <xdr:spPr>
        <a:xfrm>
          <a:off x="302986" y="4651947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248</xdr:row>
      <xdr:rowOff>123070</xdr:rowOff>
    </xdr:from>
    <xdr:to>
      <xdr:col>6</xdr:col>
      <xdr:colOff>58316</xdr:colOff>
      <xdr:row>254</xdr:row>
      <xdr:rowOff>28702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D9DC059F-2C0A-432A-985A-72627753E30B}"/>
            </a:ext>
          </a:extLst>
        </xdr:cNvPr>
        <xdr:cNvSpPr/>
      </xdr:nvSpPr>
      <xdr:spPr>
        <a:xfrm>
          <a:off x="5124515" y="4650982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244</xdr:row>
      <xdr:rowOff>159641</xdr:rowOff>
    </xdr:from>
    <xdr:to>
      <xdr:col>4</xdr:col>
      <xdr:colOff>903147</xdr:colOff>
      <xdr:row>246</xdr:row>
      <xdr:rowOff>99299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0B60D3C-67C6-4F78-B8C5-20D9560331D1}"/>
            </a:ext>
          </a:extLst>
        </xdr:cNvPr>
        <xdr:cNvSpPr/>
      </xdr:nvSpPr>
      <xdr:spPr>
        <a:xfrm>
          <a:off x="3270261" y="4567009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242</xdr:row>
      <xdr:rowOff>13272</xdr:rowOff>
    </xdr:from>
    <xdr:to>
      <xdr:col>5</xdr:col>
      <xdr:colOff>1456069</xdr:colOff>
      <xdr:row>247</xdr:row>
      <xdr:rowOff>217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55FBF8D-A0A0-474F-AB55-5236322F8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4514272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243</xdr:row>
      <xdr:rowOff>73623</xdr:rowOff>
    </xdr:from>
    <xdr:to>
      <xdr:col>4</xdr:col>
      <xdr:colOff>1639151</xdr:colOff>
      <xdr:row>244</xdr:row>
      <xdr:rowOff>107456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67C03E0-131C-4ED6-AB74-691DF2D60460}"/>
            </a:ext>
          </a:extLst>
        </xdr:cNvPr>
        <xdr:cNvSpPr txBox="1"/>
      </xdr:nvSpPr>
      <xdr:spPr>
        <a:xfrm>
          <a:off x="2618075" y="4539357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241</xdr:row>
      <xdr:rowOff>84234</xdr:rowOff>
    </xdr:from>
    <xdr:to>
      <xdr:col>4</xdr:col>
      <xdr:colOff>607428</xdr:colOff>
      <xdr:row>243</xdr:row>
      <xdr:rowOff>41009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42BC82D-349C-47B1-BA22-2A13746F7001}"/>
            </a:ext>
          </a:extLst>
        </xdr:cNvPr>
        <xdr:cNvSpPr txBox="1"/>
      </xdr:nvSpPr>
      <xdr:spPr>
        <a:xfrm>
          <a:off x="3498656" y="4502318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242</xdr:row>
      <xdr:rowOff>20221</xdr:rowOff>
    </xdr:from>
    <xdr:to>
      <xdr:col>2</xdr:col>
      <xdr:colOff>463860</xdr:colOff>
      <xdr:row>246</xdr:row>
      <xdr:rowOff>149030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7897ACC-C56A-49D4-BD84-D26E396FB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45149671"/>
          <a:ext cx="1257579" cy="89080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226786</xdr:colOff>
      <xdr:row>8</xdr:row>
      <xdr:rowOff>132724</xdr:rowOff>
    </xdr:from>
    <xdr:to>
      <xdr:col>3</xdr:col>
      <xdr:colOff>177155</xdr:colOff>
      <xdr:row>19</xdr:row>
      <xdr:rowOff>106914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B3D8CCC-CDA3-4465-8BF4-2E4B1DCAD642}"/>
            </a:ext>
          </a:extLst>
        </xdr:cNvPr>
        <xdr:cNvSpPr/>
      </xdr:nvSpPr>
      <xdr:spPr>
        <a:xfrm>
          <a:off x="302986" y="165672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8</xdr:row>
      <xdr:rowOff>123070</xdr:rowOff>
    </xdr:from>
    <xdr:to>
      <xdr:col>6</xdr:col>
      <xdr:colOff>58316</xdr:colOff>
      <xdr:row>14</xdr:row>
      <xdr:rowOff>28702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A264CA6-ABDE-4AE1-827F-7174D413EEC2}"/>
            </a:ext>
          </a:extLst>
        </xdr:cNvPr>
        <xdr:cNvSpPr/>
      </xdr:nvSpPr>
      <xdr:spPr>
        <a:xfrm>
          <a:off x="5124515" y="164707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4</xdr:row>
      <xdr:rowOff>159641</xdr:rowOff>
    </xdr:from>
    <xdr:to>
      <xdr:col>4</xdr:col>
      <xdr:colOff>903147</xdr:colOff>
      <xdr:row>6</xdr:row>
      <xdr:rowOff>99299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9FB003A-0DD9-4B03-8F9F-64C687F52A33}"/>
            </a:ext>
          </a:extLst>
        </xdr:cNvPr>
        <xdr:cNvSpPr/>
      </xdr:nvSpPr>
      <xdr:spPr>
        <a:xfrm>
          <a:off x="3270261" y="80734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</xdr:row>
      <xdr:rowOff>13272</xdr:rowOff>
    </xdr:from>
    <xdr:to>
      <xdr:col>5</xdr:col>
      <xdr:colOff>1456069</xdr:colOff>
      <xdr:row>7</xdr:row>
      <xdr:rowOff>217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B6EC7DF-8D2F-4D4A-9146-EB1993858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27997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3</xdr:row>
      <xdr:rowOff>73623</xdr:rowOff>
    </xdr:from>
    <xdr:to>
      <xdr:col>4</xdr:col>
      <xdr:colOff>1639151</xdr:colOff>
      <xdr:row>4</xdr:row>
      <xdr:rowOff>107456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0F0C831-7E9D-48A4-999C-993C925472D1}"/>
            </a:ext>
          </a:extLst>
        </xdr:cNvPr>
        <xdr:cNvSpPr txBox="1"/>
      </xdr:nvSpPr>
      <xdr:spPr>
        <a:xfrm>
          <a:off x="2618075" y="53082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</xdr:row>
      <xdr:rowOff>84234</xdr:rowOff>
    </xdr:from>
    <xdr:to>
      <xdr:col>4</xdr:col>
      <xdr:colOff>607428</xdr:colOff>
      <xdr:row>3</xdr:row>
      <xdr:rowOff>41009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6DFF2EB-90FD-430D-9C5F-442CF2B4DD2D}"/>
            </a:ext>
          </a:extLst>
        </xdr:cNvPr>
        <xdr:cNvSpPr txBox="1"/>
      </xdr:nvSpPr>
      <xdr:spPr>
        <a:xfrm>
          <a:off x="3498656" y="16043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</xdr:row>
      <xdr:rowOff>20221</xdr:rowOff>
    </xdr:from>
    <xdr:to>
      <xdr:col>2</xdr:col>
      <xdr:colOff>463860</xdr:colOff>
      <xdr:row>6</xdr:row>
      <xdr:rowOff>149030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471548-3FCC-4FF8-B4C1-C85C361E6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286921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128</xdr:row>
      <xdr:rowOff>132724</xdr:rowOff>
    </xdr:from>
    <xdr:to>
      <xdr:col>3</xdr:col>
      <xdr:colOff>177155</xdr:colOff>
      <xdr:row>139</xdr:row>
      <xdr:rowOff>106914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E681A3D8-CF28-4C76-89E5-C0940D27A9CC}"/>
            </a:ext>
          </a:extLst>
        </xdr:cNvPr>
        <xdr:cNvSpPr/>
      </xdr:nvSpPr>
      <xdr:spPr>
        <a:xfrm>
          <a:off x="302986" y="24088099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128</xdr:row>
      <xdr:rowOff>123070</xdr:rowOff>
    </xdr:from>
    <xdr:to>
      <xdr:col>6</xdr:col>
      <xdr:colOff>58316</xdr:colOff>
      <xdr:row>134</xdr:row>
      <xdr:rowOff>28702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37DC6D0D-6089-435D-A530-119B123EFC85}"/>
            </a:ext>
          </a:extLst>
        </xdr:cNvPr>
        <xdr:cNvSpPr/>
      </xdr:nvSpPr>
      <xdr:spPr>
        <a:xfrm>
          <a:off x="5124515" y="24078445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124</xdr:row>
      <xdr:rowOff>159641</xdr:rowOff>
    </xdr:from>
    <xdr:to>
      <xdr:col>4</xdr:col>
      <xdr:colOff>903147</xdr:colOff>
      <xdr:row>126</xdr:row>
      <xdr:rowOff>99299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F929698C-A59A-4CF5-8CDC-8C00A2689F9B}"/>
            </a:ext>
          </a:extLst>
        </xdr:cNvPr>
        <xdr:cNvSpPr/>
      </xdr:nvSpPr>
      <xdr:spPr>
        <a:xfrm>
          <a:off x="3270261" y="23238716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122</xdr:row>
      <xdr:rowOff>13272</xdr:rowOff>
    </xdr:from>
    <xdr:to>
      <xdr:col>5</xdr:col>
      <xdr:colOff>1456069</xdr:colOff>
      <xdr:row>127</xdr:row>
      <xdr:rowOff>217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5E7FB2A-6B41-4793-89B3-6E5C68C4C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22711347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123</xdr:row>
      <xdr:rowOff>73623</xdr:rowOff>
    </xdr:from>
    <xdr:to>
      <xdr:col>4</xdr:col>
      <xdr:colOff>1639151</xdr:colOff>
      <xdr:row>124</xdr:row>
      <xdr:rowOff>107456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B53F7AB-EF60-4D90-98A5-172D5DE06FE2}"/>
            </a:ext>
          </a:extLst>
        </xdr:cNvPr>
        <xdr:cNvSpPr txBox="1"/>
      </xdr:nvSpPr>
      <xdr:spPr>
        <a:xfrm>
          <a:off x="2618075" y="22962198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121</xdr:row>
      <xdr:rowOff>84234</xdr:rowOff>
    </xdr:from>
    <xdr:to>
      <xdr:col>4</xdr:col>
      <xdr:colOff>607428</xdr:colOff>
      <xdr:row>123</xdr:row>
      <xdr:rowOff>41009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BA4D255-57F8-493E-AC85-5CA0AEEE0A07}"/>
            </a:ext>
          </a:extLst>
        </xdr:cNvPr>
        <xdr:cNvSpPr txBox="1"/>
      </xdr:nvSpPr>
      <xdr:spPr>
        <a:xfrm>
          <a:off x="3498656" y="22591809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122</xdr:row>
      <xdr:rowOff>20221</xdr:rowOff>
    </xdr:from>
    <xdr:to>
      <xdr:col>2</xdr:col>
      <xdr:colOff>463860</xdr:colOff>
      <xdr:row>126</xdr:row>
      <xdr:rowOff>149030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7A625A7-D89F-48C4-992B-77AFBAB15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22718296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248</xdr:row>
      <xdr:rowOff>132724</xdr:rowOff>
    </xdr:from>
    <xdr:to>
      <xdr:col>3</xdr:col>
      <xdr:colOff>177155</xdr:colOff>
      <xdr:row>259</xdr:row>
      <xdr:rowOff>106914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3C45BC52-64BC-4701-AAB2-30149570E5DF}"/>
            </a:ext>
          </a:extLst>
        </xdr:cNvPr>
        <xdr:cNvSpPr/>
      </xdr:nvSpPr>
      <xdr:spPr>
        <a:xfrm>
          <a:off x="302986" y="4651947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248</xdr:row>
      <xdr:rowOff>123070</xdr:rowOff>
    </xdr:from>
    <xdr:to>
      <xdr:col>6</xdr:col>
      <xdr:colOff>58316</xdr:colOff>
      <xdr:row>254</xdr:row>
      <xdr:rowOff>28702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78F36FF8-54FA-404C-86D6-5BBA25BDFEE1}"/>
            </a:ext>
          </a:extLst>
        </xdr:cNvPr>
        <xdr:cNvSpPr/>
      </xdr:nvSpPr>
      <xdr:spPr>
        <a:xfrm>
          <a:off x="5124515" y="4650982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244</xdr:row>
      <xdr:rowOff>159641</xdr:rowOff>
    </xdr:from>
    <xdr:to>
      <xdr:col>4</xdr:col>
      <xdr:colOff>903147</xdr:colOff>
      <xdr:row>246</xdr:row>
      <xdr:rowOff>99299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71EBA5D6-2DAA-4E31-B95E-7830254ABA8F}"/>
            </a:ext>
          </a:extLst>
        </xdr:cNvPr>
        <xdr:cNvSpPr/>
      </xdr:nvSpPr>
      <xdr:spPr>
        <a:xfrm>
          <a:off x="3270261" y="4567009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242</xdr:row>
      <xdr:rowOff>13272</xdr:rowOff>
    </xdr:from>
    <xdr:to>
      <xdr:col>5</xdr:col>
      <xdr:colOff>1456069</xdr:colOff>
      <xdr:row>247</xdr:row>
      <xdr:rowOff>217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D13A5AC-6580-4E2E-AFDA-C76EDEFE1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4514272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243</xdr:row>
      <xdr:rowOff>73623</xdr:rowOff>
    </xdr:from>
    <xdr:to>
      <xdr:col>4</xdr:col>
      <xdr:colOff>1639151</xdr:colOff>
      <xdr:row>244</xdr:row>
      <xdr:rowOff>107456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B46089D-102F-407B-B5DA-5FA048D93703}"/>
            </a:ext>
          </a:extLst>
        </xdr:cNvPr>
        <xdr:cNvSpPr txBox="1"/>
      </xdr:nvSpPr>
      <xdr:spPr>
        <a:xfrm>
          <a:off x="2618075" y="4539357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241</xdr:row>
      <xdr:rowOff>84234</xdr:rowOff>
    </xdr:from>
    <xdr:to>
      <xdr:col>4</xdr:col>
      <xdr:colOff>607428</xdr:colOff>
      <xdr:row>243</xdr:row>
      <xdr:rowOff>41009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5C9C3B4-4496-48E4-A7A8-757AC31D9718}"/>
            </a:ext>
          </a:extLst>
        </xdr:cNvPr>
        <xdr:cNvSpPr txBox="1"/>
      </xdr:nvSpPr>
      <xdr:spPr>
        <a:xfrm>
          <a:off x="3498656" y="4502318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242</xdr:row>
      <xdr:rowOff>20221</xdr:rowOff>
    </xdr:from>
    <xdr:to>
      <xdr:col>2</xdr:col>
      <xdr:colOff>463860</xdr:colOff>
      <xdr:row>246</xdr:row>
      <xdr:rowOff>149030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D4F29FD-84D5-446A-9B6A-6E08CDF64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45149671"/>
          <a:ext cx="1257579" cy="89080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226786</xdr:colOff>
      <xdr:row>8</xdr:row>
      <xdr:rowOff>132724</xdr:rowOff>
    </xdr:from>
    <xdr:to>
      <xdr:col>3</xdr:col>
      <xdr:colOff>177155</xdr:colOff>
      <xdr:row>19</xdr:row>
      <xdr:rowOff>106914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B78167C-D2C6-4CA3-8E69-8628FA980479}"/>
            </a:ext>
          </a:extLst>
        </xdr:cNvPr>
        <xdr:cNvSpPr/>
      </xdr:nvSpPr>
      <xdr:spPr>
        <a:xfrm>
          <a:off x="302986" y="165672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8</xdr:row>
      <xdr:rowOff>123070</xdr:rowOff>
    </xdr:from>
    <xdr:to>
      <xdr:col>6</xdr:col>
      <xdr:colOff>58316</xdr:colOff>
      <xdr:row>14</xdr:row>
      <xdr:rowOff>28702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D8A99A6-9E82-40A9-A452-A511A16F0DC7}"/>
            </a:ext>
          </a:extLst>
        </xdr:cNvPr>
        <xdr:cNvSpPr/>
      </xdr:nvSpPr>
      <xdr:spPr>
        <a:xfrm>
          <a:off x="5124515" y="164707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4</xdr:row>
      <xdr:rowOff>159641</xdr:rowOff>
    </xdr:from>
    <xdr:to>
      <xdr:col>4</xdr:col>
      <xdr:colOff>903147</xdr:colOff>
      <xdr:row>6</xdr:row>
      <xdr:rowOff>99299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35A945F-D14A-4E2F-9095-A720688BC026}"/>
            </a:ext>
          </a:extLst>
        </xdr:cNvPr>
        <xdr:cNvSpPr/>
      </xdr:nvSpPr>
      <xdr:spPr>
        <a:xfrm>
          <a:off x="3270261" y="80734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</xdr:row>
      <xdr:rowOff>13272</xdr:rowOff>
    </xdr:from>
    <xdr:to>
      <xdr:col>5</xdr:col>
      <xdr:colOff>1456069</xdr:colOff>
      <xdr:row>7</xdr:row>
      <xdr:rowOff>217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BA5DE67-C7E5-4D87-B443-21049F920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27997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3</xdr:row>
      <xdr:rowOff>73623</xdr:rowOff>
    </xdr:from>
    <xdr:to>
      <xdr:col>4</xdr:col>
      <xdr:colOff>1639151</xdr:colOff>
      <xdr:row>4</xdr:row>
      <xdr:rowOff>107456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A29EA3A-1055-469A-84ED-93568E81CB6E}"/>
            </a:ext>
          </a:extLst>
        </xdr:cNvPr>
        <xdr:cNvSpPr txBox="1"/>
      </xdr:nvSpPr>
      <xdr:spPr>
        <a:xfrm>
          <a:off x="2618075" y="53082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</xdr:row>
      <xdr:rowOff>84234</xdr:rowOff>
    </xdr:from>
    <xdr:to>
      <xdr:col>4</xdr:col>
      <xdr:colOff>607428</xdr:colOff>
      <xdr:row>3</xdr:row>
      <xdr:rowOff>41009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92C8202-55DD-4D13-9EF4-E161131223FB}"/>
            </a:ext>
          </a:extLst>
        </xdr:cNvPr>
        <xdr:cNvSpPr txBox="1"/>
      </xdr:nvSpPr>
      <xdr:spPr>
        <a:xfrm>
          <a:off x="3498656" y="16043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</xdr:row>
      <xdr:rowOff>20221</xdr:rowOff>
    </xdr:from>
    <xdr:to>
      <xdr:col>2</xdr:col>
      <xdr:colOff>463860</xdr:colOff>
      <xdr:row>6</xdr:row>
      <xdr:rowOff>149030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7B7181-EE68-4F5C-A930-6F278C1BA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286921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128</xdr:row>
      <xdr:rowOff>132724</xdr:rowOff>
    </xdr:from>
    <xdr:to>
      <xdr:col>3</xdr:col>
      <xdr:colOff>177155</xdr:colOff>
      <xdr:row>139</xdr:row>
      <xdr:rowOff>106914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92001A0F-3D1D-4C89-A6DE-57E2995AF54D}"/>
            </a:ext>
          </a:extLst>
        </xdr:cNvPr>
        <xdr:cNvSpPr/>
      </xdr:nvSpPr>
      <xdr:spPr>
        <a:xfrm>
          <a:off x="302986" y="24088099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128</xdr:row>
      <xdr:rowOff>123070</xdr:rowOff>
    </xdr:from>
    <xdr:to>
      <xdr:col>6</xdr:col>
      <xdr:colOff>58316</xdr:colOff>
      <xdr:row>134</xdr:row>
      <xdr:rowOff>28702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CE848041-68FA-4B99-9ECF-B01E5BF68F29}"/>
            </a:ext>
          </a:extLst>
        </xdr:cNvPr>
        <xdr:cNvSpPr/>
      </xdr:nvSpPr>
      <xdr:spPr>
        <a:xfrm>
          <a:off x="5124515" y="24078445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124</xdr:row>
      <xdr:rowOff>159641</xdr:rowOff>
    </xdr:from>
    <xdr:to>
      <xdr:col>4</xdr:col>
      <xdr:colOff>903147</xdr:colOff>
      <xdr:row>126</xdr:row>
      <xdr:rowOff>99299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305A015-6C39-44AC-ABF8-126EDB9114F6}"/>
            </a:ext>
          </a:extLst>
        </xdr:cNvPr>
        <xdr:cNvSpPr/>
      </xdr:nvSpPr>
      <xdr:spPr>
        <a:xfrm>
          <a:off x="3270261" y="23238716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122</xdr:row>
      <xdr:rowOff>13272</xdr:rowOff>
    </xdr:from>
    <xdr:to>
      <xdr:col>5</xdr:col>
      <xdr:colOff>1456069</xdr:colOff>
      <xdr:row>127</xdr:row>
      <xdr:rowOff>217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1982EAD-EA65-4740-82A3-42332581F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22711347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123</xdr:row>
      <xdr:rowOff>73623</xdr:rowOff>
    </xdr:from>
    <xdr:to>
      <xdr:col>4</xdr:col>
      <xdr:colOff>1639151</xdr:colOff>
      <xdr:row>124</xdr:row>
      <xdr:rowOff>107456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BF62471-34DA-4ABA-A9A2-3F699A217580}"/>
            </a:ext>
          </a:extLst>
        </xdr:cNvPr>
        <xdr:cNvSpPr txBox="1"/>
      </xdr:nvSpPr>
      <xdr:spPr>
        <a:xfrm>
          <a:off x="2618075" y="22962198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121</xdr:row>
      <xdr:rowOff>84234</xdr:rowOff>
    </xdr:from>
    <xdr:to>
      <xdr:col>4</xdr:col>
      <xdr:colOff>607428</xdr:colOff>
      <xdr:row>123</xdr:row>
      <xdr:rowOff>41009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5B04DF7-8A4E-483C-A73B-46778660CD93}"/>
            </a:ext>
          </a:extLst>
        </xdr:cNvPr>
        <xdr:cNvSpPr txBox="1"/>
      </xdr:nvSpPr>
      <xdr:spPr>
        <a:xfrm>
          <a:off x="3498656" y="22591809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122</xdr:row>
      <xdr:rowOff>20221</xdr:rowOff>
    </xdr:from>
    <xdr:to>
      <xdr:col>2</xdr:col>
      <xdr:colOff>463860</xdr:colOff>
      <xdr:row>126</xdr:row>
      <xdr:rowOff>149030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8B26823-4715-41BF-91AE-C3E54D418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22718296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248</xdr:row>
      <xdr:rowOff>132724</xdr:rowOff>
    </xdr:from>
    <xdr:to>
      <xdr:col>3</xdr:col>
      <xdr:colOff>177155</xdr:colOff>
      <xdr:row>259</xdr:row>
      <xdr:rowOff>106914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E47C60B4-B2C6-4067-8B6E-E9AD53839965}"/>
            </a:ext>
          </a:extLst>
        </xdr:cNvPr>
        <xdr:cNvSpPr/>
      </xdr:nvSpPr>
      <xdr:spPr>
        <a:xfrm>
          <a:off x="302986" y="4651947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248</xdr:row>
      <xdr:rowOff>123070</xdr:rowOff>
    </xdr:from>
    <xdr:to>
      <xdr:col>6</xdr:col>
      <xdr:colOff>58316</xdr:colOff>
      <xdr:row>254</xdr:row>
      <xdr:rowOff>28702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5025BC22-53DB-4D44-8925-FC7C77283308}"/>
            </a:ext>
          </a:extLst>
        </xdr:cNvPr>
        <xdr:cNvSpPr/>
      </xdr:nvSpPr>
      <xdr:spPr>
        <a:xfrm>
          <a:off x="5124515" y="4650982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244</xdr:row>
      <xdr:rowOff>159641</xdr:rowOff>
    </xdr:from>
    <xdr:to>
      <xdr:col>4</xdr:col>
      <xdr:colOff>903147</xdr:colOff>
      <xdr:row>246</xdr:row>
      <xdr:rowOff>99299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EDCE6C2-597D-4F9C-AE8C-AD934C84BF50}"/>
            </a:ext>
          </a:extLst>
        </xdr:cNvPr>
        <xdr:cNvSpPr/>
      </xdr:nvSpPr>
      <xdr:spPr>
        <a:xfrm>
          <a:off x="3270261" y="4567009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242</xdr:row>
      <xdr:rowOff>13272</xdr:rowOff>
    </xdr:from>
    <xdr:to>
      <xdr:col>5</xdr:col>
      <xdr:colOff>1456069</xdr:colOff>
      <xdr:row>247</xdr:row>
      <xdr:rowOff>217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179385B-A63C-4000-BC3E-79E706B05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4514272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243</xdr:row>
      <xdr:rowOff>73623</xdr:rowOff>
    </xdr:from>
    <xdr:to>
      <xdr:col>4</xdr:col>
      <xdr:colOff>1639151</xdr:colOff>
      <xdr:row>244</xdr:row>
      <xdr:rowOff>107456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F0F4ACB-478A-4545-A746-C451118B0002}"/>
            </a:ext>
          </a:extLst>
        </xdr:cNvPr>
        <xdr:cNvSpPr txBox="1"/>
      </xdr:nvSpPr>
      <xdr:spPr>
        <a:xfrm>
          <a:off x="2618075" y="4539357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241</xdr:row>
      <xdr:rowOff>84234</xdr:rowOff>
    </xdr:from>
    <xdr:to>
      <xdr:col>4</xdr:col>
      <xdr:colOff>607428</xdr:colOff>
      <xdr:row>243</xdr:row>
      <xdr:rowOff>41009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D58638C9-0A9F-469D-9607-03C4A8D8BE1B}"/>
            </a:ext>
          </a:extLst>
        </xdr:cNvPr>
        <xdr:cNvSpPr txBox="1"/>
      </xdr:nvSpPr>
      <xdr:spPr>
        <a:xfrm>
          <a:off x="3498656" y="4502318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242</xdr:row>
      <xdr:rowOff>20221</xdr:rowOff>
    </xdr:from>
    <xdr:to>
      <xdr:col>2</xdr:col>
      <xdr:colOff>463860</xdr:colOff>
      <xdr:row>246</xdr:row>
      <xdr:rowOff>149030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F8766D1-4C14-4D99-8623-12BD0327E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45149671"/>
          <a:ext cx="1257579" cy="89080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226786</xdr:colOff>
      <xdr:row>8</xdr:row>
      <xdr:rowOff>132724</xdr:rowOff>
    </xdr:from>
    <xdr:to>
      <xdr:col>3</xdr:col>
      <xdr:colOff>177155</xdr:colOff>
      <xdr:row>19</xdr:row>
      <xdr:rowOff>106914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D9AFE01-1145-40A8-8B9B-C605552AE241}"/>
            </a:ext>
          </a:extLst>
        </xdr:cNvPr>
        <xdr:cNvSpPr/>
      </xdr:nvSpPr>
      <xdr:spPr>
        <a:xfrm>
          <a:off x="302986" y="165672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8</xdr:row>
      <xdr:rowOff>123070</xdr:rowOff>
    </xdr:from>
    <xdr:to>
      <xdr:col>6</xdr:col>
      <xdr:colOff>58316</xdr:colOff>
      <xdr:row>14</xdr:row>
      <xdr:rowOff>28702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236EBECD-2F92-42B7-A524-91F44152C349}"/>
            </a:ext>
          </a:extLst>
        </xdr:cNvPr>
        <xdr:cNvSpPr/>
      </xdr:nvSpPr>
      <xdr:spPr>
        <a:xfrm>
          <a:off x="5124515" y="164707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4</xdr:row>
      <xdr:rowOff>159641</xdr:rowOff>
    </xdr:from>
    <xdr:to>
      <xdr:col>4</xdr:col>
      <xdr:colOff>903147</xdr:colOff>
      <xdr:row>6</xdr:row>
      <xdr:rowOff>99299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EA1C0E1-0989-4639-939A-1A77A44D9392}"/>
            </a:ext>
          </a:extLst>
        </xdr:cNvPr>
        <xdr:cNvSpPr/>
      </xdr:nvSpPr>
      <xdr:spPr>
        <a:xfrm>
          <a:off x="3270261" y="80734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</xdr:row>
      <xdr:rowOff>13272</xdr:rowOff>
    </xdr:from>
    <xdr:to>
      <xdr:col>5</xdr:col>
      <xdr:colOff>1456069</xdr:colOff>
      <xdr:row>7</xdr:row>
      <xdr:rowOff>217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0CDC8BB-CBCD-4965-ADFA-80EB67842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27997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3</xdr:row>
      <xdr:rowOff>73623</xdr:rowOff>
    </xdr:from>
    <xdr:to>
      <xdr:col>4</xdr:col>
      <xdr:colOff>1639151</xdr:colOff>
      <xdr:row>4</xdr:row>
      <xdr:rowOff>107456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A47B326-04BD-4A66-A2F1-41EB5FD424D6}"/>
            </a:ext>
          </a:extLst>
        </xdr:cNvPr>
        <xdr:cNvSpPr txBox="1"/>
      </xdr:nvSpPr>
      <xdr:spPr>
        <a:xfrm>
          <a:off x="2618075" y="53082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</xdr:row>
      <xdr:rowOff>84234</xdr:rowOff>
    </xdr:from>
    <xdr:to>
      <xdr:col>4</xdr:col>
      <xdr:colOff>607428</xdr:colOff>
      <xdr:row>3</xdr:row>
      <xdr:rowOff>41009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6FD24CB-BD30-433F-846F-65F2F8670E4B}"/>
            </a:ext>
          </a:extLst>
        </xdr:cNvPr>
        <xdr:cNvSpPr txBox="1"/>
      </xdr:nvSpPr>
      <xdr:spPr>
        <a:xfrm>
          <a:off x="3498656" y="16043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</xdr:row>
      <xdr:rowOff>20221</xdr:rowOff>
    </xdr:from>
    <xdr:to>
      <xdr:col>2</xdr:col>
      <xdr:colOff>463860</xdr:colOff>
      <xdr:row>6</xdr:row>
      <xdr:rowOff>149030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E8D10C1-A2E9-47E3-8E10-000BE58E0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286921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128</xdr:row>
      <xdr:rowOff>132724</xdr:rowOff>
    </xdr:from>
    <xdr:to>
      <xdr:col>3</xdr:col>
      <xdr:colOff>177155</xdr:colOff>
      <xdr:row>139</xdr:row>
      <xdr:rowOff>106914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03D6A129-04D3-4801-9FCB-508929C397FA}"/>
            </a:ext>
          </a:extLst>
        </xdr:cNvPr>
        <xdr:cNvSpPr/>
      </xdr:nvSpPr>
      <xdr:spPr>
        <a:xfrm>
          <a:off x="302986" y="24088099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128</xdr:row>
      <xdr:rowOff>123070</xdr:rowOff>
    </xdr:from>
    <xdr:to>
      <xdr:col>6</xdr:col>
      <xdr:colOff>58316</xdr:colOff>
      <xdr:row>134</xdr:row>
      <xdr:rowOff>28702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66CF6518-E167-43E0-8693-A01A146FD2E6}"/>
            </a:ext>
          </a:extLst>
        </xdr:cNvPr>
        <xdr:cNvSpPr/>
      </xdr:nvSpPr>
      <xdr:spPr>
        <a:xfrm>
          <a:off x="5124515" y="24078445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124</xdr:row>
      <xdr:rowOff>159641</xdr:rowOff>
    </xdr:from>
    <xdr:to>
      <xdr:col>4</xdr:col>
      <xdr:colOff>903147</xdr:colOff>
      <xdr:row>126</xdr:row>
      <xdr:rowOff>99299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9BB07CD-E5FD-4327-9A79-D26D277D388B}"/>
            </a:ext>
          </a:extLst>
        </xdr:cNvPr>
        <xdr:cNvSpPr/>
      </xdr:nvSpPr>
      <xdr:spPr>
        <a:xfrm>
          <a:off x="3270261" y="23238716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122</xdr:row>
      <xdr:rowOff>13272</xdr:rowOff>
    </xdr:from>
    <xdr:to>
      <xdr:col>5</xdr:col>
      <xdr:colOff>1456069</xdr:colOff>
      <xdr:row>127</xdr:row>
      <xdr:rowOff>217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7949836-0A5E-4B9E-9771-C5AA22096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22711347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123</xdr:row>
      <xdr:rowOff>73623</xdr:rowOff>
    </xdr:from>
    <xdr:to>
      <xdr:col>4</xdr:col>
      <xdr:colOff>1639151</xdr:colOff>
      <xdr:row>124</xdr:row>
      <xdr:rowOff>107456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80B77CE-8DD3-49EA-9733-19D019B357AC}"/>
            </a:ext>
          </a:extLst>
        </xdr:cNvPr>
        <xdr:cNvSpPr txBox="1"/>
      </xdr:nvSpPr>
      <xdr:spPr>
        <a:xfrm>
          <a:off x="2618075" y="22962198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121</xdr:row>
      <xdr:rowOff>84234</xdr:rowOff>
    </xdr:from>
    <xdr:to>
      <xdr:col>4</xdr:col>
      <xdr:colOff>607428</xdr:colOff>
      <xdr:row>123</xdr:row>
      <xdr:rowOff>41009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0E6F521-01F8-43E7-AD1C-1E26C32C4373}"/>
            </a:ext>
          </a:extLst>
        </xdr:cNvPr>
        <xdr:cNvSpPr txBox="1"/>
      </xdr:nvSpPr>
      <xdr:spPr>
        <a:xfrm>
          <a:off x="3498656" y="22591809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122</xdr:row>
      <xdr:rowOff>20221</xdr:rowOff>
    </xdr:from>
    <xdr:to>
      <xdr:col>2</xdr:col>
      <xdr:colOff>463860</xdr:colOff>
      <xdr:row>126</xdr:row>
      <xdr:rowOff>149030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C285ACE-E862-4BBD-8640-058C74807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22718296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248</xdr:row>
      <xdr:rowOff>132724</xdr:rowOff>
    </xdr:from>
    <xdr:to>
      <xdr:col>3</xdr:col>
      <xdr:colOff>177155</xdr:colOff>
      <xdr:row>259</xdr:row>
      <xdr:rowOff>106914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96410B45-4DE4-441E-A1C6-D6E4480100A8}"/>
            </a:ext>
          </a:extLst>
        </xdr:cNvPr>
        <xdr:cNvSpPr/>
      </xdr:nvSpPr>
      <xdr:spPr>
        <a:xfrm>
          <a:off x="302986" y="4651947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248</xdr:row>
      <xdr:rowOff>123070</xdr:rowOff>
    </xdr:from>
    <xdr:to>
      <xdr:col>6</xdr:col>
      <xdr:colOff>58316</xdr:colOff>
      <xdr:row>254</xdr:row>
      <xdr:rowOff>28702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84AFF1B3-E5D2-4E0C-8BA3-9F123CCD4A37}"/>
            </a:ext>
          </a:extLst>
        </xdr:cNvPr>
        <xdr:cNvSpPr/>
      </xdr:nvSpPr>
      <xdr:spPr>
        <a:xfrm>
          <a:off x="5124515" y="4650982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244</xdr:row>
      <xdr:rowOff>159641</xdr:rowOff>
    </xdr:from>
    <xdr:to>
      <xdr:col>4</xdr:col>
      <xdr:colOff>903147</xdr:colOff>
      <xdr:row>246</xdr:row>
      <xdr:rowOff>99299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572FA5C-F5DE-4428-AF19-8CF6FAE069DA}"/>
            </a:ext>
          </a:extLst>
        </xdr:cNvPr>
        <xdr:cNvSpPr/>
      </xdr:nvSpPr>
      <xdr:spPr>
        <a:xfrm>
          <a:off x="3270261" y="4567009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242</xdr:row>
      <xdr:rowOff>13272</xdr:rowOff>
    </xdr:from>
    <xdr:to>
      <xdr:col>5</xdr:col>
      <xdr:colOff>1456069</xdr:colOff>
      <xdr:row>247</xdr:row>
      <xdr:rowOff>217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A7E46B2-7580-4502-9ECF-0F1F18050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4514272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243</xdr:row>
      <xdr:rowOff>73623</xdr:rowOff>
    </xdr:from>
    <xdr:to>
      <xdr:col>4</xdr:col>
      <xdr:colOff>1639151</xdr:colOff>
      <xdr:row>244</xdr:row>
      <xdr:rowOff>107456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3D70EFF-6250-4E69-A694-E74E6052870D}"/>
            </a:ext>
          </a:extLst>
        </xdr:cNvPr>
        <xdr:cNvSpPr txBox="1"/>
      </xdr:nvSpPr>
      <xdr:spPr>
        <a:xfrm>
          <a:off x="2618075" y="4539357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241</xdr:row>
      <xdr:rowOff>84234</xdr:rowOff>
    </xdr:from>
    <xdr:to>
      <xdr:col>4</xdr:col>
      <xdr:colOff>607428</xdr:colOff>
      <xdr:row>243</xdr:row>
      <xdr:rowOff>41009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FCB5E8A-280F-42C1-A9DB-BE76B62085FA}"/>
            </a:ext>
          </a:extLst>
        </xdr:cNvPr>
        <xdr:cNvSpPr txBox="1"/>
      </xdr:nvSpPr>
      <xdr:spPr>
        <a:xfrm>
          <a:off x="3498656" y="4502318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242</xdr:row>
      <xdr:rowOff>20221</xdr:rowOff>
    </xdr:from>
    <xdr:to>
      <xdr:col>2</xdr:col>
      <xdr:colOff>463860</xdr:colOff>
      <xdr:row>246</xdr:row>
      <xdr:rowOff>149030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CFAD7B4-128D-4099-89BF-C06769E96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45149671"/>
          <a:ext cx="1257579" cy="89080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226786</xdr:colOff>
      <xdr:row>8</xdr:row>
      <xdr:rowOff>132724</xdr:rowOff>
    </xdr:from>
    <xdr:to>
      <xdr:col>3</xdr:col>
      <xdr:colOff>177155</xdr:colOff>
      <xdr:row>19</xdr:row>
      <xdr:rowOff>106914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5C884EC-1DD4-456C-9185-6664013BF407}"/>
            </a:ext>
          </a:extLst>
        </xdr:cNvPr>
        <xdr:cNvSpPr/>
      </xdr:nvSpPr>
      <xdr:spPr>
        <a:xfrm>
          <a:off x="283936" y="163767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8</xdr:row>
      <xdr:rowOff>123070</xdr:rowOff>
    </xdr:from>
    <xdr:to>
      <xdr:col>6</xdr:col>
      <xdr:colOff>58316</xdr:colOff>
      <xdr:row>14</xdr:row>
      <xdr:rowOff>28702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8DE34248-2ED9-4D5D-BBBD-9728A57555F4}"/>
            </a:ext>
          </a:extLst>
        </xdr:cNvPr>
        <xdr:cNvSpPr/>
      </xdr:nvSpPr>
      <xdr:spPr>
        <a:xfrm>
          <a:off x="5105465" y="162802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4</xdr:row>
      <xdr:rowOff>159641</xdr:rowOff>
    </xdr:from>
    <xdr:to>
      <xdr:col>4</xdr:col>
      <xdr:colOff>903147</xdr:colOff>
      <xdr:row>6</xdr:row>
      <xdr:rowOff>99299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EFBC083-C88B-4F47-A5A8-53E09BF18533}"/>
            </a:ext>
          </a:extLst>
        </xdr:cNvPr>
        <xdr:cNvSpPr/>
      </xdr:nvSpPr>
      <xdr:spPr>
        <a:xfrm>
          <a:off x="3251211" y="78829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</xdr:row>
      <xdr:rowOff>13272</xdr:rowOff>
    </xdr:from>
    <xdr:to>
      <xdr:col>5</xdr:col>
      <xdr:colOff>1456069</xdr:colOff>
      <xdr:row>7</xdr:row>
      <xdr:rowOff>217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F3B2FA2-1196-47E3-9B85-FC1C09DB0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8993" y="26092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3</xdr:row>
      <xdr:rowOff>73623</xdr:rowOff>
    </xdr:from>
    <xdr:to>
      <xdr:col>4</xdr:col>
      <xdr:colOff>1639151</xdr:colOff>
      <xdr:row>4</xdr:row>
      <xdr:rowOff>107456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C1A39B3-4388-4CB0-A4BD-842FF88EFFC9}"/>
            </a:ext>
          </a:extLst>
        </xdr:cNvPr>
        <xdr:cNvSpPr txBox="1"/>
      </xdr:nvSpPr>
      <xdr:spPr>
        <a:xfrm>
          <a:off x="2599025" y="51177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</xdr:row>
      <xdr:rowOff>84234</xdr:rowOff>
    </xdr:from>
    <xdr:to>
      <xdr:col>4</xdr:col>
      <xdr:colOff>607428</xdr:colOff>
      <xdr:row>3</xdr:row>
      <xdr:rowOff>41009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DAAFDB8-C5DE-4323-9DF1-BCA9B8F7C950}"/>
            </a:ext>
          </a:extLst>
        </xdr:cNvPr>
        <xdr:cNvSpPr txBox="1"/>
      </xdr:nvSpPr>
      <xdr:spPr>
        <a:xfrm>
          <a:off x="3479606" y="14138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</xdr:row>
      <xdr:rowOff>20221</xdr:rowOff>
    </xdr:from>
    <xdr:to>
      <xdr:col>2</xdr:col>
      <xdr:colOff>463860</xdr:colOff>
      <xdr:row>6</xdr:row>
      <xdr:rowOff>149030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AC9A21D-1E79-48A4-A295-B89A25F17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231" y="267871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128</xdr:row>
      <xdr:rowOff>132724</xdr:rowOff>
    </xdr:from>
    <xdr:to>
      <xdr:col>3</xdr:col>
      <xdr:colOff>177155</xdr:colOff>
      <xdr:row>139</xdr:row>
      <xdr:rowOff>106914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D946BD16-D4E8-44BD-B684-210F1E71AD90}"/>
            </a:ext>
          </a:extLst>
        </xdr:cNvPr>
        <xdr:cNvSpPr/>
      </xdr:nvSpPr>
      <xdr:spPr>
        <a:xfrm>
          <a:off x="283936" y="23935699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128</xdr:row>
      <xdr:rowOff>123070</xdr:rowOff>
    </xdr:from>
    <xdr:to>
      <xdr:col>6</xdr:col>
      <xdr:colOff>58316</xdr:colOff>
      <xdr:row>134</xdr:row>
      <xdr:rowOff>28702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CC9892E3-F900-4E09-93D5-8CEEA8E99D87}"/>
            </a:ext>
          </a:extLst>
        </xdr:cNvPr>
        <xdr:cNvSpPr/>
      </xdr:nvSpPr>
      <xdr:spPr>
        <a:xfrm>
          <a:off x="5105465" y="23926045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124</xdr:row>
      <xdr:rowOff>159641</xdr:rowOff>
    </xdr:from>
    <xdr:to>
      <xdr:col>4</xdr:col>
      <xdr:colOff>903147</xdr:colOff>
      <xdr:row>126</xdr:row>
      <xdr:rowOff>99299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09F4769-6308-480E-9C92-4C33947A24E2}"/>
            </a:ext>
          </a:extLst>
        </xdr:cNvPr>
        <xdr:cNvSpPr/>
      </xdr:nvSpPr>
      <xdr:spPr>
        <a:xfrm>
          <a:off x="3251211" y="23086316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122</xdr:row>
      <xdr:rowOff>13272</xdr:rowOff>
    </xdr:from>
    <xdr:to>
      <xdr:col>5</xdr:col>
      <xdr:colOff>1456069</xdr:colOff>
      <xdr:row>127</xdr:row>
      <xdr:rowOff>217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BCA9741-3EB9-4C7C-AA5A-3507BD9CB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8993" y="22558947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123</xdr:row>
      <xdr:rowOff>73623</xdr:rowOff>
    </xdr:from>
    <xdr:to>
      <xdr:col>4</xdr:col>
      <xdr:colOff>1639151</xdr:colOff>
      <xdr:row>124</xdr:row>
      <xdr:rowOff>107456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4E82DF7-CF58-471C-8C7D-05D422E0384D}"/>
            </a:ext>
          </a:extLst>
        </xdr:cNvPr>
        <xdr:cNvSpPr txBox="1"/>
      </xdr:nvSpPr>
      <xdr:spPr>
        <a:xfrm>
          <a:off x="2599025" y="22809798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121</xdr:row>
      <xdr:rowOff>84234</xdr:rowOff>
    </xdr:from>
    <xdr:to>
      <xdr:col>4</xdr:col>
      <xdr:colOff>607428</xdr:colOff>
      <xdr:row>123</xdr:row>
      <xdr:rowOff>41009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2F0C1D9-E9C5-4B5F-A526-40005AE70701}"/>
            </a:ext>
          </a:extLst>
        </xdr:cNvPr>
        <xdr:cNvSpPr txBox="1"/>
      </xdr:nvSpPr>
      <xdr:spPr>
        <a:xfrm>
          <a:off x="3479606" y="22439409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122</xdr:row>
      <xdr:rowOff>20221</xdr:rowOff>
    </xdr:from>
    <xdr:to>
      <xdr:col>2</xdr:col>
      <xdr:colOff>463860</xdr:colOff>
      <xdr:row>126</xdr:row>
      <xdr:rowOff>149030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BACEFB5-76FC-468E-B50D-37425797E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231" y="22565896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248</xdr:row>
      <xdr:rowOff>132724</xdr:rowOff>
    </xdr:from>
    <xdr:to>
      <xdr:col>3</xdr:col>
      <xdr:colOff>177155</xdr:colOff>
      <xdr:row>259</xdr:row>
      <xdr:rowOff>106914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CA90B7FB-AF32-4D8E-AEF4-0919F70ECA9D}"/>
            </a:ext>
          </a:extLst>
        </xdr:cNvPr>
        <xdr:cNvSpPr/>
      </xdr:nvSpPr>
      <xdr:spPr>
        <a:xfrm>
          <a:off x="283936" y="4623372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248</xdr:row>
      <xdr:rowOff>123070</xdr:rowOff>
    </xdr:from>
    <xdr:to>
      <xdr:col>6</xdr:col>
      <xdr:colOff>58316</xdr:colOff>
      <xdr:row>254</xdr:row>
      <xdr:rowOff>28702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D3DF06F5-03F1-43C0-87FF-68275D195ACA}"/>
            </a:ext>
          </a:extLst>
        </xdr:cNvPr>
        <xdr:cNvSpPr/>
      </xdr:nvSpPr>
      <xdr:spPr>
        <a:xfrm>
          <a:off x="5105465" y="4622407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244</xdr:row>
      <xdr:rowOff>159641</xdr:rowOff>
    </xdr:from>
    <xdr:to>
      <xdr:col>4</xdr:col>
      <xdr:colOff>903147</xdr:colOff>
      <xdr:row>246</xdr:row>
      <xdr:rowOff>99299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851A125A-14E2-4B0D-88DC-8DF4459FC3F9}"/>
            </a:ext>
          </a:extLst>
        </xdr:cNvPr>
        <xdr:cNvSpPr/>
      </xdr:nvSpPr>
      <xdr:spPr>
        <a:xfrm>
          <a:off x="3251211" y="4538434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242</xdr:row>
      <xdr:rowOff>13272</xdr:rowOff>
    </xdr:from>
    <xdr:to>
      <xdr:col>5</xdr:col>
      <xdr:colOff>1456069</xdr:colOff>
      <xdr:row>247</xdr:row>
      <xdr:rowOff>217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2B4B1B0-38B6-47FE-A616-6187DA299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8993" y="4485697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243</xdr:row>
      <xdr:rowOff>73623</xdr:rowOff>
    </xdr:from>
    <xdr:to>
      <xdr:col>4</xdr:col>
      <xdr:colOff>1639151</xdr:colOff>
      <xdr:row>244</xdr:row>
      <xdr:rowOff>107456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A9B3016-BE29-40EF-9D51-50880F654EB6}"/>
            </a:ext>
          </a:extLst>
        </xdr:cNvPr>
        <xdr:cNvSpPr txBox="1"/>
      </xdr:nvSpPr>
      <xdr:spPr>
        <a:xfrm>
          <a:off x="2599025" y="4510782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241</xdr:row>
      <xdr:rowOff>84234</xdr:rowOff>
    </xdr:from>
    <xdr:to>
      <xdr:col>4</xdr:col>
      <xdr:colOff>607428</xdr:colOff>
      <xdr:row>243</xdr:row>
      <xdr:rowOff>41009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65F2522-AF1C-48C7-8EC2-39D946F26A1A}"/>
            </a:ext>
          </a:extLst>
        </xdr:cNvPr>
        <xdr:cNvSpPr txBox="1"/>
      </xdr:nvSpPr>
      <xdr:spPr>
        <a:xfrm>
          <a:off x="3479606" y="4473743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242</xdr:row>
      <xdr:rowOff>20221</xdr:rowOff>
    </xdr:from>
    <xdr:to>
      <xdr:col>2</xdr:col>
      <xdr:colOff>463860</xdr:colOff>
      <xdr:row>246</xdr:row>
      <xdr:rowOff>149030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6C356A9-B1ED-4C3D-B901-2A4C957B2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231" y="44863921"/>
          <a:ext cx="1257579" cy="89080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226786</xdr:colOff>
      <xdr:row>8</xdr:row>
      <xdr:rowOff>132724</xdr:rowOff>
    </xdr:from>
    <xdr:to>
      <xdr:col>3</xdr:col>
      <xdr:colOff>177155</xdr:colOff>
      <xdr:row>19</xdr:row>
      <xdr:rowOff>106914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C8E3090-186A-457D-A707-E3B2B99EBEDA}"/>
            </a:ext>
          </a:extLst>
        </xdr:cNvPr>
        <xdr:cNvSpPr/>
      </xdr:nvSpPr>
      <xdr:spPr>
        <a:xfrm>
          <a:off x="302986" y="165672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8</xdr:row>
      <xdr:rowOff>123070</xdr:rowOff>
    </xdr:from>
    <xdr:to>
      <xdr:col>6</xdr:col>
      <xdr:colOff>58316</xdr:colOff>
      <xdr:row>14</xdr:row>
      <xdr:rowOff>28702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F210782-A518-419E-BDCB-34342F2E0049}"/>
            </a:ext>
          </a:extLst>
        </xdr:cNvPr>
        <xdr:cNvSpPr/>
      </xdr:nvSpPr>
      <xdr:spPr>
        <a:xfrm>
          <a:off x="5124515" y="164707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4</xdr:row>
      <xdr:rowOff>159641</xdr:rowOff>
    </xdr:from>
    <xdr:to>
      <xdr:col>4</xdr:col>
      <xdr:colOff>903147</xdr:colOff>
      <xdr:row>6</xdr:row>
      <xdr:rowOff>99299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960C5D9-3D05-4987-B9C5-1333030D6CC0}"/>
            </a:ext>
          </a:extLst>
        </xdr:cNvPr>
        <xdr:cNvSpPr/>
      </xdr:nvSpPr>
      <xdr:spPr>
        <a:xfrm>
          <a:off x="3270261" y="80734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</xdr:row>
      <xdr:rowOff>13272</xdr:rowOff>
    </xdr:from>
    <xdr:to>
      <xdr:col>5</xdr:col>
      <xdr:colOff>1456069</xdr:colOff>
      <xdr:row>7</xdr:row>
      <xdr:rowOff>217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6CCC33-76CF-48A5-B697-FCB104DC2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27997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3</xdr:row>
      <xdr:rowOff>73623</xdr:rowOff>
    </xdr:from>
    <xdr:to>
      <xdr:col>4</xdr:col>
      <xdr:colOff>1639151</xdr:colOff>
      <xdr:row>4</xdr:row>
      <xdr:rowOff>107456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4DFC9A7-852F-43FA-A11D-8B8AF31AA5EA}"/>
            </a:ext>
          </a:extLst>
        </xdr:cNvPr>
        <xdr:cNvSpPr txBox="1"/>
      </xdr:nvSpPr>
      <xdr:spPr>
        <a:xfrm>
          <a:off x="2618075" y="53082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</xdr:row>
      <xdr:rowOff>84234</xdr:rowOff>
    </xdr:from>
    <xdr:to>
      <xdr:col>4</xdr:col>
      <xdr:colOff>607428</xdr:colOff>
      <xdr:row>3</xdr:row>
      <xdr:rowOff>41009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738C0CC-0866-4A18-8219-CB23CDFA5E7F}"/>
            </a:ext>
          </a:extLst>
        </xdr:cNvPr>
        <xdr:cNvSpPr txBox="1"/>
      </xdr:nvSpPr>
      <xdr:spPr>
        <a:xfrm>
          <a:off x="3498656" y="16043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</xdr:row>
      <xdr:rowOff>20221</xdr:rowOff>
    </xdr:from>
    <xdr:to>
      <xdr:col>2</xdr:col>
      <xdr:colOff>463860</xdr:colOff>
      <xdr:row>6</xdr:row>
      <xdr:rowOff>149030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58982E7-9704-4EC0-92A8-0B90CCB8C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286921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128</xdr:row>
      <xdr:rowOff>132724</xdr:rowOff>
    </xdr:from>
    <xdr:to>
      <xdr:col>3</xdr:col>
      <xdr:colOff>177155</xdr:colOff>
      <xdr:row>139</xdr:row>
      <xdr:rowOff>106914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E07A0879-A153-4576-B137-467A339A316D}"/>
            </a:ext>
          </a:extLst>
        </xdr:cNvPr>
        <xdr:cNvSpPr/>
      </xdr:nvSpPr>
      <xdr:spPr>
        <a:xfrm>
          <a:off x="302986" y="24088099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128</xdr:row>
      <xdr:rowOff>123070</xdr:rowOff>
    </xdr:from>
    <xdr:to>
      <xdr:col>6</xdr:col>
      <xdr:colOff>58316</xdr:colOff>
      <xdr:row>134</xdr:row>
      <xdr:rowOff>28702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8DD5F572-7FF6-4A75-BC15-D7103E628C74}"/>
            </a:ext>
          </a:extLst>
        </xdr:cNvPr>
        <xdr:cNvSpPr/>
      </xdr:nvSpPr>
      <xdr:spPr>
        <a:xfrm>
          <a:off x="5124515" y="24078445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124</xdr:row>
      <xdr:rowOff>159641</xdr:rowOff>
    </xdr:from>
    <xdr:to>
      <xdr:col>4</xdr:col>
      <xdr:colOff>903147</xdr:colOff>
      <xdr:row>126</xdr:row>
      <xdr:rowOff>99299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966133B8-A955-46CD-91D7-D993495C0BCE}"/>
            </a:ext>
          </a:extLst>
        </xdr:cNvPr>
        <xdr:cNvSpPr/>
      </xdr:nvSpPr>
      <xdr:spPr>
        <a:xfrm>
          <a:off x="3270261" y="23238716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122</xdr:row>
      <xdr:rowOff>13272</xdr:rowOff>
    </xdr:from>
    <xdr:to>
      <xdr:col>5</xdr:col>
      <xdr:colOff>1456069</xdr:colOff>
      <xdr:row>127</xdr:row>
      <xdr:rowOff>217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C473C14-AE45-4479-9F4E-ABA34E8B6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22711347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123</xdr:row>
      <xdr:rowOff>73623</xdr:rowOff>
    </xdr:from>
    <xdr:to>
      <xdr:col>4</xdr:col>
      <xdr:colOff>1639151</xdr:colOff>
      <xdr:row>124</xdr:row>
      <xdr:rowOff>107456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3D04746-7536-4F92-9A1A-F67309BB9F44}"/>
            </a:ext>
          </a:extLst>
        </xdr:cNvPr>
        <xdr:cNvSpPr txBox="1"/>
      </xdr:nvSpPr>
      <xdr:spPr>
        <a:xfrm>
          <a:off x="2618075" y="22962198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121</xdr:row>
      <xdr:rowOff>84234</xdr:rowOff>
    </xdr:from>
    <xdr:to>
      <xdr:col>4</xdr:col>
      <xdr:colOff>607428</xdr:colOff>
      <xdr:row>123</xdr:row>
      <xdr:rowOff>41009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3EE1806-A8F8-449B-993A-926C543095EC}"/>
            </a:ext>
          </a:extLst>
        </xdr:cNvPr>
        <xdr:cNvSpPr txBox="1"/>
      </xdr:nvSpPr>
      <xdr:spPr>
        <a:xfrm>
          <a:off x="3498656" y="22591809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122</xdr:row>
      <xdr:rowOff>20221</xdr:rowOff>
    </xdr:from>
    <xdr:to>
      <xdr:col>2</xdr:col>
      <xdr:colOff>463860</xdr:colOff>
      <xdr:row>126</xdr:row>
      <xdr:rowOff>149030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E0B6E3B-6E9E-49E6-BC49-E6D3476D5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22718296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248</xdr:row>
      <xdr:rowOff>132724</xdr:rowOff>
    </xdr:from>
    <xdr:to>
      <xdr:col>3</xdr:col>
      <xdr:colOff>177155</xdr:colOff>
      <xdr:row>259</xdr:row>
      <xdr:rowOff>106914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D8BF57FF-BFEA-4AF7-9FBF-ABA52F35C24A}"/>
            </a:ext>
          </a:extLst>
        </xdr:cNvPr>
        <xdr:cNvSpPr/>
      </xdr:nvSpPr>
      <xdr:spPr>
        <a:xfrm>
          <a:off x="302986" y="4651947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248</xdr:row>
      <xdr:rowOff>123070</xdr:rowOff>
    </xdr:from>
    <xdr:to>
      <xdr:col>6</xdr:col>
      <xdr:colOff>58316</xdr:colOff>
      <xdr:row>254</xdr:row>
      <xdr:rowOff>28702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82F30982-2726-41CB-980E-712FD56BE0DC}"/>
            </a:ext>
          </a:extLst>
        </xdr:cNvPr>
        <xdr:cNvSpPr/>
      </xdr:nvSpPr>
      <xdr:spPr>
        <a:xfrm>
          <a:off x="5124515" y="4650982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244</xdr:row>
      <xdr:rowOff>159641</xdr:rowOff>
    </xdr:from>
    <xdr:to>
      <xdr:col>4</xdr:col>
      <xdr:colOff>903147</xdr:colOff>
      <xdr:row>246</xdr:row>
      <xdr:rowOff>99299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121BEA41-B789-411D-9183-0283F8C708D1}"/>
            </a:ext>
          </a:extLst>
        </xdr:cNvPr>
        <xdr:cNvSpPr/>
      </xdr:nvSpPr>
      <xdr:spPr>
        <a:xfrm>
          <a:off x="3270261" y="4567009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242</xdr:row>
      <xdr:rowOff>13272</xdr:rowOff>
    </xdr:from>
    <xdr:to>
      <xdr:col>5</xdr:col>
      <xdr:colOff>1456069</xdr:colOff>
      <xdr:row>247</xdr:row>
      <xdr:rowOff>217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607FA16-8103-46AD-B202-71B12CC81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4514272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243</xdr:row>
      <xdr:rowOff>73623</xdr:rowOff>
    </xdr:from>
    <xdr:to>
      <xdr:col>4</xdr:col>
      <xdr:colOff>1639151</xdr:colOff>
      <xdr:row>244</xdr:row>
      <xdr:rowOff>107456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9B18D95-EA41-4E32-A689-DC85B8DAB6A9}"/>
            </a:ext>
          </a:extLst>
        </xdr:cNvPr>
        <xdr:cNvSpPr txBox="1"/>
      </xdr:nvSpPr>
      <xdr:spPr>
        <a:xfrm>
          <a:off x="2618075" y="4539357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241</xdr:row>
      <xdr:rowOff>84234</xdr:rowOff>
    </xdr:from>
    <xdr:to>
      <xdr:col>4</xdr:col>
      <xdr:colOff>607428</xdr:colOff>
      <xdr:row>243</xdr:row>
      <xdr:rowOff>41009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E5162D6-626C-42BA-AA94-FBAE051A6EC9}"/>
            </a:ext>
          </a:extLst>
        </xdr:cNvPr>
        <xdr:cNvSpPr txBox="1"/>
      </xdr:nvSpPr>
      <xdr:spPr>
        <a:xfrm>
          <a:off x="3498656" y="4502318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242</xdr:row>
      <xdr:rowOff>20221</xdr:rowOff>
    </xdr:from>
    <xdr:to>
      <xdr:col>2</xdr:col>
      <xdr:colOff>463860</xdr:colOff>
      <xdr:row>246</xdr:row>
      <xdr:rowOff>149030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1E75FEB-EB79-4E6F-B3C8-F7B58097B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45149671"/>
          <a:ext cx="1257579" cy="89080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226786</xdr:colOff>
      <xdr:row>8</xdr:row>
      <xdr:rowOff>132724</xdr:rowOff>
    </xdr:from>
    <xdr:to>
      <xdr:col>3</xdr:col>
      <xdr:colOff>177155</xdr:colOff>
      <xdr:row>19</xdr:row>
      <xdr:rowOff>106914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FE4845C-9030-4572-A54A-AC132839C072}"/>
            </a:ext>
          </a:extLst>
        </xdr:cNvPr>
        <xdr:cNvSpPr/>
      </xdr:nvSpPr>
      <xdr:spPr>
        <a:xfrm>
          <a:off x="302986" y="165672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8</xdr:row>
      <xdr:rowOff>123070</xdr:rowOff>
    </xdr:from>
    <xdr:to>
      <xdr:col>6</xdr:col>
      <xdr:colOff>58316</xdr:colOff>
      <xdr:row>14</xdr:row>
      <xdr:rowOff>28702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656010A3-C731-4A41-86E3-6F85E9429063}"/>
            </a:ext>
          </a:extLst>
        </xdr:cNvPr>
        <xdr:cNvSpPr/>
      </xdr:nvSpPr>
      <xdr:spPr>
        <a:xfrm>
          <a:off x="5124515" y="164707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4</xdr:row>
      <xdr:rowOff>159641</xdr:rowOff>
    </xdr:from>
    <xdr:to>
      <xdr:col>4</xdr:col>
      <xdr:colOff>903147</xdr:colOff>
      <xdr:row>6</xdr:row>
      <xdr:rowOff>99299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63560D4-DF92-4FBC-9D1B-E89B8F4875C6}"/>
            </a:ext>
          </a:extLst>
        </xdr:cNvPr>
        <xdr:cNvSpPr/>
      </xdr:nvSpPr>
      <xdr:spPr>
        <a:xfrm>
          <a:off x="3270261" y="80734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</xdr:row>
      <xdr:rowOff>13272</xdr:rowOff>
    </xdr:from>
    <xdr:to>
      <xdr:col>5</xdr:col>
      <xdr:colOff>1456069</xdr:colOff>
      <xdr:row>7</xdr:row>
      <xdr:rowOff>217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29D5987-71FD-46D9-B610-2091119AA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27997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3</xdr:row>
      <xdr:rowOff>73623</xdr:rowOff>
    </xdr:from>
    <xdr:to>
      <xdr:col>4</xdr:col>
      <xdr:colOff>1639151</xdr:colOff>
      <xdr:row>4</xdr:row>
      <xdr:rowOff>107456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86FC2A1-40DA-481D-BF4F-FD0A70AEE4CF}"/>
            </a:ext>
          </a:extLst>
        </xdr:cNvPr>
        <xdr:cNvSpPr txBox="1"/>
      </xdr:nvSpPr>
      <xdr:spPr>
        <a:xfrm>
          <a:off x="2618075" y="53082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</xdr:row>
      <xdr:rowOff>84234</xdr:rowOff>
    </xdr:from>
    <xdr:to>
      <xdr:col>4</xdr:col>
      <xdr:colOff>607428</xdr:colOff>
      <xdr:row>3</xdr:row>
      <xdr:rowOff>41009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DBF3ADE-7A52-4675-877B-18BB412B7071}"/>
            </a:ext>
          </a:extLst>
        </xdr:cNvPr>
        <xdr:cNvSpPr txBox="1"/>
      </xdr:nvSpPr>
      <xdr:spPr>
        <a:xfrm>
          <a:off x="3498656" y="16043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</xdr:row>
      <xdr:rowOff>20221</xdr:rowOff>
    </xdr:from>
    <xdr:to>
      <xdr:col>2</xdr:col>
      <xdr:colOff>463860</xdr:colOff>
      <xdr:row>6</xdr:row>
      <xdr:rowOff>149030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712BD86-95F9-4FC1-AE2B-E725063EF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286921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128</xdr:row>
      <xdr:rowOff>132724</xdr:rowOff>
    </xdr:from>
    <xdr:to>
      <xdr:col>3</xdr:col>
      <xdr:colOff>177155</xdr:colOff>
      <xdr:row>139</xdr:row>
      <xdr:rowOff>106914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FB2E79D7-C419-42A9-8622-ADEE600785B6}"/>
            </a:ext>
          </a:extLst>
        </xdr:cNvPr>
        <xdr:cNvSpPr/>
      </xdr:nvSpPr>
      <xdr:spPr>
        <a:xfrm>
          <a:off x="302986" y="24088099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128</xdr:row>
      <xdr:rowOff>123070</xdr:rowOff>
    </xdr:from>
    <xdr:to>
      <xdr:col>6</xdr:col>
      <xdr:colOff>58316</xdr:colOff>
      <xdr:row>134</xdr:row>
      <xdr:rowOff>28702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D68D39B7-3043-43D2-A547-E0522CACB754}"/>
            </a:ext>
          </a:extLst>
        </xdr:cNvPr>
        <xdr:cNvSpPr/>
      </xdr:nvSpPr>
      <xdr:spPr>
        <a:xfrm>
          <a:off x="5124515" y="24078445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124</xdr:row>
      <xdr:rowOff>159641</xdr:rowOff>
    </xdr:from>
    <xdr:to>
      <xdr:col>4</xdr:col>
      <xdr:colOff>903147</xdr:colOff>
      <xdr:row>126</xdr:row>
      <xdr:rowOff>99299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9171FB48-C7AC-4987-8B3F-A6B55F419E01}"/>
            </a:ext>
          </a:extLst>
        </xdr:cNvPr>
        <xdr:cNvSpPr/>
      </xdr:nvSpPr>
      <xdr:spPr>
        <a:xfrm>
          <a:off x="3270261" y="23238716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122</xdr:row>
      <xdr:rowOff>13272</xdr:rowOff>
    </xdr:from>
    <xdr:to>
      <xdr:col>5</xdr:col>
      <xdr:colOff>1456069</xdr:colOff>
      <xdr:row>127</xdr:row>
      <xdr:rowOff>217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5013D08-4359-4470-888D-F59AACC08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22711347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123</xdr:row>
      <xdr:rowOff>73623</xdr:rowOff>
    </xdr:from>
    <xdr:to>
      <xdr:col>4</xdr:col>
      <xdr:colOff>1639151</xdr:colOff>
      <xdr:row>124</xdr:row>
      <xdr:rowOff>107456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942CEE9-4A35-470A-BC7C-B350974C920D}"/>
            </a:ext>
          </a:extLst>
        </xdr:cNvPr>
        <xdr:cNvSpPr txBox="1"/>
      </xdr:nvSpPr>
      <xdr:spPr>
        <a:xfrm>
          <a:off x="2618075" y="22962198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121</xdr:row>
      <xdr:rowOff>84234</xdr:rowOff>
    </xdr:from>
    <xdr:to>
      <xdr:col>4</xdr:col>
      <xdr:colOff>607428</xdr:colOff>
      <xdr:row>123</xdr:row>
      <xdr:rowOff>41009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B06B2B0-521F-4C25-8CE0-9DCAFF1DFD27}"/>
            </a:ext>
          </a:extLst>
        </xdr:cNvPr>
        <xdr:cNvSpPr txBox="1"/>
      </xdr:nvSpPr>
      <xdr:spPr>
        <a:xfrm>
          <a:off x="3498656" y="22591809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122</xdr:row>
      <xdr:rowOff>20221</xdr:rowOff>
    </xdr:from>
    <xdr:to>
      <xdr:col>2</xdr:col>
      <xdr:colOff>463860</xdr:colOff>
      <xdr:row>126</xdr:row>
      <xdr:rowOff>149030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1321892-56EE-469D-8261-81C1DE8AD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22718296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248</xdr:row>
      <xdr:rowOff>132724</xdr:rowOff>
    </xdr:from>
    <xdr:to>
      <xdr:col>3</xdr:col>
      <xdr:colOff>177155</xdr:colOff>
      <xdr:row>259</xdr:row>
      <xdr:rowOff>106914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59F33B6C-31E2-486C-894B-4B8F683C23F0}"/>
            </a:ext>
          </a:extLst>
        </xdr:cNvPr>
        <xdr:cNvSpPr/>
      </xdr:nvSpPr>
      <xdr:spPr>
        <a:xfrm>
          <a:off x="302986" y="4651947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248</xdr:row>
      <xdr:rowOff>123070</xdr:rowOff>
    </xdr:from>
    <xdr:to>
      <xdr:col>6</xdr:col>
      <xdr:colOff>58316</xdr:colOff>
      <xdr:row>254</xdr:row>
      <xdr:rowOff>28702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9B2F6132-DF41-4717-8F09-27036E715F9D}"/>
            </a:ext>
          </a:extLst>
        </xdr:cNvPr>
        <xdr:cNvSpPr/>
      </xdr:nvSpPr>
      <xdr:spPr>
        <a:xfrm>
          <a:off x="5124515" y="4650982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244</xdr:row>
      <xdr:rowOff>159641</xdr:rowOff>
    </xdr:from>
    <xdr:to>
      <xdr:col>4</xdr:col>
      <xdr:colOff>903147</xdr:colOff>
      <xdr:row>246</xdr:row>
      <xdr:rowOff>99299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380A705-A83D-4920-A20C-33D27ADAFC60}"/>
            </a:ext>
          </a:extLst>
        </xdr:cNvPr>
        <xdr:cNvSpPr/>
      </xdr:nvSpPr>
      <xdr:spPr>
        <a:xfrm>
          <a:off x="3270261" y="4567009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242</xdr:row>
      <xdr:rowOff>13272</xdr:rowOff>
    </xdr:from>
    <xdr:to>
      <xdr:col>5</xdr:col>
      <xdr:colOff>1456069</xdr:colOff>
      <xdr:row>247</xdr:row>
      <xdr:rowOff>217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ED5E681-9EF3-4402-A94F-47EBB3C30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4514272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243</xdr:row>
      <xdr:rowOff>73623</xdr:rowOff>
    </xdr:from>
    <xdr:to>
      <xdr:col>4</xdr:col>
      <xdr:colOff>1639151</xdr:colOff>
      <xdr:row>244</xdr:row>
      <xdr:rowOff>107456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4B4A0CA-EB35-4041-B792-6BBCD0B63260}"/>
            </a:ext>
          </a:extLst>
        </xdr:cNvPr>
        <xdr:cNvSpPr txBox="1"/>
      </xdr:nvSpPr>
      <xdr:spPr>
        <a:xfrm>
          <a:off x="2618075" y="4539357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241</xdr:row>
      <xdr:rowOff>84234</xdr:rowOff>
    </xdr:from>
    <xdr:to>
      <xdr:col>4</xdr:col>
      <xdr:colOff>607428</xdr:colOff>
      <xdr:row>243</xdr:row>
      <xdr:rowOff>41009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D9A275D-ACCF-4B82-8C23-F9B83B01A49C}"/>
            </a:ext>
          </a:extLst>
        </xdr:cNvPr>
        <xdr:cNvSpPr txBox="1"/>
      </xdr:nvSpPr>
      <xdr:spPr>
        <a:xfrm>
          <a:off x="3498656" y="4502318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242</xdr:row>
      <xdr:rowOff>20221</xdr:rowOff>
    </xdr:from>
    <xdr:to>
      <xdr:col>2</xdr:col>
      <xdr:colOff>463860</xdr:colOff>
      <xdr:row>246</xdr:row>
      <xdr:rowOff>149030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E1696DB-2BF5-40F7-AB07-E0546CB5C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45149671"/>
          <a:ext cx="1257579" cy="89080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226786</xdr:colOff>
      <xdr:row>8</xdr:row>
      <xdr:rowOff>132724</xdr:rowOff>
    </xdr:from>
    <xdr:to>
      <xdr:col>3</xdr:col>
      <xdr:colOff>177155</xdr:colOff>
      <xdr:row>19</xdr:row>
      <xdr:rowOff>106914</xdr:rowOff>
    </xdr:to>
    <xdr:sp macro="" textlink="">
      <xdr:nvSpPr>
        <xdr:cNvPr id="170" name="Rectangle: Rounded Corners 169">
          <a:extLst>
            <a:ext uri="{FF2B5EF4-FFF2-40B4-BE49-F238E27FC236}">
              <a16:creationId xmlns:a16="http://schemas.microsoft.com/office/drawing/2014/main" id="{DC707CD9-44C3-43C6-8954-63B76ECD6DED}"/>
            </a:ext>
          </a:extLst>
        </xdr:cNvPr>
        <xdr:cNvSpPr/>
      </xdr:nvSpPr>
      <xdr:spPr>
        <a:xfrm>
          <a:off x="302986" y="165672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8</xdr:row>
      <xdr:rowOff>123070</xdr:rowOff>
    </xdr:from>
    <xdr:to>
      <xdr:col>6</xdr:col>
      <xdr:colOff>58316</xdr:colOff>
      <xdr:row>14</xdr:row>
      <xdr:rowOff>28702</xdr:rowOff>
    </xdr:to>
    <xdr:sp macro="" textlink="">
      <xdr:nvSpPr>
        <xdr:cNvPr id="171" name="Rectangle: Rounded Corners 170">
          <a:extLst>
            <a:ext uri="{FF2B5EF4-FFF2-40B4-BE49-F238E27FC236}">
              <a16:creationId xmlns:a16="http://schemas.microsoft.com/office/drawing/2014/main" id="{478B7866-B0B0-4FAC-8DA3-A6E08EFB2ED2}"/>
            </a:ext>
          </a:extLst>
        </xdr:cNvPr>
        <xdr:cNvSpPr/>
      </xdr:nvSpPr>
      <xdr:spPr>
        <a:xfrm>
          <a:off x="5124515" y="164707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4</xdr:row>
      <xdr:rowOff>159641</xdr:rowOff>
    </xdr:from>
    <xdr:to>
      <xdr:col>4</xdr:col>
      <xdr:colOff>903147</xdr:colOff>
      <xdr:row>6</xdr:row>
      <xdr:rowOff>99299</xdr:rowOff>
    </xdr:to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5F62C2B4-0C2D-42D7-8159-96FC515189E2}"/>
            </a:ext>
          </a:extLst>
        </xdr:cNvPr>
        <xdr:cNvSpPr/>
      </xdr:nvSpPr>
      <xdr:spPr>
        <a:xfrm>
          <a:off x="3270261" y="80734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</xdr:row>
      <xdr:rowOff>13272</xdr:rowOff>
    </xdr:from>
    <xdr:to>
      <xdr:col>5</xdr:col>
      <xdr:colOff>1456069</xdr:colOff>
      <xdr:row>7</xdr:row>
      <xdr:rowOff>217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8ED49F81-EF70-40A6-A3B7-F183520B7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27997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3</xdr:row>
      <xdr:rowOff>73623</xdr:rowOff>
    </xdr:from>
    <xdr:to>
      <xdr:col>4</xdr:col>
      <xdr:colOff>1639151</xdr:colOff>
      <xdr:row>4</xdr:row>
      <xdr:rowOff>107456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485775BE-34D3-432E-91DF-D9CB85EFD25F}"/>
            </a:ext>
          </a:extLst>
        </xdr:cNvPr>
        <xdr:cNvSpPr txBox="1"/>
      </xdr:nvSpPr>
      <xdr:spPr>
        <a:xfrm>
          <a:off x="2618075" y="53082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</xdr:row>
      <xdr:rowOff>84234</xdr:rowOff>
    </xdr:from>
    <xdr:to>
      <xdr:col>4</xdr:col>
      <xdr:colOff>607428</xdr:colOff>
      <xdr:row>3</xdr:row>
      <xdr:rowOff>41009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48DD8FA7-FEDF-4E12-A1FB-C813B8EBF4D0}"/>
            </a:ext>
          </a:extLst>
        </xdr:cNvPr>
        <xdr:cNvSpPr txBox="1"/>
      </xdr:nvSpPr>
      <xdr:spPr>
        <a:xfrm>
          <a:off x="3498656" y="16043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</xdr:row>
      <xdr:rowOff>20221</xdr:rowOff>
    </xdr:from>
    <xdr:to>
      <xdr:col>2</xdr:col>
      <xdr:colOff>463860</xdr:colOff>
      <xdr:row>6</xdr:row>
      <xdr:rowOff>149030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89A75CC0-274C-4C6D-9BD9-32CB231A8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286921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128</xdr:row>
      <xdr:rowOff>132724</xdr:rowOff>
    </xdr:from>
    <xdr:to>
      <xdr:col>3</xdr:col>
      <xdr:colOff>177155</xdr:colOff>
      <xdr:row>139</xdr:row>
      <xdr:rowOff>106914</xdr:rowOff>
    </xdr:to>
    <xdr:sp macro="" textlink="">
      <xdr:nvSpPr>
        <xdr:cNvPr id="177" name="Rectangle: Rounded Corners 176">
          <a:extLst>
            <a:ext uri="{FF2B5EF4-FFF2-40B4-BE49-F238E27FC236}">
              <a16:creationId xmlns:a16="http://schemas.microsoft.com/office/drawing/2014/main" id="{7F4622F7-F066-43F7-A998-FD7B99DDF7D6}"/>
            </a:ext>
          </a:extLst>
        </xdr:cNvPr>
        <xdr:cNvSpPr/>
      </xdr:nvSpPr>
      <xdr:spPr>
        <a:xfrm>
          <a:off x="302986" y="24088099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128</xdr:row>
      <xdr:rowOff>123070</xdr:rowOff>
    </xdr:from>
    <xdr:to>
      <xdr:col>6</xdr:col>
      <xdr:colOff>58316</xdr:colOff>
      <xdr:row>134</xdr:row>
      <xdr:rowOff>28702</xdr:rowOff>
    </xdr:to>
    <xdr:sp macro="" textlink="">
      <xdr:nvSpPr>
        <xdr:cNvPr id="178" name="Rectangle: Rounded Corners 177">
          <a:extLst>
            <a:ext uri="{FF2B5EF4-FFF2-40B4-BE49-F238E27FC236}">
              <a16:creationId xmlns:a16="http://schemas.microsoft.com/office/drawing/2014/main" id="{DCE340AC-17A5-41AE-819E-ABDEEB76E387}"/>
            </a:ext>
          </a:extLst>
        </xdr:cNvPr>
        <xdr:cNvSpPr/>
      </xdr:nvSpPr>
      <xdr:spPr>
        <a:xfrm>
          <a:off x="5124515" y="24078445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124</xdr:row>
      <xdr:rowOff>159641</xdr:rowOff>
    </xdr:from>
    <xdr:to>
      <xdr:col>4</xdr:col>
      <xdr:colOff>903147</xdr:colOff>
      <xdr:row>126</xdr:row>
      <xdr:rowOff>99299</xdr:rowOff>
    </xdr:to>
    <xdr:sp macro="" textlink="">
      <xdr:nvSpPr>
        <xdr:cNvPr id="179" name="Rectangle 178">
          <a:extLst>
            <a:ext uri="{FF2B5EF4-FFF2-40B4-BE49-F238E27FC236}">
              <a16:creationId xmlns:a16="http://schemas.microsoft.com/office/drawing/2014/main" id="{2733F397-A7E8-497F-A372-DD942034895A}"/>
            </a:ext>
          </a:extLst>
        </xdr:cNvPr>
        <xdr:cNvSpPr/>
      </xdr:nvSpPr>
      <xdr:spPr>
        <a:xfrm>
          <a:off x="3270261" y="23238716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122</xdr:row>
      <xdr:rowOff>13272</xdr:rowOff>
    </xdr:from>
    <xdr:to>
      <xdr:col>5</xdr:col>
      <xdr:colOff>1456069</xdr:colOff>
      <xdr:row>127</xdr:row>
      <xdr:rowOff>217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B635A9CC-E6A5-460E-87A6-4501C3418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22711347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123</xdr:row>
      <xdr:rowOff>73623</xdr:rowOff>
    </xdr:from>
    <xdr:to>
      <xdr:col>4</xdr:col>
      <xdr:colOff>1639151</xdr:colOff>
      <xdr:row>124</xdr:row>
      <xdr:rowOff>107456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F4DBFDEB-A677-41A1-BDC7-51E3A907FC09}"/>
            </a:ext>
          </a:extLst>
        </xdr:cNvPr>
        <xdr:cNvSpPr txBox="1"/>
      </xdr:nvSpPr>
      <xdr:spPr>
        <a:xfrm>
          <a:off x="2618075" y="22962198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121</xdr:row>
      <xdr:rowOff>84234</xdr:rowOff>
    </xdr:from>
    <xdr:to>
      <xdr:col>4</xdr:col>
      <xdr:colOff>607428</xdr:colOff>
      <xdr:row>123</xdr:row>
      <xdr:rowOff>41009</xdr:rowOff>
    </xdr:to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C2ABD72D-E576-4F92-BF9D-513C96707339}"/>
            </a:ext>
          </a:extLst>
        </xdr:cNvPr>
        <xdr:cNvSpPr txBox="1"/>
      </xdr:nvSpPr>
      <xdr:spPr>
        <a:xfrm>
          <a:off x="3498656" y="22591809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122</xdr:row>
      <xdr:rowOff>20221</xdr:rowOff>
    </xdr:from>
    <xdr:to>
      <xdr:col>2</xdr:col>
      <xdr:colOff>463860</xdr:colOff>
      <xdr:row>126</xdr:row>
      <xdr:rowOff>149030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11F7A75B-A958-4213-A3BB-6C166886B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22718296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248</xdr:row>
      <xdr:rowOff>132724</xdr:rowOff>
    </xdr:from>
    <xdr:to>
      <xdr:col>3</xdr:col>
      <xdr:colOff>177155</xdr:colOff>
      <xdr:row>259</xdr:row>
      <xdr:rowOff>106914</xdr:rowOff>
    </xdr:to>
    <xdr:sp macro="" textlink="">
      <xdr:nvSpPr>
        <xdr:cNvPr id="184" name="Rectangle: Rounded Corners 183">
          <a:extLst>
            <a:ext uri="{FF2B5EF4-FFF2-40B4-BE49-F238E27FC236}">
              <a16:creationId xmlns:a16="http://schemas.microsoft.com/office/drawing/2014/main" id="{238F2A27-9489-48FE-824E-D7C9DC84C777}"/>
            </a:ext>
          </a:extLst>
        </xdr:cNvPr>
        <xdr:cNvSpPr/>
      </xdr:nvSpPr>
      <xdr:spPr>
        <a:xfrm>
          <a:off x="302986" y="4651947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248</xdr:row>
      <xdr:rowOff>123070</xdr:rowOff>
    </xdr:from>
    <xdr:to>
      <xdr:col>6</xdr:col>
      <xdr:colOff>58316</xdr:colOff>
      <xdr:row>254</xdr:row>
      <xdr:rowOff>28702</xdr:rowOff>
    </xdr:to>
    <xdr:sp macro="" textlink="">
      <xdr:nvSpPr>
        <xdr:cNvPr id="185" name="Rectangle: Rounded Corners 184">
          <a:extLst>
            <a:ext uri="{FF2B5EF4-FFF2-40B4-BE49-F238E27FC236}">
              <a16:creationId xmlns:a16="http://schemas.microsoft.com/office/drawing/2014/main" id="{CB5AB83A-AF80-41D4-BDFC-6BE567AC8833}"/>
            </a:ext>
          </a:extLst>
        </xdr:cNvPr>
        <xdr:cNvSpPr/>
      </xdr:nvSpPr>
      <xdr:spPr>
        <a:xfrm>
          <a:off x="5124515" y="4650982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244</xdr:row>
      <xdr:rowOff>159641</xdr:rowOff>
    </xdr:from>
    <xdr:to>
      <xdr:col>4</xdr:col>
      <xdr:colOff>903147</xdr:colOff>
      <xdr:row>246</xdr:row>
      <xdr:rowOff>99299</xdr:rowOff>
    </xdr:to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4CC38F6D-2247-45CC-90BB-C491FE67E0FD}"/>
            </a:ext>
          </a:extLst>
        </xdr:cNvPr>
        <xdr:cNvSpPr/>
      </xdr:nvSpPr>
      <xdr:spPr>
        <a:xfrm>
          <a:off x="3270261" y="4567009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242</xdr:row>
      <xdr:rowOff>13272</xdr:rowOff>
    </xdr:from>
    <xdr:to>
      <xdr:col>5</xdr:col>
      <xdr:colOff>1456069</xdr:colOff>
      <xdr:row>247</xdr:row>
      <xdr:rowOff>217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D0584195-DB26-4AFC-A192-30F094B66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4514272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243</xdr:row>
      <xdr:rowOff>73623</xdr:rowOff>
    </xdr:from>
    <xdr:to>
      <xdr:col>4</xdr:col>
      <xdr:colOff>1639151</xdr:colOff>
      <xdr:row>244</xdr:row>
      <xdr:rowOff>107456</xdr:rowOff>
    </xdr:to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5BE5DEE8-91A3-41AC-BD97-90B4C385D6E3}"/>
            </a:ext>
          </a:extLst>
        </xdr:cNvPr>
        <xdr:cNvSpPr txBox="1"/>
      </xdr:nvSpPr>
      <xdr:spPr>
        <a:xfrm>
          <a:off x="2618075" y="4539357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241</xdr:row>
      <xdr:rowOff>84234</xdr:rowOff>
    </xdr:from>
    <xdr:to>
      <xdr:col>4</xdr:col>
      <xdr:colOff>607428</xdr:colOff>
      <xdr:row>243</xdr:row>
      <xdr:rowOff>41009</xdr:rowOff>
    </xdr:to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3B734E92-8DC1-406A-95F2-D428AB964804}"/>
            </a:ext>
          </a:extLst>
        </xdr:cNvPr>
        <xdr:cNvSpPr txBox="1"/>
      </xdr:nvSpPr>
      <xdr:spPr>
        <a:xfrm>
          <a:off x="3498656" y="4502318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242</xdr:row>
      <xdr:rowOff>20221</xdr:rowOff>
    </xdr:from>
    <xdr:to>
      <xdr:col>2</xdr:col>
      <xdr:colOff>463860</xdr:colOff>
      <xdr:row>246</xdr:row>
      <xdr:rowOff>149030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A1A5AC3E-9EA4-4671-B18C-54AD4623F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45149671"/>
          <a:ext cx="1257579" cy="89080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226786</xdr:colOff>
      <xdr:row>8</xdr:row>
      <xdr:rowOff>132724</xdr:rowOff>
    </xdr:from>
    <xdr:to>
      <xdr:col>3</xdr:col>
      <xdr:colOff>177155</xdr:colOff>
      <xdr:row>19</xdr:row>
      <xdr:rowOff>106914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DA33D4A-5B02-4A2D-B4CF-75076FA8C7C2}"/>
            </a:ext>
          </a:extLst>
        </xdr:cNvPr>
        <xdr:cNvSpPr/>
      </xdr:nvSpPr>
      <xdr:spPr>
        <a:xfrm>
          <a:off x="302986" y="165672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8</xdr:row>
      <xdr:rowOff>123070</xdr:rowOff>
    </xdr:from>
    <xdr:to>
      <xdr:col>6</xdr:col>
      <xdr:colOff>58316</xdr:colOff>
      <xdr:row>14</xdr:row>
      <xdr:rowOff>28702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7A444C1-6B46-42B0-AA1B-1933B7C82D4D}"/>
            </a:ext>
          </a:extLst>
        </xdr:cNvPr>
        <xdr:cNvSpPr/>
      </xdr:nvSpPr>
      <xdr:spPr>
        <a:xfrm>
          <a:off x="5124515" y="164707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4</xdr:row>
      <xdr:rowOff>159641</xdr:rowOff>
    </xdr:from>
    <xdr:to>
      <xdr:col>4</xdr:col>
      <xdr:colOff>903147</xdr:colOff>
      <xdr:row>6</xdr:row>
      <xdr:rowOff>99299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C88476B-B5F1-4077-9960-A262FB070F29}"/>
            </a:ext>
          </a:extLst>
        </xdr:cNvPr>
        <xdr:cNvSpPr/>
      </xdr:nvSpPr>
      <xdr:spPr>
        <a:xfrm>
          <a:off x="3270261" y="80734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</xdr:row>
      <xdr:rowOff>13272</xdr:rowOff>
    </xdr:from>
    <xdr:to>
      <xdr:col>5</xdr:col>
      <xdr:colOff>1456069</xdr:colOff>
      <xdr:row>7</xdr:row>
      <xdr:rowOff>217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1097950-5335-48B1-9328-934AF8B0D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27997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3</xdr:row>
      <xdr:rowOff>73623</xdr:rowOff>
    </xdr:from>
    <xdr:to>
      <xdr:col>4</xdr:col>
      <xdr:colOff>1639151</xdr:colOff>
      <xdr:row>4</xdr:row>
      <xdr:rowOff>107456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D9DCA12-A3F0-4EA2-AD41-85AFA5C3C394}"/>
            </a:ext>
          </a:extLst>
        </xdr:cNvPr>
        <xdr:cNvSpPr txBox="1"/>
      </xdr:nvSpPr>
      <xdr:spPr>
        <a:xfrm>
          <a:off x="2618075" y="53082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</xdr:row>
      <xdr:rowOff>84234</xdr:rowOff>
    </xdr:from>
    <xdr:to>
      <xdr:col>4</xdr:col>
      <xdr:colOff>607428</xdr:colOff>
      <xdr:row>3</xdr:row>
      <xdr:rowOff>41009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B9D04A2-94EA-47E6-911F-D6EEE43F1911}"/>
            </a:ext>
          </a:extLst>
        </xdr:cNvPr>
        <xdr:cNvSpPr txBox="1"/>
      </xdr:nvSpPr>
      <xdr:spPr>
        <a:xfrm>
          <a:off x="3498656" y="16043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</xdr:row>
      <xdr:rowOff>20221</xdr:rowOff>
    </xdr:from>
    <xdr:to>
      <xdr:col>2</xdr:col>
      <xdr:colOff>463860</xdr:colOff>
      <xdr:row>6</xdr:row>
      <xdr:rowOff>149030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A32B079-6C38-473A-BD37-F884999B9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286921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128</xdr:row>
      <xdr:rowOff>132724</xdr:rowOff>
    </xdr:from>
    <xdr:to>
      <xdr:col>3</xdr:col>
      <xdr:colOff>177155</xdr:colOff>
      <xdr:row>139</xdr:row>
      <xdr:rowOff>106914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3EE47957-C57F-43DD-A3D9-CACE0E8C73AA}"/>
            </a:ext>
          </a:extLst>
        </xdr:cNvPr>
        <xdr:cNvSpPr/>
      </xdr:nvSpPr>
      <xdr:spPr>
        <a:xfrm>
          <a:off x="302986" y="24088099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128</xdr:row>
      <xdr:rowOff>123070</xdr:rowOff>
    </xdr:from>
    <xdr:to>
      <xdr:col>6</xdr:col>
      <xdr:colOff>58316</xdr:colOff>
      <xdr:row>134</xdr:row>
      <xdr:rowOff>28702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0DB8FDDD-FAB3-4BA5-A82A-640DE2B2E44C}"/>
            </a:ext>
          </a:extLst>
        </xdr:cNvPr>
        <xdr:cNvSpPr/>
      </xdr:nvSpPr>
      <xdr:spPr>
        <a:xfrm>
          <a:off x="5124515" y="24078445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124</xdr:row>
      <xdr:rowOff>159641</xdr:rowOff>
    </xdr:from>
    <xdr:to>
      <xdr:col>4</xdr:col>
      <xdr:colOff>903147</xdr:colOff>
      <xdr:row>126</xdr:row>
      <xdr:rowOff>99299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4A9F42B-104E-4682-ACEE-ECE87258B19F}"/>
            </a:ext>
          </a:extLst>
        </xdr:cNvPr>
        <xdr:cNvSpPr/>
      </xdr:nvSpPr>
      <xdr:spPr>
        <a:xfrm>
          <a:off x="3270261" y="23238716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122</xdr:row>
      <xdr:rowOff>13272</xdr:rowOff>
    </xdr:from>
    <xdr:to>
      <xdr:col>5</xdr:col>
      <xdr:colOff>1456069</xdr:colOff>
      <xdr:row>127</xdr:row>
      <xdr:rowOff>217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42D237C-CDAD-4915-B577-134F00940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22711347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123</xdr:row>
      <xdr:rowOff>73623</xdr:rowOff>
    </xdr:from>
    <xdr:to>
      <xdr:col>4</xdr:col>
      <xdr:colOff>1639151</xdr:colOff>
      <xdr:row>124</xdr:row>
      <xdr:rowOff>107456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5359493-01DB-4F6F-B0B7-CC5300DD0265}"/>
            </a:ext>
          </a:extLst>
        </xdr:cNvPr>
        <xdr:cNvSpPr txBox="1"/>
      </xdr:nvSpPr>
      <xdr:spPr>
        <a:xfrm>
          <a:off x="2618075" y="22962198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121</xdr:row>
      <xdr:rowOff>84234</xdr:rowOff>
    </xdr:from>
    <xdr:to>
      <xdr:col>4</xdr:col>
      <xdr:colOff>607428</xdr:colOff>
      <xdr:row>123</xdr:row>
      <xdr:rowOff>41009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55EF845-5B58-4752-9CF9-CE60EAAEF2A7}"/>
            </a:ext>
          </a:extLst>
        </xdr:cNvPr>
        <xdr:cNvSpPr txBox="1"/>
      </xdr:nvSpPr>
      <xdr:spPr>
        <a:xfrm>
          <a:off x="3498656" y="22591809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122</xdr:row>
      <xdr:rowOff>20221</xdr:rowOff>
    </xdr:from>
    <xdr:to>
      <xdr:col>2</xdr:col>
      <xdr:colOff>463860</xdr:colOff>
      <xdr:row>126</xdr:row>
      <xdr:rowOff>149030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EA19369-F5D6-49DE-A7CA-132C37679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22718296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248</xdr:row>
      <xdr:rowOff>132724</xdr:rowOff>
    </xdr:from>
    <xdr:to>
      <xdr:col>3</xdr:col>
      <xdr:colOff>177155</xdr:colOff>
      <xdr:row>259</xdr:row>
      <xdr:rowOff>106914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0FF7DF6B-BBFB-426F-B429-D15BA3421C15}"/>
            </a:ext>
          </a:extLst>
        </xdr:cNvPr>
        <xdr:cNvSpPr/>
      </xdr:nvSpPr>
      <xdr:spPr>
        <a:xfrm>
          <a:off x="302986" y="4651947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248</xdr:row>
      <xdr:rowOff>123070</xdr:rowOff>
    </xdr:from>
    <xdr:to>
      <xdr:col>6</xdr:col>
      <xdr:colOff>58316</xdr:colOff>
      <xdr:row>254</xdr:row>
      <xdr:rowOff>28702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EE4D1FE8-04EB-44EB-B054-DDB93F275982}"/>
            </a:ext>
          </a:extLst>
        </xdr:cNvPr>
        <xdr:cNvSpPr/>
      </xdr:nvSpPr>
      <xdr:spPr>
        <a:xfrm>
          <a:off x="5124515" y="4650982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244</xdr:row>
      <xdr:rowOff>159641</xdr:rowOff>
    </xdr:from>
    <xdr:to>
      <xdr:col>4</xdr:col>
      <xdr:colOff>903147</xdr:colOff>
      <xdr:row>246</xdr:row>
      <xdr:rowOff>99299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859A97B2-CA66-4981-9AB6-AB215FA290CC}"/>
            </a:ext>
          </a:extLst>
        </xdr:cNvPr>
        <xdr:cNvSpPr/>
      </xdr:nvSpPr>
      <xdr:spPr>
        <a:xfrm>
          <a:off x="3270261" y="4567009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242</xdr:row>
      <xdr:rowOff>13272</xdr:rowOff>
    </xdr:from>
    <xdr:to>
      <xdr:col>5</xdr:col>
      <xdr:colOff>1456069</xdr:colOff>
      <xdr:row>247</xdr:row>
      <xdr:rowOff>217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869F509-A10F-48C1-B150-8F1A634F2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4514272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243</xdr:row>
      <xdr:rowOff>73623</xdr:rowOff>
    </xdr:from>
    <xdr:to>
      <xdr:col>4</xdr:col>
      <xdr:colOff>1639151</xdr:colOff>
      <xdr:row>244</xdr:row>
      <xdr:rowOff>107456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A20CB7A-0901-4A4A-A9CB-81B0621FBE44}"/>
            </a:ext>
          </a:extLst>
        </xdr:cNvPr>
        <xdr:cNvSpPr txBox="1"/>
      </xdr:nvSpPr>
      <xdr:spPr>
        <a:xfrm>
          <a:off x="2618075" y="4539357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241</xdr:row>
      <xdr:rowOff>84234</xdr:rowOff>
    </xdr:from>
    <xdr:to>
      <xdr:col>4</xdr:col>
      <xdr:colOff>607428</xdr:colOff>
      <xdr:row>243</xdr:row>
      <xdr:rowOff>41009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D1E6669-764F-4430-9322-56DB414C00A1}"/>
            </a:ext>
          </a:extLst>
        </xdr:cNvPr>
        <xdr:cNvSpPr txBox="1"/>
      </xdr:nvSpPr>
      <xdr:spPr>
        <a:xfrm>
          <a:off x="3498656" y="4502318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242</xdr:row>
      <xdr:rowOff>20221</xdr:rowOff>
    </xdr:from>
    <xdr:to>
      <xdr:col>2</xdr:col>
      <xdr:colOff>463860</xdr:colOff>
      <xdr:row>246</xdr:row>
      <xdr:rowOff>149030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8EF66A9-6AC5-42E6-BD51-CBFA33CBE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45149671"/>
          <a:ext cx="1257579" cy="890809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226786</xdr:colOff>
      <xdr:row>8</xdr:row>
      <xdr:rowOff>132724</xdr:rowOff>
    </xdr:from>
    <xdr:to>
      <xdr:col>3</xdr:col>
      <xdr:colOff>177155</xdr:colOff>
      <xdr:row>19</xdr:row>
      <xdr:rowOff>106914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8E40F27-569B-4DAA-8B01-2092FA06630A}"/>
            </a:ext>
          </a:extLst>
        </xdr:cNvPr>
        <xdr:cNvSpPr/>
      </xdr:nvSpPr>
      <xdr:spPr>
        <a:xfrm>
          <a:off x="302986" y="165672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8</xdr:row>
      <xdr:rowOff>123070</xdr:rowOff>
    </xdr:from>
    <xdr:to>
      <xdr:col>6</xdr:col>
      <xdr:colOff>58316</xdr:colOff>
      <xdr:row>14</xdr:row>
      <xdr:rowOff>28702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88B6C715-3B68-413C-994A-3B44D1D739DC}"/>
            </a:ext>
          </a:extLst>
        </xdr:cNvPr>
        <xdr:cNvSpPr/>
      </xdr:nvSpPr>
      <xdr:spPr>
        <a:xfrm>
          <a:off x="5124515" y="164707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4</xdr:row>
      <xdr:rowOff>159641</xdr:rowOff>
    </xdr:from>
    <xdr:to>
      <xdr:col>4</xdr:col>
      <xdr:colOff>903147</xdr:colOff>
      <xdr:row>6</xdr:row>
      <xdr:rowOff>99299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5A5A8DB-545A-4B2A-A547-7BF6434190D9}"/>
            </a:ext>
          </a:extLst>
        </xdr:cNvPr>
        <xdr:cNvSpPr/>
      </xdr:nvSpPr>
      <xdr:spPr>
        <a:xfrm>
          <a:off x="3270261" y="80734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</xdr:row>
      <xdr:rowOff>13272</xdr:rowOff>
    </xdr:from>
    <xdr:to>
      <xdr:col>5</xdr:col>
      <xdr:colOff>1456069</xdr:colOff>
      <xdr:row>7</xdr:row>
      <xdr:rowOff>217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41D6CC0-BFE0-44A6-A2C5-2976E8EEA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27997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3</xdr:row>
      <xdr:rowOff>73623</xdr:rowOff>
    </xdr:from>
    <xdr:to>
      <xdr:col>4</xdr:col>
      <xdr:colOff>1639151</xdr:colOff>
      <xdr:row>4</xdr:row>
      <xdr:rowOff>107456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56774E5-E9B9-498D-8FC3-8BDC1F7FC292}"/>
            </a:ext>
          </a:extLst>
        </xdr:cNvPr>
        <xdr:cNvSpPr txBox="1"/>
      </xdr:nvSpPr>
      <xdr:spPr>
        <a:xfrm>
          <a:off x="2618075" y="53082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</xdr:row>
      <xdr:rowOff>84234</xdr:rowOff>
    </xdr:from>
    <xdr:to>
      <xdr:col>4</xdr:col>
      <xdr:colOff>607428</xdr:colOff>
      <xdr:row>3</xdr:row>
      <xdr:rowOff>41009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5B86C3F-C8DF-4A3B-93FC-747C13B0DB12}"/>
            </a:ext>
          </a:extLst>
        </xdr:cNvPr>
        <xdr:cNvSpPr txBox="1"/>
      </xdr:nvSpPr>
      <xdr:spPr>
        <a:xfrm>
          <a:off x="3498656" y="16043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</xdr:row>
      <xdr:rowOff>20221</xdr:rowOff>
    </xdr:from>
    <xdr:to>
      <xdr:col>2</xdr:col>
      <xdr:colOff>463860</xdr:colOff>
      <xdr:row>6</xdr:row>
      <xdr:rowOff>149030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3BE9898-6C25-4D2F-ACCB-FFDBF0A16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286921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128</xdr:row>
      <xdr:rowOff>132724</xdr:rowOff>
    </xdr:from>
    <xdr:to>
      <xdr:col>3</xdr:col>
      <xdr:colOff>177155</xdr:colOff>
      <xdr:row>139</xdr:row>
      <xdr:rowOff>106914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6DDF0EB4-B7CD-4870-9AC2-9850F067DDD9}"/>
            </a:ext>
          </a:extLst>
        </xdr:cNvPr>
        <xdr:cNvSpPr/>
      </xdr:nvSpPr>
      <xdr:spPr>
        <a:xfrm>
          <a:off x="302986" y="24088099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128</xdr:row>
      <xdr:rowOff>123070</xdr:rowOff>
    </xdr:from>
    <xdr:to>
      <xdr:col>6</xdr:col>
      <xdr:colOff>58316</xdr:colOff>
      <xdr:row>134</xdr:row>
      <xdr:rowOff>28702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3A707F8B-7043-4DB5-A481-20ADFCD43D46}"/>
            </a:ext>
          </a:extLst>
        </xdr:cNvPr>
        <xdr:cNvSpPr/>
      </xdr:nvSpPr>
      <xdr:spPr>
        <a:xfrm>
          <a:off x="5124515" y="24078445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124</xdr:row>
      <xdr:rowOff>159641</xdr:rowOff>
    </xdr:from>
    <xdr:to>
      <xdr:col>4</xdr:col>
      <xdr:colOff>903147</xdr:colOff>
      <xdr:row>126</xdr:row>
      <xdr:rowOff>99299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E1828C9-75DC-4105-A094-8E4248B043BB}"/>
            </a:ext>
          </a:extLst>
        </xdr:cNvPr>
        <xdr:cNvSpPr/>
      </xdr:nvSpPr>
      <xdr:spPr>
        <a:xfrm>
          <a:off x="3270261" y="23238716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122</xdr:row>
      <xdr:rowOff>13272</xdr:rowOff>
    </xdr:from>
    <xdr:to>
      <xdr:col>5</xdr:col>
      <xdr:colOff>1456069</xdr:colOff>
      <xdr:row>127</xdr:row>
      <xdr:rowOff>217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7DDF06F-E1EE-4236-9816-E2CBD23F9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22711347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123</xdr:row>
      <xdr:rowOff>73623</xdr:rowOff>
    </xdr:from>
    <xdr:to>
      <xdr:col>4</xdr:col>
      <xdr:colOff>1639151</xdr:colOff>
      <xdr:row>124</xdr:row>
      <xdr:rowOff>107456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4C2E0EA-94AF-4968-917B-0938B8A5A478}"/>
            </a:ext>
          </a:extLst>
        </xdr:cNvPr>
        <xdr:cNvSpPr txBox="1"/>
      </xdr:nvSpPr>
      <xdr:spPr>
        <a:xfrm>
          <a:off x="2618075" y="22962198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121</xdr:row>
      <xdr:rowOff>84234</xdr:rowOff>
    </xdr:from>
    <xdr:to>
      <xdr:col>4</xdr:col>
      <xdr:colOff>607428</xdr:colOff>
      <xdr:row>123</xdr:row>
      <xdr:rowOff>41009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D977276-7514-494A-AC4F-DC158883EC0C}"/>
            </a:ext>
          </a:extLst>
        </xdr:cNvPr>
        <xdr:cNvSpPr txBox="1"/>
      </xdr:nvSpPr>
      <xdr:spPr>
        <a:xfrm>
          <a:off x="3498656" y="22591809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122</xdr:row>
      <xdr:rowOff>20221</xdr:rowOff>
    </xdr:from>
    <xdr:to>
      <xdr:col>2</xdr:col>
      <xdr:colOff>463860</xdr:colOff>
      <xdr:row>126</xdr:row>
      <xdr:rowOff>149030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FB27541-1C83-4145-B961-BA306132B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22718296"/>
          <a:ext cx="1257579" cy="890809"/>
        </a:xfrm>
        <a:prstGeom prst="rect">
          <a:avLst/>
        </a:prstGeom>
      </xdr:spPr>
    </xdr:pic>
    <xdr:clientData/>
  </xdr:twoCellAnchor>
  <xdr:twoCellAnchor>
    <xdr:from>
      <xdr:col>1</xdr:col>
      <xdr:colOff>226786</xdr:colOff>
      <xdr:row>248</xdr:row>
      <xdr:rowOff>132724</xdr:rowOff>
    </xdr:from>
    <xdr:to>
      <xdr:col>3</xdr:col>
      <xdr:colOff>177155</xdr:colOff>
      <xdr:row>259</xdr:row>
      <xdr:rowOff>106914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2624687A-4D29-432C-9F50-806247FED777}"/>
            </a:ext>
          </a:extLst>
        </xdr:cNvPr>
        <xdr:cNvSpPr/>
      </xdr:nvSpPr>
      <xdr:spPr>
        <a:xfrm>
          <a:off x="302986" y="46519474"/>
          <a:ext cx="4627144" cy="1583915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4</xdr:col>
      <xdr:colOff>104840</xdr:colOff>
      <xdr:row>248</xdr:row>
      <xdr:rowOff>123070</xdr:rowOff>
    </xdr:from>
    <xdr:to>
      <xdr:col>6</xdr:col>
      <xdr:colOff>58316</xdr:colOff>
      <xdr:row>254</xdr:row>
      <xdr:rowOff>28702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F1A126C1-7588-4577-A7EE-B9CD867F93FE}"/>
            </a:ext>
          </a:extLst>
        </xdr:cNvPr>
        <xdr:cNvSpPr/>
      </xdr:nvSpPr>
      <xdr:spPr>
        <a:xfrm>
          <a:off x="5124515" y="46509820"/>
          <a:ext cx="3477726" cy="839082"/>
        </a:xfrm>
        <a:prstGeom prst="roundRect">
          <a:avLst>
            <a:gd name="adj" fmla="val 64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G" sz="1100"/>
        </a:p>
      </xdr:txBody>
    </xdr:sp>
    <xdr:clientData/>
  </xdr:twoCellAnchor>
  <xdr:twoCellAnchor>
    <xdr:from>
      <xdr:col>2</xdr:col>
      <xdr:colOff>1365261</xdr:colOff>
      <xdr:row>244</xdr:row>
      <xdr:rowOff>159641</xdr:rowOff>
    </xdr:from>
    <xdr:to>
      <xdr:col>4</xdr:col>
      <xdr:colOff>903147</xdr:colOff>
      <xdr:row>246</xdr:row>
      <xdr:rowOff>99299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793CFD4-07C3-4AFB-AB6A-DDBF8806BDC9}"/>
            </a:ext>
          </a:extLst>
        </xdr:cNvPr>
        <xdr:cNvSpPr/>
      </xdr:nvSpPr>
      <xdr:spPr>
        <a:xfrm>
          <a:off x="3270261" y="45670091"/>
          <a:ext cx="2652561" cy="320658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Goods and Services</a:t>
          </a:r>
        </a:p>
      </xdr:txBody>
    </xdr:sp>
    <xdr:clientData/>
  </xdr:twoCellAnchor>
  <xdr:twoCellAnchor>
    <xdr:from>
      <xdr:col>5</xdr:col>
      <xdr:colOff>522918</xdr:colOff>
      <xdr:row>242</xdr:row>
      <xdr:rowOff>13272</xdr:rowOff>
    </xdr:from>
    <xdr:to>
      <xdr:col>5</xdr:col>
      <xdr:colOff>1456069</xdr:colOff>
      <xdr:row>247</xdr:row>
      <xdr:rowOff>217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49D539A-081D-4D58-ADB3-F42AA861A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43" y="45142722"/>
          <a:ext cx="933151" cy="958495"/>
        </a:xfrm>
        <a:prstGeom prst="rect">
          <a:avLst/>
        </a:prstGeom>
      </xdr:spPr>
    </xdr:pic>
    <xdr:clientData/>
  </xdr:twoCellAnchor>
  <xdr:twoCellAnchor>
    <xdr:from>
      <xdr:col>2</xdr:col>
      <xdr:colOff>713075</xdr:colOff>
      <xdr:row>243</xdr:row>
      <xdr:rowOff>73623</xdr:rowOff>
    </xdr:from>
    <xdr:to>
      <xdr:col>4</xdr:col>
      <xdr:colOff>1639151</xdr:colOff>
      <xdr:row>244</xdr:row>
      <xdr:rowOff>107456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DD42948-9ECD-4749-A7B2-923396F36A5E}"/>
            </a:ext>
          </a:extLst>
        </xdr:cNvPr>
        <xdr:cNvSpPr txBox="1"/>
      </xdr:nvSpPr>
      <xdr:spPr>
        <a:xfrm>
          <a:off x="2618075" y="45393573"/>
          <a:ext cx="4040751" cy="224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Government Assistance to Church Health</a:t>
          </a:r>
          <a:r>
            <a:rPr lang="en-US" sz="1400" b="1" baseline="0"/>
            <a:t> Services</a:t>
          </a:r>
          <a:endParaRPr lang="en-PG" sz="1400" b="1"/>
        </a:p>
      </xdr:txBody>
    </xdr:sp>
    <xdr:clientData/>
  </xdr:twoCellAnchor>
  <xdr:twoCellAnchor>
    <xdr:from>
      <xdr:col>2</xdr:col>
      <xdr:colOff>1593656</xdr:colOff>
      <xdr:row>241</xdr:row>
      <xdr:rowOff>84234</xdr:rowOff>
    </xdr:from>
    <xdr:to>
      <xdr:col>4</xdr:col>
      <xdr:colOff>607428</xdr:colOff>
      <xdr:row>243</xdr:row>
      <xdr:rowOff>41009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BB30E0A-4452-4C06-8C2B-0304EF71AD2F}"/>
            </a:ext>
          </a:extLst>
        </xdr:cNvPr>
        <xdr:cNvSpPr txBox="1"/>
      </xdr:nvSpPr>
      <xdr:spPr>
        <a:xfrm>
          <a:off x="3498656" y="45023184"/>
          <a:ext cx="2128447" cy="33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DEPARTMENT</a:t>
          </a:r>
          <a:r>
            <a:rPr lang="en-US" sz="1400" b="1" baseline="0"/>
            <a:t> OF HEALTH</a:t>
          </a:r>
          <a:endParaRPr lang="en-PG" sz="1400" b="1"/>
        </a:p>
      </xdr:txBody>
    </xdr:sp>
    <xdr:clientData/>
  </xdr:twoCellAnchor>
  <xdr:twoCellAnchor>
    <xdr:from>
      <xdr:col>1</xdr:col>
      <xdr:colOff>1035081</xdr:colOff>
      <xdr:row>242</xdr:row>
      <xdr:rowOff>20221</xdr:rowOff>
    </xdr:from>
    <xdr:to>
      <xdr:col>2</xdr:col>
      <xdr:colOff>463860</xdr:colOff>
      <xdr:row>246</xdr:row>
      <xdr:rowOff>149030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03328FB-8EAA-49CA-A3C4-221E8237D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81" y="45149671"/>
          <a:ext cx="1257579" cy="890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ealthsecretary@ecpnghslfha.org" TargetMode="External"/><Relationship Id="rId2" Type="http://schemas.openxmlformats.org/officeDocument/2006/relationships/hyperlink" Target="mailto:healthsecretary@ecpnghslfha.org" TargetMode="External"/><Relationship Id="rId1" Type="http://schemas.openxmlformats.org/officeDocument/2006/relationships/hyperlink" Target="mailto:healthsecretary@ecpnghslfha.org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healthsecretary@ecpnghslfha.org" TargetMode="External"/><Relationship Id="rId2" Type="http://schemas.openxmlformats.org/officeDocument/2006/relationships/hyperlink" Target="mailto:healthsecretary@ecpnghslfha.org" TargetMode="External"/><Relationship Id="rId1" Type="http://schemas.openxmlformats.org/officeDocument/2006/relationships/hyperlink" Target="mailto:healthsecretary@ecpnghslfha.org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healthsecretary@ecpnghslfha.org" TargetMode="External"/><Relationship Id="rId2" Type="http://schemas.openxmlformats.org/officeDocument/2006/relationships/hyperlink" Target="mailto:healthsecretary@ecpnghslfha.org" TargetMode="External"/><Relationship Id="rId1" Type="http://schemas.openxmlformats.org/officeDocument/2006/relationships/hyperlink" Target="mailto:healthsecretary@ecpnghslfha.org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healthsecretary@ecpnghslfha.org" TargetMode="External"/><Relationship Id="rId2" Type="http://schemas.openxmlformats.org/officeDocument/2006/relationships/hyperlink" Target="mailto:healthsecretary@ecpnghslfha.org" TargetMode="External"/><Relationship Id="rId1" Type="http://schemas.openxmlformats.org/officeDocument/2006/relationships/hyperlink" Target="mailto:healthsecretary@ecpnghslfha.org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healthsecretary@ecpnghslfha.org" TargetMode="External"/><Relationship Id="rId2" Type="http://schemas.openxmlformats.org/officeDocument/2006/relationships/hyperlink" Target="mailto:healthsecretary@ecpnghslfha.org" TargetMode="External"/><Relationship Id="rId1" Type="http://schemas.openxmlformats.org/officeDocument/2006/relationships/hyperlink" Target="mailto:healthsecretary@ecpnghslfha.org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healthsecretary@ecpnghslfha.org" TargetMode="External"/><Relationship Id="rId2" Type="http://schemas.openxmlformats.org/officeDocument/2006/relationships/hyperlink" Target="mailto:healthsecretary@ecpnghslfha.org" TargetMode="External"/><Relationship Id="rId1" Type="http://schemas.openxmlformats.org/officeDocument/2006/relationships/hyperlink" Target="mailto:healthsecretary@ecpnghslfha.org" TargetMode="External"/><Relationship Id="rId5" Type="http://schemas.openxmlformats.org/officeDocument/2006/relationships/drawing" Target="../drawings/drawing6.xml"/><Relationship Id="rId4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healthsecretary@ecpnghslfha.org" TargetMode="External"/><Relationship Id="rId2" Type="http://schemas.openxmlformats.org/officeDocument/2006/relationships/hyperlink" Target="mailto:healthsecretary@ecpnghslfha.org" TargetMode="External"/><Relationship Id="rId1" Type="http://schemas.openxmlformats.org/officeDocument/2006/relationships/hyperlink" Target="mailto:healthsecretary@ecpnghslfha.org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healthsecretary@ecpnghslfha.org" TargetMode="External"/><Relationship Id="rId2" Type="http://schemas.openxmlformats.org/officeDocument/2006/relationships/hyperlink" Target="mailto:healthsecretary@ecpnghslfha.org" TargetMode="External"/><Relationship Id="rId1" Type="http://schemas.openxmlformats.org/officeDocument/2006/relationships/hyperlink" Target="mailto:healthsecretary@ecpnghslfha.org" TargetMode="External"/><Relationship Id="rId4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healthsecretary@ecpnghslfha.org" TargetMode="External"/><Relationship Id="rId2" Type="http://schemas.openxmlformats.org/officeDocument/2006/relationships/hyperlink" Target="mailto:healthsecretary@ecpnghslfha.org" TargetMode="External"/><Relationship Id="rId1" Type="http://schemas.openxmlformats.org/officeDocument/2006/relationships/hyperlink" Target="mailto:healthsecretary@ecpnghslfha.org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healthsecretary@ecpnghslfha.org" TargetMode="External"/><Relationship Id="rId2" Type="http://schemas.openxmlformats.org/officeDocument/2006/relationships/hyperlink" Target="mailto:healthsecretary@ecpnghslfha.org" TargetMode="External"/><Relationship Id="rId1" Type="http://schemas.openxmlformats.org/officeDocument/2006/relationships/hyperlink" Target="mailto:healthsecretary@ecpnghslfha.org" TargetMode="External"/><Relationship Id="rId4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healthsecretary@ecpnghslfha.org" TargetMode="External"/><Relationship Id="rId2" Type="http://schemas.openxmlformats.org/officeDocument/2006/relationships/hyperlink" Target="mailto:healthsecretary@ecpnghslfha.org" TargetMode="External"/><Relationship Id="rId1" Type="http://schemas.openxmlformats.org/officeDocument/2006/relationships/hyperlink" Target="mailto:healthsecretary@ecpnghslfha.org" TargetMode="External"/><Relationship Id="rId5" Type="http://schemas.openxmlformats.org/officeDocument/2006/relationships/drawing" Target="../drawings/drawing11.xml"/><Relationship Id="rId4" Type="http://schemas.openxmlformats.org/officeDocument/2006/relationships/hyperlink" Target="mailto:healthsecretary@ecpnghslfha.org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healthsecretary@ecpnghslfha.org" TargetMode="External"/><Relationship Id="rId2" Type="http://schemas.openxmlformats.org/officeDocument/2006/relationships/hyperlink" Target="mailto:healthsecretary@ecpnghslfha.org" TargetMode="External"/><Relationship Id="rId1" Type="http://schemas.openxmlformats.org/officeDocument/2006/relationships/hyperlink" Target="mailto:healthsecretary@ecpnghslfha.org" TargetMode="External"/><Relationship Id="rId4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healthsecretary@ecpnghslfha.org" TargetMode="External"/><Relationship Id="rId2" Type="http://schemas.openxmlformats.org/officeDocument/2006/relationships/hyperlink" Target="mailto:healthsecretary@ecpnghslfha.org" TargetMode="External"/><Relationship Id="rId1" Type="http://schemas.openxmlformats.org/officeDocument/2006/relationships/hyperlink" Target="mailto:healthsecretary@ecpnghslfha.org" TargetMode="External"/><Relationship Id="rId4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healthsecretary@ecpnghslfha.org" TargetMode="External"/><Relationship Id="rId2" Type="http://schemas.openxmlformats.org/officeDocument/2006/relationships/hyperlink" Target="mailto:healthsecretary@ecpnghslfha.org" TargetMode="External"/><Relationship Id="rId1" Type="http://schemas.openxmlformats.org/officeDocument/2006/relationships/hyperlink" Target="mailto:healthsecretary@ecpnghslfha.org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healthsecretary@ecpnghslfha.org" TargetMode="External"/><Relationship Id="rId2" Type="http://schemas.openxmlformats.org/officeDocument/2006/relationships/hyperlink" Target="mailto:healthsecretary@ecpnghslfha.org" TargetMode="External"/><Relationship Id="rId1" Type="http://schemas.openxmlformats.org/officeDocument/2006/relationships/hyperlink" Target="mailto:healthsecretary@ecpnghslfha.org" TargetMode="External"/><Relationship Id="rId4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mailto:healthsecretary@ecpnghslfha.org" TargetMode="External"/><Relationship Id="rId2" Type="http://schemas.openxmlformats.org/officeDocument/2006/relationships/hyperlink" Target="mailto:healthsecretary@ecpnghslfha.org" TargetMode="External"/><Relationship Id="rId1" Type="http://schemas.openxmlformats.org/officeDocument/2006/relationships/hyperlink" Target="mailto:healthsecretary@ecpnghslfha.org" TargetMode="External"/><Relationship Id="rId4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healthsecretary@ecpnghslfha.org" TargetMode="External"/><Relationship Id="rId2" Type="http://schemas.openxmlformats.org/officeDocument/2006/relationships/hyperlink" Target="mailto:healthsecretary@ecpnghslfha.org" TargetMode="External"/><Relationship Id="rId1" Type="http://schemas.openxmlformats.org/officeDocument/2006/relationships/hyperlink" Target="mailto:healthsecretary@ecpnghslfha.org" TargetMode="External"/><Relationship Id="rId4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mailto:healthsecretary@ecpnghslfha.org" TargetMode="External"/><Relationship Id="rId2" Type="http://schemas.openxmlformats.org/officeDocument/2006/relationships/hyperlink" Target="mailto:healthsecretary@ecpnghslfha.org" TargetMode="External"/><Relationship Id="rId1" Type="http://schemas.openxmlformats.org/officeDocument/2006/relationships/hyperlink" Target="mailto:healthsecretary@ecpnghslfha.org" TargetMode="External"/><Relationship Id="rId4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mailto:healthsecretary@ecpnghslfha.org" TargetMode="External"/><Relationship Id="rId2" Type="http://schemas.openxmlformats.org/officeDocument/2006/relationships/hyperlink" Target="mailto:healthsecretary@ecpnghslfha.org" TargetMode="External"/><Relationship Id="rId1" Type="http://schemas.openxmlformats.org/officeDocument/2006/relationships/hyperlink" Target="mailto:healthsecretary@ecpnghslfha.org" TargetMode="External"/><Relationship Id="rId4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mailto:healthsecretary@ecpnghslfha.org" TargetMode="External"/><Relationship Id="rId2" Type="http://schemas.openxmlformats.org/officeDocument/2006/relationships/hyperlink" Target="mailto:healthsecretary@ecpnghslfha.org" TargetMode="External"/><Relationship Id="rId1" Type="http://schemas.openxmlformats.org/officeDocument/2006/relationships/hyperlink" Target="mailto:healthsecretary@ecpnghslfha.org" TargetMode="External"/><Relationship Id="rId4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mailto:healthsecretary@ecpnghslfha.org" TargetMode="External"/><Relationship Id="rId2" Type="http://schemas.openxmlformats.org/officeDocument/2006/relationships/hyperlink" Target="mailto:healthsecretary@ecpnghslfha.org" TargetMode="External"/><Relationship Id="rId1" Type="http://schemas.openxmlformats.org/officeDocument/2006/relationships/hyperlink" Target="mailto:healthsecretary@ecpnghslfha.org" TargetMode="External"/><Relationship Id="rId4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2B7D6-D522-4846-97D3-813403244704}">
  <dimension ref="A1:G360"/>
  <sheetViews>
    <sheetView showGridLines="0" tabSelected="1" zoomScale="90" zoomScaleNormal="90" workbookViewId="0">
      <selection sqref="A1:XFD1048576"/>
    </sheetView>
  </sheetViews>
  <sheetFormatPr defaultColWidth="8.85546875" defaultRowHeight="15"/>
  <cols>
    <col min="1" max="1" width="1.140625" customWidth="1"/>
    <col min="2" max="2" width="27.42578125" customWidth="1"/>
    <col min="3" max="3" width="42.7109375" bestFit="1" customWidth="1"/>
    <col min="4" max="4" width="4" customWidth="1"/>
    <col min="5" max="5" width="25.42578125" customWidth="1"/>
    <col min="6" max="6" width="27.42578125" customWidth="1"/>
    <col min="7" max="7" width="4.7109375" customWidth="1"/>
  </cols>
  <sheetData>
    <row r="1" spans="1:7" ht="6" customHeight="1" thickBot="1"/>
    <row r="2" spans="1:7">
      <c r="B2" s="1"/>
      <c r="C2" s="2"/>
      <c r="D2" s="2"/>
      <c r="E2" s="2"/>
      <c r="F2" s="2"/>
      <c r="G2" s="3"/>
    </row>
    <row r="3" spans="1:7">
      <c r="B3" s="4"/>
      <c r="C3" s="5"/>
      <c r="D3" s="5"/>
      <c r="E3" s="5"/>
      <c r="F3" s="5"/>
      <c r="G3" s="6"/>
    </row>
    <row r="4" spans="1:7">
      <c r="B4" s="4"/>
      <c r="C4" s="5"/>
      <c r="D4" s="5"/>
      <c r="E4" s="5"/>
      <c r="F4" s="5"/>
      <c r="G4" s="6"/>
    </row>
    <row r="5" spans="1:7">
      <c r="B5" s="4"/>
      <c r="C5" s="5"/>
      <c r="D5" s="5"/>
      <c r="E5" s="5"/>
      <c r="F5" s="5"/>
      <c r="G5" s="6"/>
    </row>
    <row r="6" spans="1:7">
      <c r="B6" s="4"/>
      <c r="C6" s="5"/>
      <c r="D6" s="5"/>
      <c r="E6" s="5"/>
      <c r="F6" s="5"/>
      <c r="G6" s="6"/>
    </row>
    <row r="7" spans="1:7" ht="16.5" customHeight="1">
      <c r="B7" s="4"/>
      <c r="C7" s="5"/>
      <c r="D7" s="5"/>
      <c r="E7" s="5"/>
      <c r="F7" s="5"/>
      <c r="G7" s="6"/>
    </row>
    <row r="8" spans="1:7" ht="22.5" customHeight="1" thickBot="1">
      <c r="B8" s="4"/>
      <c r="C8" s="95" t="s">
        <v>0</v>
      </c>
      <c r="D8" s="95"/>
      <c r="E8" s="95"/>
      <c r="F8" s="5"/>
      <c r="G8" s="6"/>
    </row>
    <row r="9" spans="1:7" ht="21" thickTop="1">
      <c r="B9" s="4"/>
      <c r="C9" s="7"/>
      <c r="D9" s="7"/>
      <c r="E9" s="5"/>
      <c r="F9" s="5"/>
      <c r="G9" s="6"/>
    </row>
    <row r="10" spans="1:7">
      <c r="B10" s="8" t="s">
        <v>1</v>
      </c>
      <c r="C10" s="9" t="s">
        <v>97</v>
      </c>
      <c r="D10" s="5"/>
      <c r="E10" s="10" t="s">
        <v>2</v>
      </c>
      <c r="F10" s="9" t="s">
        <v>98</v>
      </c>
      <c r="G10" s="6"/>
    </row>
    <row r="11" spans="1:7" ht="3.75" customHeight="1">
      <c r="A11" s="80"/>
      <c r="B11" s="5"/>
      <c r="C11" s="5"/>
      <c r="D11" s="5"/>
      <c r="E11" s="11"/>
      <c r="F11" s="5"/>
      <c r="G11" s="6"/>
    </row>
    <row r="12" spans="1:7">
      <c r="A12" s="80"/>
      <c r="B12" s="12" t="s">
        <v>3</v>
      </c>
      <c r="C12" s="9" t="s">
        <v>99</v>
      </c>
      <c r="D12" s="5"/>
      <c r="E12" s="10" t="s">
        <v>4</v>
      </c>
      <c r="F12" s="82" t="s">
        <v>100</v>
      </c>
      <c r="G12" s="6"/>
    </row>
    <row r="13" spans="1:7" ht="3.75" customHeight="1">
      <c r="A13" s="80"/>
      <c r="B13" s="5"/>
      <c r="C13" s="5"/>
      <c r="D13" s="5"/>
      <c r="E13" s="11"/>
      <c r="F13" s="5"/>
      <c r="G13" s="6"/>
    </row>
    <row r="14" spans="1:7">
      <c r="A14" s="80"/>
      <c r="B14" s="10" t="s">
        <v>5</v>
      </c>
      <c r="C14" s="9" t="s">
        <v>101</v>
      </c>
      <c r="D14" s="5"/>
      <c r="E14" s="10" t="s">
        <v>6</v>
      </c>
      <c r="F14" s="9" t="s">
        <v>107</v>
      </c>
      <c r="G14" s="6"/>
    </row>
    <row r="15" spans="1:7" ht="4.5" customHeight="1">
      <c r="A15" s="80"/>
      <c r="B15" s="13"/>
      <c r="C15" s="5"/>
      <c r="D15" s="5"/>
      <c r="E15" s="11"/>
      <c r="F15" s="5"/>
      <c r="G15" s="6"/>
    </row>
    <row r="16" spans="1:7">
      <c r="A16" s="80"/>
      <c r="B16" s="10" t="s">
        <v>7</v>
      </c>
      <c r="C16" s="9" t="s">
        <v>102</v>
      </c>
      <c r="D16" s="5"/>
      <c r="E16" s="11"/>
      <c r="F16" s="5"/>
      <c r="G16" s="6"/>
    </row>
    <row r="17" spans="1:7" ht="3.75" customHeight="1">
      <c r="A17" s="80"/>
      <c r="B17" s="5"/>
      <c r="C17" s="5"/>
      <c r="D17" s="5"/>
      <c r="E17" s="11"/>
      <c r="F17" s="5"/>
      <c r="G17" s="6"/>
    </row>
    <row r="18" spans="1:7">
      <c r="B18" s="14" t="s">
        <v>8</v>
      </c>
      <c r="C18" s="15" t="str">
        <f>UPPER(TEXT(F18,"mmmm"))</f>
        <v>JANUARY</v>
      </c>
      <c r="D18" s="5"/>
      <c r="E18" s="86" t="s">
        <v>109</v>
      </c>
      <c r="F18" s="87">
        <v>45292</v>
      </c>
      <c r="G18" s="6"/>
    </row>
    <row r="19" spans="1:7">
      <c r="B19" s="16" t="s">
        <v>9</v>
      </c>
      <c r="C19" s="17" t="str">
        <f>TEXT(F18,"yyyy")</f>
        <v>2024</v>
      </c>
      <c r="D19" s="5"/>
      <c r="E19" s="88" t="s">
        <v>110</v>
      </c>
      <c r="F19" s="89">
        <v>45322</v>
      </c>
      <c r="G19" s="18"/>
    </row>
    <row r="20" spans="1:7" ht="15.75" thickBot="1">
      <c r="B20" s="4"/>
      <c r="C20" s="19"/>
      <c r="D20" s="19"/>
      <c r="E20" s="20"/>
      <c r="F20" s="21"/>
      <c r="G20" s="18"/>
    </row>
    <row r="21" spans="1:7" ht="18.75" thickBot="1">
      <c r="B21" s="4"/>
      <c r="C21" s="22" t="s">
        <v>10</v>
      </c>
      <c r="D21" s="23"/>
      <c r="E21" s="24"/>
      <c r="F21" s="25" t="s">
        <v>11</v>
      </c>
      <c r="G21" s="18"/>
    </row>
    <row r="22" spans="1:7">
      <c r="B22" s="4"/>
      <c r="C22" s="26" t="s">
        <v>12</v>
      </c>
      <c r="D22" s="26"/>
      <c r="E22" s="27">
        <v>327237.47981818242</v>
      </c>
      <c r="F22" s="28">
        <f>SUM(E22:E22)</f>
        <v>327237.47981818242</v>
      </c>
      <c r="G22" s="29"/>
    </row>
    <row r="23" spans="1:7">
      <c r="B23" s="30">
        <v>143</v>
      </c>
      <c r="C23" s="31" t="s">
        <v>13</v>
      </c>
      <c r="D23" s="31"/>
      <c r="E23" s="27">
        <v>139902.20000000001</v>
      </c>
      <c r="F23" s="32">
        <f t="shared" ref="F23:F28" si="0">SUM(E23:E23)</f>
        <v>139902.20000000001</v>
      </c>
      <c r="G23" s="33"/>
    </row>
    <row r="24" spans="1:7">
      <c r="B24" s="30"/>
      <c r="C24" s="34" t="s">
        <v>14</v>
      </c>
      <c r="D24" s="34"/>
      <c r="E24" s="27">
        <v>0</v>
      </c>
      <c r="F24" s="32">
        <f t="shared" si="0"/>
        <v>0</v>
      </c>
      <c r="G24" s="33"/>
    </row>
    <row r="25" spans="1:7">
      <c r="B25" s="30"/>
      <c r="C25" s="34" t="s">
        <v>15</v>
      </c>
      <c r="D25" s="34"/>
      <c r="E25" s="27">
        <v>0</v>
      </c>
      <c r="F25" s="32">
        <f t="shared" si="0"/>
        <v>0</v>
      </c>
      <c r="G25" s="33"/>
    </row>
    <row r="26" spans="1:7">
      <c r="B26" s="30"/>
      <c r="C26" s="34" t="s">
        <v>16</v>
      </c>
      <c r="D26" s="34"/>
      <c r="E26" s="27">
        <v>0</v>
      </c>
      <c r="F26" s="32">
        <f t="shared" si="0"/>
        <v>0</v>
      </c>
      <c r="G26" s="33"/>
    </row>
    <row r="27" spans="1:7">
      <c r="B27" s="30"/>
      <c r="C27" s="34" t="s">
        <v>17</v>
      </c>
      <c r="D27" s="34"/>
      <c r="E27" s="27">
        <v>0</v>
      </c>
      <c r="F27" s="32">
        <f t="shared" si="0"/>
        <v>0</v>
      </c>
      <c r="G27" s="33"/>
    </row>
    <row r="28" spans="1:7">
      <c r="B28" s="30"/>
      <c r="C28" s="35" t="s">
        <v>18</v>
      </c>
      <c r="D28" s="35"/>
      <c r="E28" s="36">
        <f>SUM(E22:E27)</f>
        <v>467139.67981818243</v>
      </c>
      <c r="F28" s="37">
        <f t="shared" si="0"/>
        <v>467139.67981818243</v>
      </c>
      <c r="G28" s="38"/>
    </row>
    <row r="29" spans="1:7" ht="15.75" thickBot="1">
      <c r="B29" s="30"/>
      <c r="C29" s="39"/>
      <c r="D29" s="39"/>
      <c r="E29" s="40"/>
      <c r="F29" s="41"/>
      <c r="G29" s="38"/>
    </row>
    <row r="30" spans="1:7" ht="18.75" thickBot="1">
      <c r="B30" s="30"/>
      <c r="C30" s="22" t="s">
        <v>19</v>
      </c>
      <c r="D30" s="23"/>
      <c r="E30" s="42"/>
      <c r="F30" s="43"/>
      <c r="G30" s="38"/>
    </row>
    <row r="31" spans="1:7">
      <c r="B31" s="44">
        <v>121</v>
      </c>
      <c r="C31" s="39" t="s">
        <v>20</v>
      </c>
      <c r="D31" s="39"/>
      <c r="E31" s="45"/>
      <c r="F31" s="46"/>
      <c r="G31" s="47"/>
    </row>
    <row r="32" spans="1:7">
      <c r="B32" s="44"/>
      <c r="C32" s="48" t="s">
        <v>21</v>
      </c>
      <c r="D32" s="48"/>
      <c r="E32" s="49">
        <v>9068.0099999999984</v>
      </c>
      <c r="F32" s="50">
        <f>SUM(E32:E32)</f>
        <v>9068.0099999999984</v>
      </c>
      <c r="G32" s="47"/>
    </row>
    <row r="33" spans="2:7">
      <c r="B33" s="44"/>
      <c r="C33" s="48" t="s">
        <v>22</v>
      </c>
      <c r="D33" s="48"/>
      <c r="E33" s="49">
        <v>9327.0959999999886</v>
      </c>
      <c r="F33" s="50">
        <f>SUM(E33:E33)</f>
        <v>9327.0959999999886</v>
      </c>
      <c r="G33" s="47"/>
    </row>
    <row r="34" spans="2:7">
      <c r="B34" s="51"/>
      <c r="C34" s="48" t="s">
        <v>23</v>
      </c>
      <c r="D34" s="48"/>
      <c r="E34" s="49">
        <v>11140.698</v>
      </c>
      <c r="F34" s="50">
        <f>SUM(E34:E34)</f>
        <v>11140.698</v>
      </c>
      <c r="G34" s="52"/>
    </row>
    <row r="35" spans="2:7">
      <c r="B35" s="51"/>
      <c r="C35" s="48" t="s">
        <v>24</v>
      </c>
      <c r="D35" s="48"/>
      <c r="E35" s="49">
        <v>7631.2603636363547</v>
      </c>
      <c r="F35" s="50">
        <f>SUM(E35:E35)</f>
        <v>7631.2603636363547</v>
      </c>
      <c r="G35" s="52"/>
    </row>
    <row r="36" spans="2:7">
      <c r="B36" s="44"/>
      <c r="C36" s="48" t="s">
        <v>25</v>
      </c>
      <c r="D36" s="48"/>
      <c r="E36" s="49">
        <v>0</v>
      </c>
      <c r="F36" s="50">
        <f>SUM(E36:E36)</f>
        <v>0</v>
      </c>
      <c r="G36" s="52"/>
    </row>
    <row r="37" spans="2:7">
      <c r="B37" s="44"/>
      <c r="C37" s="53" t="s">
        <v>26</v>
      </c>
      <c r="D37" s="53"/>
      <c r="E37" s="36">
        <f>SUM(E32:E36)</f>
        <v>37167.064363636338</v>
      </c>
      <c r="F37" s="54">
        <f>SUM(F32:F36)</f>
        <v>37167.064363636338</v>
      </c>
      <c r="G37" s="52"/>
    </row>
    <row r="38" spans="2:7">
      <c r="B38" s="44">
        <v>122</v>
      </c>
      <c r="C38" s="39" t="s">
        <v>27</v>
      </c>
      <c r="D38" s="39"/>
      <c r="E38" s="36"/>
      <c r="F38" s="50"/>
      <c r="G38" s="55"/>
    </row>
    <row r="39" spans="2:7">
      <c r="B39" s="44"/>
      <c r="C39" s="48" t="s">
        <v>28</v>
      </c>
      <c r="D39" s="48"/>
      <c r="E39" s="49">
        <v>4404.4620000000004</v>
      </c>
      <c r="F39" s="50">
        <f t="shared" ref="F39:F47" si="1">SUM(E39:E39)</f>
        <v>4404.4620000000004</v>
      </c>
      <c r="G39" s="52"/>
    </row>
    <row r="40" spans="2:7">
      <c r="B40" s="44"/>
      <c r="C40" s="48" t="s">
        <v>29</v>
      </c>
      <c r="D40" s="48"/>
      <c r="E40" s="49">
        <v>0</v>
      </c>
      <c r="F40" s="50">
        <f t="shared" si="1"/>
        <v>0</v>
      </c>
      <c r="G40" s="52"/>
    </row>
    <row r="41" spans="2:7">
      <c r="B41" s="44"/>
      <c r="C41" s="48" t="s">
        <v>30</v>
      </c>
      <c r="D41" s="48"/>
      <c r="E41" s="49">
        <v>5841.2116363636342</v>
      </c>
      <c r="F41" s="50">
        <f t="shared" si="1"/>
        <v>5841.2116363636342</v>
      </c>
      <c r="G41" s="52"/>
    </row>
    <row r="42" spans="2:7">
      <c r="B42" s="44"/>
      <c r="C42" s="48" t="s">
        <v>31</v>
      </c>
      <c r="D42" s="48"/>
      <c r="E42" s="49">
        <v>1036.3440000000001</v>
      </c>
      <c r="F42" s="50">
        <f t="shared" si="1"/>
        <v>1036.3440000000001</v>
      </c>
      <c r="G42" s="52"/>
    </row>
    <row r="43" spans="2:7">
      <c r="B43" s="44"/>
      <c r="C43" s="48" t="s">
        <v>32</v>
      </c>
      <c r="D43" s="48"/>
      <c r="E43" s="49">
        <v>4145.3760000000002</v>
      </c>
      <c r="F43" s="50">
        <f t="shared" si="1"/>
        <v>4145.3760000000002</v>
      </c>
      <c r="G43" s="52"/>
    </row>
    <row r="44" spans="2:7">
      <c r="B44" s="44"/>
      <c r="C44" s="48" t="s">
        <v>33</v>
      </c>
      <c r="D44" s="48"/>
      <c r="E44" s="49">
        <v>0</v>
      </c>
      <c r="F44" s="50">
        <f t="shared" si="1"/>
        <v>0</v>
      </c>
      <c r="G44" s="52"/>
    </row>
    <row r="45" spans="2:7">
      <c r="B45" s="44"/>
      <c r="C45" s="48" t="s">
        <v>34</v>
      </c>
      <c r="D45" s="48"/>
      <c r="E45" s="49">
        <v>0</v>
      </c>
      <c r="F45" s="50">
        <f t="shared" si="1"/>
        <v>0</v>
      </c>
      <c r="G45" s="52"/>
    </row>
    <row r="46" spans="2:7">
      <c r="B46" s="44"/>
      <c r="C46" s="48" t="s">
        <v>35</v>
      </c>
      <c r="D46" s="48"/>
      <c r="E46" s="49">
        <v>0</v>
      </c>
      <c r="F46" s="50">
        <f t="shared" si="1"/>
        <v>0</v>
      </c>
      <c r="G46" s="52"/>
    </row>
    <row r="47" spans="2:7">
      <c r="B47" s="44"/>
      <c r="C47" s="53" t="s">
        <v>26</v>
      </c>
      <c r="D47" s="53"/>
      <c r="E47" s="36">
        <f>SUM(E39:E46)</f>
        <v>15427.393636363635</v>
      </c>
      <c r="F47" s="54">
        <f t="shared" si="1"/>
        <v>15427.393636363635</v>
      </c>
      <c r="G47" s="52"/>
    </row>
    <row r="48" spans="2:7">
      <c r="B48" s="44">
        <v>123</v>
      </c>
      <c r="C48" s="39" t="s">
        <v>36</v>
      </c>
      <c r="D48" s="39"/>
      <c r="E48" s="56"/>
      <c r="F48" s="57"/>
      <c r="G48" s="52"/>
    </row>
    <row r="49" spans="2:7">
      <c r="B49" s="44"/>
      <c r="C49" s="48" t="s">
        <v>37</v>
      </c>
      <c r="D49" s="48"/>
      <c r="E49" s="49">
        <v>3768.523636363635</v>
      </c>
      <c r="F49" s="50">
        <f t="shared" ref="F49:F55" si="2">SUM(E49:E49)</f>
        <v>3768.523636363635</v>
      </c>
      <c r="G49" s="52"/>
    </row>
    <row r="50" spans="2:7">
      <c r="B50" s="44"/>
      <c r="C50" s="48" t="s">
        <v>38</v>
      </c>
      <c r="D50" s="48"/>
      <c r="E50" s="49">
        <v>0</v>
      </c>
      <c r="F50" s="50">
        <f t="shared" si="2"/>
        <v>0</v>
      </c>
      <c r="G50" s="52"/>
    </row>
    <row r="51" spans="2:7">
      <c r="B51" s="44"/>
      <c r="C51" s="48" t="s">
        <v>39</v>
      </c>
      <c r="D51" s="48"/>
      <c r="E51" s="49">
        <v>4428.0152727272698</v>
      </c>
      <c r="F51" s="50">
        <f t="shared" si="2"/>
        <v>4428.0152727272698</v>
      </c>
      <c r="G51" s="52"/>
    </row>
    <row r="52" spans="2:7">
      <c r="B52" s="44"/>
      <c r="C52" s="48" t="s">
        <v>40</v>
      </c>
      <c r="D52" s="48"/>
      <c r="E52" s="49">
        <v>3391.6712727272693</v>
      </c>
      <c r="F52" s="50">
        <f t="shared" si="2"/>
        <v>3391.6712727272693</v>
      </c>
      <c r="G52" s="52"/>
    </row>
    <row r="53" spans="2:7">
      <c r="B53" s="44"/>
      <c r="C53" s="48" t="s">
        <v>41</v>
      </c>
      <c r="D53" s="48"/>
      <c r="E53" s="49">
        <v>0</v>
      </c>
      <c r="F53" s="50">
        <f t="shared" si="2"/>
        <v>0</v>
      </c>
      <c r="G53" s="52"/>
    </row>
    <row r="54" spans="2:7">
      <c r="B54" s="44"/>
      <c r="C54" s="48" t="s">
        <v>42</v>
      </c>
      <c r="D54" s="48"/>
      <c r="E54" s="49">
        <v>5958.9780000000001</v>
      </c>
      <c r="F54" s="50">
        <f t="shared" si="2"/>
        <v>5958.9780000000001</v>
      </c>
      <c r="G54" s="52"/>
    </row>
    <row r="55" spans="2:7">
      <c r="B55" s="44"/>
      <c r="C55" s="53" t="s">
        <v>26</v>
      </c>
      <c r="D55" s="53"/>
      <c r="E55" s="36">
        <f>SUM(E49:E54)</f>
        <v>17547.188181818176</v>
      </c>
      <c r="F55" s="54">
        <f t="shared" si="2"/>
        <v>17547.188181818176</v>
      </c>
      <c r="G55" s="52"/>
    </row>
    <row r="56" spans="2:7">
      <c r="B56" s="44">
        <v>124</v>
      </c>
      <c r="C56" s="39" t="s">
        <v>43</v>
      </c>
      <c r="D56" s="39"/>
      <c r="E56" s="56"/>
      <c r="F56" s="57"/>
      <c r="G56" s="52"/>
    </row>
    <row r="57" spans="2:7">
      <c r="B57" s="44"/>
      <c r="C57" s="48" t="s">
        <v>44</v>
      </c>
      <c r="D57" s="48"/>
      <c r="E57" s="49">
        <v>11211.357818181808</v>
      </c>
      <c r="F57" s="50">
        <f>SUM(E57:E57)</f>
        <v>11211.357818181808</v>
      </c>
      <c r="G57" s="52"/>
    </row>
    <row r="58" spans="2:7">
      <c r="B58" s="44"/>
      <c r="C58" s="48" t="s">
        <v>45</v>
      </c>
      <c r="D58" s="48"/>
      <c r="E58" s="49">
        <v>0</v>
      </c>
      <c r="F58" s="50">
        <f>SUM(E58:E58)</f>
        <v>0</v>
      </c>
      <c r="G58" s="52"/>
    </row>
    <row r="59" spans="2:7">
      <c r="B59" s="44"/>
      <c r="C59" s="48" t="s">
        <v>46</v>
      </c>
      <c r="D59" s="48"/>
      <c r="E59" s="49">
        <v>0</v>
      </c>
      <c r="F59" s="50">
        <f>SUM(E59:E59)</f>
        <v>0</v>
      </c>
      <c r="G59" s="52"/>
    </row>
    <row r="60" spans="2:7">
      <c r="B60" s="44"/>
      <c r="C60" s="53" t="s">
        <v>26</v>
      </c>
      <c r="D60" s="53"/>
      <c r="E60" s="36">
        <f>SUM(E57:E59)</f>
        <v>11211.357818181808</v>
      </c>
      <c r="F60" s="54">
        <f>SUM(E60:E60)</f>
        <v>11211.357818181808</v>
      </c>
      <c r="G60" s="52"/>
    </row>
    <row r="61" spans="2:7">
      <c r="B61" s="44">
        <v>125</v>
      </c>
      <c r="C61" s="39" t="s">
        <v>47</v>
      </c>
      <c r="D61" s="39"/>
      <c r="E61" s="36"/>
      <c r="F61" s="50"/>
      <c r="G61" s="52"/>
    </row>
    <row r="62" spans="2:7">
      <c r="B62" s="44"/>
      <c r="C62" s="48" t="s">
        <v>48</v>
      </c>
      <c r="D62" s="48"/>
      <c r="E62" s="58">
        <v>0</v>
      </c>
      <c r="F62" s="50">
        <f>SUM(E62:E62)</f>
        <v>0</v>
      </c>
      <c r="G62" s="52"/>
    </row>
    <row r="63" spans="2:7">
      <c r="B63" s="44"/>
      <c r="C63" s="48" t="s">
        <v>49</v>
      </c>
      <c r="D63" s="48"/>
      <c r="E63" s="58">
        <v>0</v>
      </c>
      <c r="F63" s="50">
        <f>SUM(E63:E63)</f>
        <v>0</v>
      </c>
      <c r="G63" s="52"/>
    </row>
    <row r="64" spans="2:7">
      <c r="B64" s="44"/>
      <c r="C64" s="48" t="s">
        <v>50</v>
      </c>
      <c r="D64" s="48"/>
      <c r="E64" s="58">
        <v>18136.02</v>
      </c>
      <c r="F64" s="50">
        <f>SUM(E64:E64)</f>
        <v>18136.02</v>
      </c>
      <c r="G64" s="52"/>
    </row>
    <row r="65" spans="2:7">
      <c r="B65" s="44"/>
      <c r="C65" s="48" t="s">
        <v>51</v>
      </c>
      <c r="D65" s="48"/>
      <c r="E65" s="58">
        <v>4145.3760000000002</v>
      </c>
      <c r="F65" s="50">
        <f>SUM(E65:E65)</f>
        <v>4145.3760000000002</v>
      </c>
      <c r="G65" s="52"/>
    </row>
    <row r="66" spans="2:7">
      <c r="B66" s="44"/>
      <c r="C66" s="53" t="s">
        <v>26</v>
      </c>
      <c r="D66" s="53"/>
      <c r="E66" s="56">
        <f>SUM(E62:E65)</f>
        <v>22281.396000000001</v>
      </c>
      <c r="F66" s="54">
        <f t="shared" ref="F66" si="3">SUM(F62:F65)</f>
        <v>22281.396000000001</v>
      </c>
      <c r="G66" s="52"/>
    </row>
    <row r="67" spans="2:7">
      <c r="B67" s="44">
        <v>126</v>
      </c>
      <c r="C67" s="39" t="s">
        <v>52</v>
      </c>
      <c r="D67" s="39"/>
      <c r="E67" s="56"/>
      <c r="F67" s="50"/>
      <c r="G67" s="52"/>
    </row>
    <row r="68" spans="2:7">
      <c r="B68" s="44"/>
      <c r="C68" s="48" t="s">
        <v>53</v>
      </c>
      <c r="D68" s="48"/>
      <c r="E68" s="49">
        <v>0</v>
      </c>
      <c r="F68" s="50">
        <f>SUM(E68:E68)</f>
        <v>0</v>
      </c>
      <c r="G68" s="52"/>
    </row>
    <row r="69" spans="2:7">
      <c r="B69" s="44"/>
      <c r="C69" s="48" t="s">
        <v>54</v>
      </c>
      <c r="D69" s="48"/>
      <c r="E69" s="49">
        <v>0</v>
      </c>
      <c r="F69" s="50"/>
      <c r="G69" s="52"/>
    </row>
    <row r="70" spans="2:7">
      <c r="B70" s="44"/>
      <c r="C70" s="48" t="s">
        <v>55</v>
      </c>
      <c r="D70" s="48"/>
      <c r="E70" s="49">
        <v>0</v>
      </c>
      <c r="F70" s="50"/>
      <c r="G70" s="52"/>
    </row>
    <row r="71" spans="2:7">
      <c r="B71" s="44"/>
      <c r="C71" s="48" t="s">
        <v>56</v>
      </c>
      <c r="D71" s="48"/>
      <c r="E71" s="49">
        <v>0</v>
      </c>
      <c r="F71" s="57"/>
      <c r="G71" s="52"/>
    </row>
    <row r="72" spans="2:7">
      <c r="B72" s="44"/>
      <c r="C72" s="53" t="s">
        <v>26</v>
      </c>
      <c r="D72" s="53"/>
      <c r="E72" s="56">
        <f>SUM(E68:E71)</f>
        <v>0</v>
      </c>
      <c r="F72" s="54">
        <f t="shared" ref="F72" si="4">SUM(F68:F71)</f>
        <v>0</v>
      </c>
      <c r="G72" s="52"/>
    </row>
    <row r="73" spans="2:7">
      <c r="B73" s="44">
        <v>127</v>
      </c>
      <c r="C73" s="39" t="s">
        <v>57</v>
      </c>
      <c r="D73" s="39"/>
      <c r="E73" s="56"/>
      <c r="F73" s="54"/>
      <c r="G73" s="52"/>
    </row>
    <row r="74" spans="2:7">
      <c r="B74" s="44"/>
      <c r="C74" s="48" t="s">
        <v>58</v>
      </c>
      <c r="D74" s="48"/>
      <c r="E74" s="49">
        <v>0</v>
      </c>
      <c r="F74" s="50">
        <f>SUM(E74:E74)</f>
        <v>0</v>
      </c>
      <c r="G74" s="52"/>
    </row>
    <row r="75" spans="2:7">
      <c r="B75" s="44"/>
      <c r="C75" s="48" t="s">
        <v>59</v>
      </c>
      <c r="D75" s="48"/>
      <c r="E75" s="49">
        <v>0</v>
      </c>
      <c r="F75" s="50">
        <f>SUM(E75:E75)</f>
        <v>0</v>
      </c>
      <c r="G75" s="52"/>
    </row>
    <row r="76" spans="2:7">
      <c r="B76" s="44"/>
      <c r="C76" s="48" t="s">
        <v>60</v>
      </c>
      <c r="D76" s="48"/>
      <c r="E76" s="49">
        <v>0</v>
      </c>
      <c r="F76" s="50">
        <f>SUM(E76:E76)</f>
        <v>0</v>
      </c>
      <c r="G76" s="52"/>
    </row>
    <row r="77" spans="2:7">
      <c r="B77" s="44"/>
      <c r="C77" s="59" t="s">
        <v>61</v>
      </c>
      <c r="D77" s="59"/>
      <c r="E77" s="49">
        <v>0</v>
      </c>
      <c r="F77" s="50">
        <f>SUM(E77:E77)</f>
        <v>0</v>
      </c>
      <c r="G77" s="52"/>
    </row>
    <row r="78" spans="2:7">
      <c r="B78" s="44"/>
      <c r="C78" s="53" t="s">
        <v>26</v>
      </c>
      <c r="D78" s="53"/>
      <c r="E78" s="56">
        <f>SUM(E74:E77)</f>
        <v>0</v>
      </c>
      <c r="F78" s="54">
        <f>SUM(E78:E78)</f>
        <v>0</v>
      </c>
      <c r="G78" s="52"/>
    </row>
    <row r="79" spans="2:7">
      <c r="B79" s="44">
        <v>128</v>
      </c>
      <c r="C79" s="39" t="s">
        <v>62</v>
      </c>
      <c r="D79" s="39"/>
      <c r="E79" s="56"/>
      <c r="F79" s="54"/>
      <c r="G79" s="52"/>
    </row>
    <row r="80" spans="2:7">
      <c r="B80" s="44"/>
      <c r="C80" s="48" t="s">
        <v>63</v>
      </c>
      <c r="D80" s="48"/>
      <c r="E80" s="49">
        <v>0</v>
      </c>
      <c r="F80" s="50">
        <f t="shared" ref="F80:F85" si="5">SUM(E80:E80)</f>
        <v>0</v>
      </c>
      <c r="G80" s="52"/>
    </row>
    <row r="81" spans="2:7">
      <c r="B81" s="44"/>
      <c r="C81" s="48" t="s">
        <v>64</v>
      </c>
      <c r="D81" s="48"/>
      <c r="E81" s="49">
        <v>0</v>
      </c>
      <c r="F81" s="50">
        <f t="shared" si="5"/>
        <v>0</v>
      </c>
      <c r="G81" s="52"/>
    </row>
    <row r="82" spans="2:7">
      <c r="B82" s="44"/>
      <c r="C82" s="48" t="s">
        <v>65</v>
      </c>
      <c r="D82" s="48"/>
      <c r="E82" s="49">
        <v>0</v>
      </c>
      <c r="F82" s="50">
        <f t="shared" si="5"/>
        <v>0</v>
      </c>
      <c r="G82" s="52"/>
    </row>
    <row r="83" spans="2:7">
      <c r="B83" s="44"/>
      <c r="C83" s="48" t="s">
        <v>66</v>
      </c>
      <c r="D83" s="48"/>
      <c r="E83" s="49">
        <v>0</v>
      </c>
      <c r="F83" s="50">
        <f t="shared" si="5"/>
        <v>0</v>
      </c>
      <c r="G83" s="52"/>
    </row>
    <row r="84" spans="2:7">
      <c r="B84" s="44"/>
      <c r="C84" s="48" t="s">
        <v>67</v>
      </c>
      <c r="D84" s="48"/>
      <c r="E84" s="49">
        <v>0</v>
      </c>
      <c r="F84" s="50">
        <f t="shared" si="5"/>
        <v>0</v>
      </c>
      <c r="G84" s="52"/>
    </row>
    <row r="85" spans="2:7">
      <c r="B85" s="44"/>
      <c r="C85" s="53" t="s">
        <v>26</v>
      </c>
      <c r="D85" s="53"/>
      <c r="E85" s="56">
        <f>SUM(E80:E84)</f>
        <v>0</v>
      </c>
      <c r="F85" s="54">
        <f t="shared" si="5"/>
        <v>0</v>
      </c>
      <c r="G85" s="52"/>
    </row>
    <row r="86" spans="2:7">
      <c r="B86" s="44">
        <v>135</v>
      </c>
      <c r="C86" s="39" t="s">
        <v>68</v>
      </c>
      <c r="D86" s="39"/>
      <c r="E86" s="56"/>
      <c r="F86" s="50"/>
      <c r="G86" s="52"/>
    </row>
    <row r="87" spans="2:7">
      <c r="B87" s="44"/>
      <c r="C87" s="48" t="s">
        <v>69</v>
      </c>
      <c r="D87" s="48"/>
      <c r="E87" s="49">
        <v>0</v>
      </c>
      <c r="F87" s="50">
        <f t="shared" ref="F87:F96" si="6">SUM(E87:E87)</f>
        <v>0</v>
      </c>
      <c r="G87" s="52"/>
    </row>
    <row r="88" spans="2:7">
      <c r="B88" s="44"/>
      <c r="C88" s="48" t="s">
        <v>70</v>
      </c>
      <c r="D88" s="48"/>
      <c r="E88" s="49">
        <v>0</v>
      </c>
      <c r="F88" s="50">
        <f t="shared" si="6"/>
        <v>0</v>
      </c>
      <c r="G88" s="52"/>
    </row>
    <row r="89" spans="2:7">
      <c r="B89" s="44"/>
      <c r="C89" s="48" t="s">
        <v>71</v>
      </c>
      <c r="D89" s="48"/>
      <c r="E89" s="49">
        <v>0</v>
      </c>
      <c r="F89" s="50">
        <f t="shared" si="6"/>
        <v>0</v>
      </c>
      <c r="G89" s="52"/>
    </row>
    <row r="90" spans="2:7">
      <c r="B90" s="44"/>
      <c r="C90" s="48" t="s">
        <v>72</v>
      </c>
      <c r="D90" s="48"/>
      <c r="E90" s="49">
        <v>0</v>
      </c>
      <c r="F90" s="50">
        <f t="shared" si="6"/>
        <v>0</v>
      </c>
      <c r="G90" s="52"/>
    </row>
    <row r="91" spans="2:7">
      <c r="B91" s="44"/>
      <c r="C91" s="48" t="s">
        <v>73</v>
      </c>
      <c r="D91" s="48"/>
      <c r="E91" s="49">
        <v>0</v>
      </c>
      <c r="F91" s="50">
        <f t="shared" si="6"/>
        <v>0</v>
      </c>
      <c r="G91" s="52"/>
    </row>
    <row r="92" spans="2:7">
      <c r="B92" s="44"/>
      <c r="C92" s="48" t="s">
        <v>74</v>
      </c>
      <c r="D92" s="48"/>
      <c r="E92" s="49">
        <v>0</v>
      </c>
      <c r="F92" s="50">
        <f t="shared" si="6"/>
        <v>0</v>
      </c>
      <c r="G92" s="52"/>
    </row>
    <row r="93" spans="2:7">
      <c r="B93" s="44"/>
      <c r="C93" s="48" t="s">
        <v>75</v>
      </c>
      <c r="D93" s="48"/>
      <c r="E93" s="49">
        <v>0</v>
      </c>
      <c r="F93" s="50">
        <f t="shared" si="6"/>
        <v>0</v>
      </c>
      <c r="G93" s="52"/>
    </row>
    <row r="94" spans="2:7">
      <c r="B94" s="44"/>
      <c r="C94" s="48" t="s">
        <v>76</v>
      </c>
      <c r="D94" s="48"/>
      <c r="E94" s="49">
        <v>0</v>
      </c>
      <c r="F94" s="50">
        <f t="shared" si="6"/>
        <v>0</v>
      </c>
      <c r="G94" s="52"/>
    </row>
    <row r="95" spans="2:7">
      <c r="B95" s="44"/>
      <c r="C95" s="48" t="s">
        <v>77</v>
      </c>
      <c r="D95" s="48"/>
      <c r="E95" s="49">
        <v>0</v>
      </c>
      <c r="F95" s="50">
        <f t="shared" si="6"/>
        <v>0</v>
      </c>
      <c r="G95" s="52"/>
    </row>
    <row r="96" spans="2:7">
      <c r="B96" s="44"/>
      <c r="C96" s="53" t="s">
        <v>26</v>
      </c>
      <c r="D96" s="53"/>
      <c r="E96" s="56">
        <f>SUM(E87:E95)</f>
        <v>0</v>
      </c>
      <c r="F96" s="54">
        <f t="shared" si="6"/>
        <v>0</v>
      </c>
      <c r="G96" s="52"/>
    </row>
    <row r="97" spans="2:7">
      <c r="B97" s="44">
        <v>136</v>
      </c>
      <c r="C97" s="39" t="s">
        <v>78</v>
      </c>
      <c r="D97" s="39"/>
      <c r="E97" s="56"/>
      <c r="F97" s="50"/>
      <c r="G97" s="52"/>
    </row>
    <row r="98" spans="2:7">
      <c r="B98" s="44"/>
      <c r="C98" s="48" t="s">
        <v>79</v>
      </c>
      <c r="D98" s="48"/>
      <c r="E98" s="49">
        <v>0</v>
      </c>
      <c r="F98" s="50">
        <f t="shared" ref="F98:F104" si="7">SUM(E98:E98)</f>
        <v>0</v>
      </c>
      <c r="G98" s="52"/>
    </row>
    <row r="99" spans="2:7">
      <c r="B99" s="44"/>
      <c r="C99" s="48" t="s">
        <v>80</v>
      </c>
      <c r="D99" s="48"/>
      <c r="E99" s="49">
        <v>0</v>
      </c>
      <c r="F99" s="50">
        <f t="shared" si="7"/>
        <v>0</v>
      </c>
      <c r="G99" s="52"/>
    </row>
    <row r="100" spans="2:7">
      <c r="B100" s="44"/>
      <c r="C100" s="48" t="s">
        <v>81</v>
      </c>
      <c r="D100" s="48"/>
      <c r="E100" s="49">
        <v>0</v>
      </c>
      <c r="F100" s="50">
        <f t="shared" si="7"/>
        <v>0</v>
      </c>
      <c r="G100" s="52"/>
    </row>
    <row r="101" spans="2:7">
      <c r="B101" s="44"/>
      <c r="C101" s="48" t="s">
        <v>82</v>
      </c>
      <c r="D101" s="48"/>
      <c r="E101" s="49">
        <v>0</v>
      </c>
      <c r="F101" s="50">
        <f t="shared" si="7"/>
        <v>0</v>
      </c>
      <c r="G101" s="52"/>
    </row>
    <row r="102" spans="2:7">
      <c r="B102" s="44"/>
      <c r="C102" s="48" t="s">
        <v>83</v>
      </c>
      <c r="D102" s="48"/>
      <c r="E102" s="49">
        <v>0</v>
      </c>
      <c r="F102" s="50">
        <f t="shared" si="7"/>
        <v>0</v>
      </c>
      <c r="G102" s="52"/>
    </row>
    <row r="103" spans="2:7">
      <c r="B103" s="44"/>
      <c r="C103" s="48" t="s">
        <v>84</v>
      </c>
      <c r="D103" s="48"/>
      <c r="E103" s="49">
        <v>0</v>
      </c>
      <c r="F103" s="50">
        <f t="shared" si="7"/>
        <v>0</v>
      </c>
      <c r="G103" s="52"/>
    </row>
    <row r="104" spans="2:7">
      <c r="B104" s="44"/>
      <c r="C104" s="53" t="s">
        <v>26</v>
      </c>
      <c r="D104" s="53"/>
      <c r="E104" s="56">
        <f>SUM(E98:E103)</f>
        <v>0</v>
      </c>
      <c r="F104" s="54">
        <f t="shared" si="7"/>
        <v>0</v>
      </c>
      <c r="G104" s="52"/>
    </row>
    <row r="105" spans="2:7">
      <c r="B105" s="44">
        <v>142</v>
      </c>
      <c r="C105" s="39" t="s">
        <v>85</v>
      </c>
      <c r="D105" s="39"/>
      <c r="E105" s="56"/>
      <c r="F105" s="50"/>
      <c r="G105" s="52"/>
    </row>
    <row r="106" spans="2:7">
      <c r="B106" s="44"/>
      <c r="C106" s="48" t="s">
        <v>86</v>
      </c>
      <c r="D106" s="48"/>
      <c r="E106" s="49">
        <v>0</v>
      </c>
      <c r="F106" s="50">
        <f t="shared" ref="F106:F115" si="8">SUM(E106:E106)</f>
        <v>0</v>
      </c>
      <c r="G106" s="52"/>
    </row>
    <row r="107" spans="2:7">
      <c r="B107" s="44"/>
      <c r="C107" s="48" t="s">
        <v>87</v>
      </c>
      <c r="D107" s="48"/>
      <c r="E107" s="49">
        <v>0</v>
      </c>
      <c r="F107" s="50">
        <f t="shared" si="8"/>
        <v>0</v>
      </c>
      <c r="G107" s="52"/>
    </row>
    <row r="108" spans="2:7">
      <c r="B108" s="44"/>
      <c r="C108" s="53" t="s">
        <v>26</v>
      </c>
      <c r="D108" s="53"/>
      <c r="E108" s="56">
        <f>SUM(E106:E107)</f>
        <v>0</v>
      </c>
      <c r="F108" s="54">
        <f t="shared" si="8"/>
        <v>0</v>
      </c>
      <c r="G108" s="52"/>
    </row>
    <row r="109" spans="2:7">
      <c r="B109" s="44">
        <v>144</v>
      </c>
      <c r="C109" s="39" t="s">
        <v>88</v>
      </c>
      <c r="D109" s="39"/>
      <c r="E109" s="49">
        <v>0</v>
      </c>
      <c r="F109" s="54">
        <f t="shared" si="8"/>
        <v>0</v>
      </c>
      <c r="G109" s="52"/>
    </row>
    <row r="110" spans="2:7">
      <c r="B110" s="44">
        <v>221</v>
      </c>
      <c r="C110" s="39" t="s">
        <v>89</v>
      </c>
      <c r="D110" s="39"/>
      <c r="E110" s="49">
        <v>0</v>
      </c>
      <c r="F110" s="54">
        <f t="shared" si="8"/>
        <v>0</v>
      </c>
      <c r="G110" s="52"/>
    </row>
    <row r="111" spans="2:7">
      <c r="B111" s="44">
        <v>222</v>
      </c>
      <c r="C111" s="39" t="s">
        <v>90</v>
      </c>
      <c r="D111" s="39"/>
      <c r="E111" s="49">
        <v>0</v>
      </c>
      <c r="F111" s="54">
        <f t="shared" si="8"/>
        <v>0</v>
      </c>
      <c r="G111" s="52"/>
    </row>
    <row r="112" spans="2:7">
      <c r="B112" s="44">
        <v>224</v>
      </c>
      <c r="C112" s="39" t="s">
        <v>91</v>
      </c>
      <c r="D112" s="39"/>
      <c r="E112" s="49">
        <v>0</v>
      </c>
      <c r="F112" s="54">
        <f t="shared" si="8"/>
        <v>0</v>
      </c>
      <c r="G112" s="52"/>
    </row>
    <row r="113" spans="2:7">
      <c r="B113" s="44">
        <v>225</v>
      </c>
      <c r="C113" s="39" t="s">
        <v>92</v>
      </c>
      <c r="D113" s="39"/>
      <c r="E113" s="49">
        <v>0</v>
      </c>
      <c r="F113" s="54">
        <f t="shared" si="8"/>
        <v>0</v>
      </c>
      <c r="G113" s="38"/>
    </row>
    <row r="114" spans="2:7">
      <c r="B114" s="44">
        <v>226</v>
      </c>
      <c r="C114" s="39" t="s">
        <v>93</v>
      </c>
      <c r="D114" s="39"/>
      <c r="E114" s="49">
        <v>0</v>
      </c>
      <c r="F114" s="54">
        <f t="shared" si="8"/>
        <v>0</v>
      </c>
      <c r="G114" s="60"/>
    </row>
    <row r="115" spans="2:7" ht="15.75" thickBot="1">
      <c r="B115" s="61"/>
      <c r="C115" s="62" t="s">
        <v>94</v>
      </c>
      <c r="D115" s="62"/>
      <c r="E115" s="90">
        <v>0</v>
      </c>
      <c r="F115" s="63">
        <f t="shared" si="8"/>
        <v>0</v>
      </c>
      <c r="G115" s="38"/>
    </row>
    <row r="116" spans="2:7">
      <c r="B116" s="64"/>
      <c r="C116" s="65" t="s">
        <v>95</v>
      </c>
      <c r="D116" s="66"/>
      <c r="E116" s="91">
        <f>SUM(E37+E47+E55+E60+E66+E72+E78+E85+E96+E104+E108+E109+E110+E111+E112+E113+E114+E115)</f>
        <v>103634.39999999997</v>
      </c>
      <c r="F116" s="68">
        <f t="shared" ref="F116" si="9">SUM(F37+F47+F55+F60+F66+F72+F78+F85+F96+F104+F108+F109+F110+F111+F112+F113+F114+F115)</f>
        <v>103634.39999999997</v>
      </c>
      <c r="G116" s="69"/>
    </row>
    <row r="117" spans="2:7" ht="15.75" thickBot="1">
      <c r="B117" s="64"/>
      <c r="C117" s="70"/>
      <c r="D117" s="71"/>
      <c r="E117" s="92"/>
      <c r="F117" s="73"/>
      <c r="G117" s="69"/>
    </row>
    <row r="118" spans="2:7" ht="15.75" thickBot="1">
      <c r="B118" s="64"/>
      <c r="C118" s="70" t="s">
        <v>96</v>
      </c>
      <c r="D118" s="71"/>
      <c r="E118" s="93">
        <f>E28-E116</f>
        <v>363505.27981818246</v>
      </c>
      <c r="F118" s="75">
        <f t="shared" ref="F118" si="10">F28-F116</f>
        <v>363505.27981818246</v>
      </c>
      <c r="G118" s="76"/>
    </row>
    <row r="119" spans="2:7" ht="8.25" customHeight="1" thickBot="1">
      <c r="B119" s="77"/>
      <c r="C119" s="81"/>
      <c r="D119" s="81"/>
      <c r="E119" s="78"/>
      <c r="F119" s="78"/>
      <c r="G119" s="79"/>
    </row>
    <row r="120" spans="2:7">
      <c r="B120" s="83"/>
      <c r="C120" s="84"/>
      <c r="D120" s="84"/>
      <c r="E120" s="85"/>
      <c r="F120" s="83"/>
      <c r="G120" s="85"/>
    </row>
    <row r="121" spans="2:7" ht="6" customHeight="1" thickBot="1"/>
    <row r="122" spans="2:7">
      <c r="B122" s="1"/>
      <c r="C122" s="2"/>
      <c r="D122" s="2"/>
      <c r="E122" s="2"/>
      <c r="F122" s="2"/>
      <c r="G122" s="3"/>
    </row>
    <row r="123" spans="2:7">
      <c r="B123" s="4"/>
      <c r="C123" s="5"/>
      <c r="D123" s="5"/>
      <c r="E123" s="5"/>
      <c r="F123" s="5"/>
      <c r="G123" s="6"/>
    </row>
    <row r="124" spans="2:7">
      <c r="B124" s="4"/>
      <c r="C124" s="5"/>
      <c r="D124" s="5"/>
      <c r="E124" s="5"/>
      <c r="F124" s="5"/>
      <c r="G124" s="6"/>
    </row>
    <row r="125" spans="2:7">
      <c r="B125" s="4"/>
      <c r="C125" s="5"/>
      <c r="D125" s="5"/>
      <c r="E125" s="5"/>
      <c r="F125" s="5"/>
      <c r="G125" s="6"/>
    </row>
    <row r="126" spans="2:7">
      <c r="B126" s="4"/>
      <c r="C126" s="5"/>
      <c r="D126" s="5"/>
      <c r="E126" s="5"/>
      <c r="F126" s="5"/>
      <c r="G126" s="6"/>
    </row>
    <row r="127" spans="2:7" ht="16.5" customHeight="1">
      <c r="B127" s="4"/>
      <c r="C127" s="5"/>
      <c r="D127" s="5"/>
      <c r="E127" s="5"/>
      <c r="F127" s="5"/>
      <c r="G127" s="6"/>
    </row>
    <row r="128" spans="2:7" ht="22.5" customHeight="1" thickBot="1">
      <c r="B128" s="4"/>
      <c r="C128" s="95" t="s">
        <v>0</v>
      </c>
      <c r="D128" s="95"/>
      <c r="E128" s="95"/>
      <c r="F128" s="5"/>
      <c r="G128" s="6"/>
    </row>
    <row r="129" spans="1:7" ht="21" thickTop="1">
      <c r="B129" s="4"/>
      <c r="C129" s="7"/>
      <c r="D129" s="7"/>
      <c r="E129" s="5"/>
      <c r="F129" s="5"/>
      <c r="G129" s="6"/>
    </row>
    <row r="130" spans="1:7">
      <c r="B130" s="8" t="s">
        <v>1</v>
      </c>
      <c r="C130" s="9" t="s">
        <v>97</v>
      </c>
      <c r="D130" s="5"/>
      <c r="E130" s="10" t="s">
        <v>2</v>
      </c>
      <c r="F130" s="9" t="s">
        <v>98</v>
      </c>
      <c r="G130" s="6"/>
    </row>
    <row r="131" spans="1:7" ht="3.75" customHeight="1">
      <c r="A131" s="80"/>
      <c r="B131" s="5"/>
      <c r="C131" s="5"/>
      <c r="D131" s="5"/>
      <c r="E131" s="11"/>
      <c r="F131" s="5"/>
      <c r="G131" s="6"/>
    </row>
    <row r="132" spans="1:7">
      <c r="A132" s="80"/>
      <c r="B132" s="12" t="s">
        <v>3</v>
      </c>
      <c r="C132" s="9" t="s">
        <v>99</v>
      </c>
      <c r="D132" s="5"/>
      <c r="E132" s="10" t="s">
        <v>4</v>
      </c>
      <c r="F132" s="82" t="s">
        <v>100</v>
      </c>
      <c r="G132" s="6"/>
    </row>
    <row r="133" spans="1:7" ht="3.75" customHeight="1">
      <c r="A133" s="80"/>
      <c r="B133" s="5"/>
      <c r="C133" s="5"/>
      <c r="D133" s="5"/>
      <c r="E133" s="11"/>
      <c r="F133" s="5"/>
      <c r="G133" s="6"/>
    </row>
    <row r="134" spans="1:7">
      <c r="A134" s="80"/>
      <c r="B134" s="10" t="s">
        <v>5</v>
      </c>
      <c r="C134" s="9" t="s">
        <v>101</v>
      </c>
      <c r="D134" s="5"/>
      <c r="E134" s="10" t="s">
        <v>6</v>
      </c>
      <c r="F134" s="9" t="s">
        <v>107</v>
      </c>
      <c r="G134" s="6"/>
    </row>
    <row r="135" spans="1:7" ht="4.5" customHeight="1">
      <c r="A135" s="80"/>
      <c r="B135" s="13"/>
      <c r="C135" s="5"/>
      <c r="D135" s="5"/>
      <c r="E135" s="11"/>
      <c r="F135" s="5"/>
      <c r="G135" s="6"/>
    </row>
    <row r="136" spans="1:7">
      <c r="A136" s="80"/>
      <c r="B136" s="10" t="s">
        <v>7</v>
      </c>
      <c r="C136" s="9" t="str">
        <f>C16</f>
        <v>ECPNG MIDDLE SOUTH FLY-BALIMO &amp; FACILITIES</v>
      </c>
      <c r="D136" s="5"/>
      <c r="E136" s="11"/>
      <c r="F136" s="5"/>
      <c r="G136" s="6"/>
    </row>
    <row r="137" spans="1:7" ht="3.75" customHeight="1">
      <c r="A137" s="80"/>
      <c r="B137" s="5"/>
      <c r="C137" s="5"/>
      <c r="D137" s="5"/>
      <c r="E137" s="11"/>
      <c r="F137" s="5"/>
      <c r="G137" s="6"/>
    </row>
    <row r="138" spans="1:7">
      <c r="B138" s="14" t="s">
        <v>8</v>
      </c>
      <c r="C138" s="15" t="str">
        <f>UPPER(TEXT(F138,"mmmm"))</f>
        <v>FEBRUARY</v>
      </c>
      <c r="D138" s="5"/>
      <c r="E138" s="86" t="s">
        <v>109</v>
      </c>
      <c r="F138" s="87">
        <v>45323</v>
      </c>
      <c r="G138" s="6"/>
    </row>
    <row r="139" spans="1:7">
      <c r="B139" s="16" t="s">
        <v>9</v>
      </c>
      <c r="C139" s="17" t="str">
        <f>TEXT(F138,"yyyy")</f>
        <v>2024</v>
      </c>
      <c r="D139" s="5"/>
      <c r="E139" s="88" t="s">
        <v>110</v>
      </c>
      <c r="F139" s="89">
        <v>45351</v>
      </c>
      <c r="G139" s="18"/>
    </row>
    <row r="140" spans="1:7" ht="15.75" thickBot="1">
      <c r="B140" s="4"/>
      <c r="C140" s="19"/>
      <c r="D140" s="19"/>
      <c r="E140" s="20"/>
      <c r="F140" s="21"/>
      <c r="G140" s="18"/>
    </row>
    <row r="141" spans="1:7" ht="18.75" thickBot="1">
      <c r="B141" s="4"/>
      <c r="C141" s="22" t="s">
        <v>10</v>
      </c>
      <c r="D141" s="23"/>
      <c r="E141" s="24"/>
      <c r="F141" s="25" t="s">
        <v>11</v>
      </c>
      <c r="G141" s="18"/>
    </row>
    <row r="142" spans="1:7">
      <c r="B142" s="4"/>
      <c r="C142" s="26" t="s">
        <v>12</v>
      </c>
      <c r="D142" s="26"/>
      <c r="E142" s="27">
        <f>F118</f>
        <v>363505.27981818246</v>
      </c>
      <c r="F142" s="28">
        <f>SUM(E142:E142)</f>
        <v>363505.27981818246</v>
      </c>
      <c r="G142" s="29"/>
    </row>
    <row r="143" spans="1:7">
      <c r="B143" s="30">
        <v>143</v>
      </c>
      <c r="C143" s="31" t="s">
        <v>13</v>
      </c>
      <c r="D143" s="31"/>
      <c r="E143" s="27">
        <v>139902.20000000001</v>
      </c>
      <c r="F143" s="32">
        <f t="shared" ref="F143:F148" si="11">SUM(E143:E143)</f>
        <v>139902.20000000001</v>
      </c>
      <c r="G143" s="33"/>
    </row>
    <row r="144" spans="1:7">
      <c r="B144" s="30"/>
      <c r="C144" s="34" t="s">
        <v>14</v>
      </c>
      <c r="D144" s="34"/>
      <c r="E144" s="27">
        <v>0</v>
      </c>
      <c r="F144" s="32">
        <f t="shared" si="11"/>
        <v>0</v>
      </c>
      <c r="G144" s="33"/>
    </row>
    <row r="145" spans="2:7">
      <c r="B145" s="30"/>
      <c r="C145" s="34" t="s">
        <v>15</v>
      </c>
      <c r="D145" s="34"/>
      <c r="E145" s="27">
        <v>0</v>
      </c>
      <c r="F145" s="32">
        <f t="shared" si="11"/>
        <v>0</v>
      </c>
      <c r="G145" s="33"/>
    </row>
    <row r="146" spans="2:7">
      <c r="B146" s="30"/>
      <c r="C146" s="34" t="s">
        <v>16</v>
      </c>
      <c r="D146" s="34"/>
      <c r="E146" s="27">
        <v>0</v>
      </c>
      <c r="F146" s="32">
        <f t="shared" si="11"/>
        <v>0</v>
      </c>
      <c r="G146" s="33"/>
    </row>
    <row r="147" spans="2:7">
      <c r="B147" s="30"/>
      <c r="C147" s="34" t="s">
        <v>17</v>
      </c>
      <c r="D147" s="34"/>
      <c r="E147" s="27">
        <v>0</v>
      </c>
      <c r="F147" s="32">
        <f t="shared" si="11"/>
        <v>0</v>
      </c>
      <c r="G147" s="33"/>
    </row>
    <row r="148" spans="2:7">
      <c r="B148" s="30"/>
      <c r="C148" s="35" t="s">
        <v>18</v>
      </c>
      <c r="D148" s="35"/>
      <c r="E148" s="36">
        <f>SUM(E142:E147)</f>
        <v>503407.47981818247</v>
      </c>
      <c r="F148" s="37">
        <f t="shared" si="11"/>
        <v>503407.47981818247</v>
      </c>
      <c r="G148" s="38"/>
    </row>
    <row r="149" spans="2:7" ht="15.75" thickBot="1">
      <c r="B149" s="30"/>
      <c r="C149" s="39"/>
      <c r="D149" s="39"/>
      <c r="E149" s="40"/>
      <c r="F149" s="41"/>
      <c r="G149" s="38"/>
    </row>
    <row r="150" spans="2:7" ht="18.75" thickBot="1">
      <c r="B150" s="30"/>
      <c r="C150" s="22" t="s">
        <v>19</v>
      </c>
      <c r="D150" s="23"/>
      <c r="E150" s="42"/>
      <c r="F150" s="43"/>
      <c r="G150" s="38"/>
    </row>
    <row r="151" spans="2:7">
      <c r="B151" s="44">
        <v>121</v>
      </c>
      <c r="C151" s="39" t="s">
        <v>20</v>
      </c>
      <c r="D151" s="39"/>
      <c r="E151" s="45"/>
      <c r="F151" s="46"/>
      <c r="G151" s="47"/>
    </row>
    <row r="152" spans="2:7">
      <c r="B152" s="44"/>
      <c r="C152" s="48" t="s">
        <v>21</v>
      </c>
      <c r="D152" s="48"/>
      <c r="E152" s="49">
        <v>0</v>
      </c>
      <c r="F152" s="50">
        <f>SUM(E152:E152)</f>
        <v>0</v>
      </c>
      <c r="G152" s="47"/>
    </row>
    <row r="153" spans="2:7">
      <c r="B153" s="44"/>
      <c r="C153" s="48" t="s">
        <v>22</v>
      </c>
      <c r="D153" s="48"/>
      <c r="E153" s="49">
        <v>0</v>
      </c>
      <c r="F153" s="50">
        <f>SUM(E153:E153)</f>
        <v>0</v>
      </c>
      <c r="G153" s="47"/>
    </row>
    <row r="154" spans="2:7">
      <c r="B154" s="51"/>
      <c r="C154" s="48" t="s">
        <v>23</v>
      </c>
      <c r="D154" s="48"/>
      <c r="E154" s="49">
        <v>0</v>
      </c>
      <c r="F154" s="50">
        <f>SUM(E154:E154)</f>
        <v>0</v>
      </c>
      <c r="G154" s="52"/>
    </row>
    <row r="155" spans="2:7">
      <c r="B155" s="51"/>
      <c r="C155" s="48" t="s">
        <v>24</v>
      </c>
      <c r="D155" s="48"/>
      <c r="E155" s="49">
        <v>0</v>
      </c>
      <c r="F155" s="50">
        <f>SUM(E155:E155)</f>
        <v>0</v>
      </c>
      <c r="G155" s="52"/>
    </row>
    <row r="156" spans="2:7">
      <c r="B156" s="44"/>
      <c r="C156" s="48" t="s">
        <v>25</v>
      </c>
      <c r="D156" s="48"/>
      <c r="E156" s="49">
        <v>0</v>
      </c>
      <c r="F156" s="50">
        <f>SUM(E156:E156)</f>
        <v>0</v>
      </c>
      <c r="G156" s="52"/>
    </row>
    <row r="157" spans="2:7">
      <c r="B157" s="44"/>
      <c r="C157" s="53" t="s">
        <v>26</v>
      </c>
      <c r="D157" s="53"/>
      <c r="E157" s="36">
        <f>SUM(E152:E156)</f>
        <v>0</v>
      </c>
      <c r="F157" s="54">
        <f>SUM(F152:F156)</f>
        <v>0</v>
      </c>
      <c r="G157" s="52"/>
    </row>
    <row r="158" spans="2:7">
      <c r="B158" s="44">
        <v>122</v>
      </c>
      <c r="C158" s="39" t="s">
        <v>27</v>
      </c>
      <c r="D158" s="39"/>
      <c r="E158" s="36"/>
      <c r="F158" s="50"/>
      <c r="G158" s="55"/>
    </row>
    <row r="159" spans="2:7">
      <c r="B159" s="44"/>
      <c r="C159" s="48" t="s">
        <v>28</v>
      </c>
      <c r="D159" s="48"/>
      <c r="E159" s="49">
        <v>0</v>
      </c>
      <c r="F159" s="50">
        <f t="shared" ref="F159:F167" si="12">SUM(E159:E159)</f>
        <v>0</v>
      </c>
      <c r="G159" s="52"/>
    </row>
    <row r="160" spans="2:7">
      <c r="B160" s="44"/>
      <c r="C160" s="48" t="s">
        <v>29</v>
      </c>
      <c r="D160" s="48"/>
      <c r="E160" s="49">
        <v>0</v>
      </c>
      <c r="F160" s="50">
        <f t="shared" si="12"/>
        <v>0</v>
      </c>
      <c r="G160" s="52"/>
    </row>
    <row r="161" spans="2:7">
      <c r="B161" s="44"/>
      <c r="C161" s="48" t="s">
        <v>30</v>
      </c>
      <c r="D161" s="48"/>
      <c r="E161" s="49">
        <v>0</v>
      </c>
      <c r="F161" s="50">
        <f t="shared" si="12"/>
        <v>0</v>
      </c>
      <c r="G161" s="52"/>
    </row>
    <row r="162" spans="2:7">
      <c r="B162" s="44"/>
      <c r="C162" s="48" t="s">
        <v>31</v>
      </c>
      <c r="D162" s="48"/>
      <c r="E162" s="49">
        <v>0</v>
      </c>
      <c r="F162" s="50">
        <f t="shared" si="12"/>
        <v>0</v>
      </c>
      <c r="G162" s="52"/>
    </row>
    <row r="163" spans="2:7">
      <c r="B163" s="44"/>
      <c r="C163" s="48" t="s">
        <v>32</v>
      </c>
      <c r="D163" s="48"/>
      <c r="E163" s="49">
        <v>2713.337018181815</v>
      </c>
      <c r="F163" s="50">
        <f t="shared" si="12"/>
        <v>2713.337018181815</v>
      </c>
      <c r="G163" s="52"/>
    </row>
    <row r="164" spans="2:7">
      <c r="B164" s="44"/>
      <c r="C164" s="48" t="s">
        <v>33</v>
      </c>
      <c r="D164" s="48"/>
      <c r="E164" s="49">
        <v>0</v>
      </c>
      <c r="F164" s="50">
        <f t="shared" si="12"/>
        <v>0</v>
      </c>
      <c r="G164" s="52"/>
    </row>
    <row r="165" spans="2:7">
      <c r="B165" s="44"/>
      <c r="C165" s="48" t="s">
        <v>34</v>
      </c>
      <c r="D165" s="48"/>
      <c r="E165" s="49">
        <v>0</v>
      </c>
      <c r="F165" s="50">
        <f t="shared" si="12"/>
        <v>0</v>
      </c>
      <c r="G165" s="52"/>
    </row>
    <row r="166" spans="2:7">
      <c r="B166" s="44"/>
      <c r="C166" s="48" t="s">
        <v>35</v>
      </c>
      <c r="D166" s="48"/>
      <c r="E166" s="49">
        <v>0</v>
      </c>
      <c r="F166" s="50">
        <f t="shared" si="12"/>
        <v>0</v>
      </c>
      <c r="G166" s="52"/>
    </row>
    <row r="167" spans="2:7">
      <c r="B167" s="44"/>
      <c r="C167" s="53" t="s">
        <v>26</v>
      </c>
      <c r="D167" s="53"/>
      <c r="E167" s="36">
        <f>SUM(E159:E166)</f>
        <v>2713.337018181815</v>
      </c>
      <c r="F167" s="54">
        <f t="shared" si="12"/>
        <v>2713.337018181815</v>
      </c>
      <c r="G167" s="52"/>
    </row>
    <row r="168" spans="2:7">
      <c r="B168" s="44">
        <v>123</v>
      </c>
      <c r="C168" s="39" t="s">
        <v>36</v>
      </c>
      <c r="D168" s="39"/>
      <c r="E168" s="56"/>
      <c r="F168" s="57"/>
      <c r="G168" s="52"/>
    </row>
    <row r="169" spans="2:7">
      <c r="B169" s="44"/>
      <c r="C169" s="48" t="s">
        <v>37</v>
      </c>
      <c r="D169" s="48"/>
      <c r="E169" s="49">
        <v>2713.337018181815</v>
      </c>
      <c r="F169" s="50">
        <f t="shared" ref="F169:F175" si="13">SUM(E169:E169)</f>
        <v>2713.337018181815</v>
      </c>
      <c r="G169" s="52"/>
    </row>
    <row r="170" spans="2:7">
      <c r="B170" s="44"/>
      <c r="C170" s="48" t="s">
        <v>38</v>
      </c>
      <c r="D170" s="48"/>
      <c r="E170" s="49">
        <v>0</v>
      </c>
      <c r="F170" s="50">
        <f t="shared" si="13"/>
        <v>0</v>
      </c>
      <c r="G170" s="52"/>
    </row>
    <row r="171" spans="2:7">
      <c r="B171" s="44"/>
      <c r="C171" s="48" t="s">
        <v>39</v>
      </c>
      <c r="D171" s="48"/>
      <c r="E171" s="49">
        <v>23515.587490909071</v>
      </c>
      <c r="F171" s="50">
        <f t="shared" si="13"/>
        <v>23515.587490909071</v>
      </c>
      <c r="G171" s="52"/>
    </row>
    <row r="172" spans="2:7">
      <c r="B172" s="44"/>
      <c r="C172" s="48" t="s">
        <v>40</v>
      </c>
      <c r="D172" s="48"/>
      <c r="E172" s="49">
        <v>0</v>
      </c>
      <c r="F172" s="50">
        <f t="shared" si="13"/>
        <v>0</v>
      </c>
      <c r="G172" s="52"/>
    </row>
    <row r="173" spans="2:7">
      <c r="B173" s="44"/>
      <c r="C173" s="48" t="s">
        <v>41</v>
      </c>
      <c r="D173" s="48"/>
      <c r="E173" s="49">
        <v>0</v>
      </c>
      <c r="F173" s="50">
        <f t="shared" si="13"/>
        <v>0</v>
      </c>
      <c r="G173" s="52"/>
    </row>
    <row r="174" spans="2:7">
      <c r="B174" s="44"/>
      <c r="C174" s="48" t="s">
        <v>42</v>
      </c>
      <c r="D174" s="48"/>
      <c r="E174" s="49">
        <v>5426.67403636363</v>
      </c>
      <c r="F174" s="50">
        <f t="shared" si="13"/>
        <v>5426.67403636363</v>
      </c>
      <c r="G174" s="52"/>
    </row>
    <row r="175" spans="2:7">
      <c r="B175" s="44"/>
      <c r="C175" s="53" t="s">
        <v>26</v>
      </c>
      <c r="D175" s="53"/>
      <c r="E175" s="36">
        <f>SUM(E169:E174)</f>
        <v>31655.598545454515</v>
      </c>
      <c r="F175" s="54">
        <f t="shared" si="13"/>
        <v>31655.598545454515</v>
      </c>
      <c r="G175" s="52"/>
    </row>
    <row r="176" spans="2:7">
      <c r="B176" s="44">
        <v>124</v>
      </c>
      <c r="C176" s="39" t="s">
        <v>43</v>
      </c>
      <c r="D176" s="39"/>
      <c r="E176" s="56"/>
      <c r="F176" s="57"/>
      <c r="G176" s="52"/>
    </row>
    <row r="177" spans="2:7">
      <c r="B177" s="44"/>
      <c r="C177" s="48" t="s">
        <v>44</v>
      </c>
      <c r="D177" s="48"/>
      <c r="E177" s="49">
        <v>4145.3759999999993</v>
      </c>
      <c r="F177" s="50">
        <f>SUM(E177:E177)</f>
        <v>4145.3759999999993</v>
      </c>
      <c r="G177" s="52"/>
    </row>
    <row r="178" spans="2:7">
      <c r="B178" s="44"/>
      <c r="C178" s="48" t="s">
        <v>45</v>
      </c>
      <c r="D178" s="48"/>
      <c r="E178" s="49">
        <v>0</v>
      </c>
      <c r="F178" s="50">
        <f>SUM(E178:E178)</f>
        <v>0</v>
      </c>
      <c r="G178" s="52"/>
    </row>
    <row r="179" spans="2:7">
      <c r="B179" s="44"/>
      <c r="C179" s="48" t="s">
        <v>46</v>
      </c>
      <c r="D179" s="48"/>
      <c r="E179" s="49">
        <v>0</v>
      </c>
      <c r="F179" s="50">
        <f>SUM(E179:E179)</f>
        <v>0</v>
      </c>
      <c r="G179" s="52"/>
    </row>
    <row r="180" spans="2:7">
      <c r="B180" s="44"/>
      <c r="C180" s="53" t="s">
        <v>26</v>
      </c>
      <c r="D180" s="53"/>
      <c r="E180" s="36">
        <f>SUM(E177:E179)</f>
        <v>4145.3759999999993</v>
      </c>
      <c r="F180" s="54">
        <f>SUM(E180:E180)</f>
        <v>4145.3759999999993</v>
      </c>
      <c r="G180" s="52"/>
    </row>
    <row r="181" spans="2:7">
      <c r="B181" s="44">
        <v>125</v>
      </c>
      <c r="C181" s="39" t="s">
        <v>47</v>
      </c>
      <c r="D181" s="39"/>
      <c r="E181" s="36"/>
      <c r="F181" s="50"/>
      <c r="G181" s="52"/>
    </row>
    <row r="182" spans="2:7">
      <c r="B182" s="44"/>
      <c r="C182" s="48" t="s">
        <v>48</v>
      </c>
      <c r="D182" s="48"/>
      <c r="E182" s="58">
        <v>0</v>
      </c>
      <c r="F182" s="50">
        <f>SUM(E182:E182)</f>
        <v>0</v>
      </c>
      <c r="G182" s="52"/>
    </row>
    <row r="183" spans="2:7">
      <c r="B183" s="44"/>
      <c r="C183" s="48" t="s">
        <v>49</v>
      </c>
      <c r="D183" s="48"/>
      <c r="E183" s="58">
        <v>0</v>
      </c>
      <c r="F183" s="50">
        <f>SUM(E183:E183)</f>
        <v>0</v>
      </c>
      <c r="G183" s="52"/>
    </row>
    <row r="184" spans="2:7">
      <c r="B184" s="44"/>
      <c r="C184" s="48" t="s">
        <v>50</v>
      </c>
      <c r="D184" s="48"/>
      <c r="E184" s="58">
        <v>3316.3007999999995</v>
      </c>
      <c r="F184" s="50">
        <f>SUM(E184:E184)</f>
        <v>3316.3007999999995</v>
      </c>
      <c r="G184" s="52"/>
    </row>
    <row r="185" spans="2:7">
      <c r="B185" s="44"/>
      <c r="C185" s="48" t="s">
        <v>51</v>
      </c>
      <c r="D185" s="48"/>
      <c r="E185" s="58">
        <v>0</v>
      </c>
      <c r="F185" s="50">
        <f>SUM(E185:E185)</f>
        <v>0</v>
      </c>
      <c r="G185" s="52"/>
    </row>
    <row r="186" spans="2:7">
      <c r="B186" s="44"/>
      <c r="C186" s="53" t="s">
        <v>26</v>
      </c>
      <c r="D186" s="53"/>
      <c r="E186" s="56">
        <f>SUM(E182:E185)</f>
        <v>3316.3007999999995</v>
      </c>
      <c r="F186" s="54">
        <f t="shared" ref="F186" si="14">SUM(F182:F185)</f>
        <v>3316.3007999999995</v>
      </c>
      <c r="G186" s="52"/>
    </row>
    <row r="187" spans="2:7">
      <c r="B187" s="44">
        <v>126</v>
      </c>
      <c r="C187" s="39" t="s">
        <v>52</v>
      </c>
      <c r="D187" s="39"/>
      <c r="E187" s="56"/>
      <c r="F187" s="50"/>
      <c r="G187" s="52"/>
    </row>
    <row r="188" spans="2:7">
      <c r="B188" s="44"/>
      <c r="C188" s="48" t="s">
        <v>53</v>
      </c>
      <c r="D188" s="48"/>
      <c r="E188" s="49">
        <v>0</v>
      </c>
      <c r="F188" s="50">
        <f>SUM(E188:E188)</f>
        <v>0</v>
      </c>
      <c r="G188" s="52"/>
    </row>
    <row r="189" spans="2:7">
      <c r="B189" s="44"/>
      <c r="C189" s="48" t="s">
        <v>54</v>
      </c>
      <c r="D189" s="48"/>
      <c r="E189" s="49">
        <v>0</v>
      </c>
      <c r="F189" s="50"/>
      <c r="G189" s="52"/>
    </row>
    <row r="190" spans="2:7">
      <c r="B190" s="44"/>
      <c r="C190" s="48" t="s">
        <v>55</v>
      </c>
      <c r="D190" s="48"/>
      <c r="E190" s="49">
        <v>0</v>
      </c>
      <c r="F190" s="50"/>
      <c r="G190" s="52"/>
    </row>
    <row r="191" spans="2:7">
      <c r="B191" s="44"/>
      <c r="C191" s="48" t="s">
        <v>56</v>
      </c>
      <c r="D191" s="48"/>
      <c r="E191" s="49">
        <v>0</v>
      </c>
      <c r="F191" s="57"/>
      <c r="G191" s="52"/>
    </row>
    <row r="192" spans="2:7">
      <c r="B192" s="44"/>
      <c r="C192" s="53" t="s">
        <v>26</v>
      </c>
      <c r="D192" s="53"/>
      <c r="E192" s="56">
        <f>SUM(E188:E191)</f>
        <v>0</v>
      </c>
      <c r="F192" s="54">
        <f t="shared" ref="F192" si="15">SUM(F188:F191)</f>
        <v>0</v>
      </c>
      <c r="G192" s="52"/>
    </row>
    <row r="193" spans="2:7">
      <c r="B193" s="44">
        <v>127</v>
      </c>
      <c r="C193" s="39" t="s">
        <v>57</v>
      </c>
      <c r="D193" s="39"/>
      <c r="E193" s="56"/>
      <c r="F193" s="54"/>
      <c r="G193" s="52"/>
    </row>
    <row r="194" spans="2:7">
      <c r="B194" s="44"/>
      <c r="C194" s="48" t="s">
        <v>58</v>
      </c>
      <c r="D194" s="48"/>
      <c r="E194" s="49">
        <v>0</v>
      </c>
      <c r="F194" s="50">
        <f>SUM(E194:E194)</f>
        <v>0</v>
      </c>
      <c r="G194" s="52"/>
    </row>
    <row r="195" spans="2:7">
      <c r="B195" s="44"/>
      <c r="C195" s="48" t="s">
        <v>59</v>
      </c>
      <c r="D195" s="48"/>
      <c r="E195" s="49">
        <v>0</v>
      </c>
      <c r="F195" s="50">
        <f>SUM(E195:E195)</f>
        <v>0</v>
      </c>
      <c r="G195" s="52"/>
    </row>
    <row r="196" spans="2:7">
      <c r="B196" s="44"/>
      <c r="C196" s="48" t="s">
        <v>60</v>
      </c>
      <c r="D196" s="48"/>
      <c r="E196" s="49">
        <v>0</v>
      </c>
      <c r="F196" s="50">
        <f>SUM(E196:E196)</f>
        <v>0</v>
      </c>
      <c r="G196" s="52"/>
    </row>
    <row r="197" spans="2:7">
      <c r="B197" s="44"/>
      <c r="C197" s="59" t="s">
        <v>61</v>
      </c>
      <c r="D197" s="59"/>
      <c r="E197" s="49">
        <v>0</v>
      </c>
      <c r="F197" s="50">
        <f>SUM(E197:E197)</f>
        <v>0</v>
      </c>
      <c r="G197" s="52"/>
    </row>
    <row r="198" spans="2:7">
      <c r="B198" s="44"/>
      <c r="C198" s="53" t="s">
        <v>26</v>
      </c>
      <c r="D198" s="53"/>
      <c r="E198" s="56">
        <f>SUM(E194:E197)</f>
        <v>0</v>
      </c>
      <c r="F198" s="54">
        <f>SUM(E198:E198)</f>
        <v>0</v>
      </c>
      <c r="G198" s="52"/>
    </row>
    <row r="199" spans="2:7">
      <c r="B199" s="44">
        <v>128</v>
      </c>
      <c r="C199" s="39" t="s">
        <v>62</v>
      </c>
      <c r="D199" s="39"/>
      <c r="E199" s="56"/>
      <c r="F199" s="54"/>
      <c r="G199" s="52"/>
    </row>
    <row r="200" spans="2:7">
      <c r="B200" s="44"/>
      <c r="C200" s="48" t="s">
        <v>63</v>
      </c>
      <c r="D200" s="48"/>
      <c r="E200" s="49">
        <v>0</v>
      </c>
      <c r="F200" s="50">
        <f t="shared" ref="F200:F205" si="16">SUM(E200:E200)</f>
        <v>0</v>
      </c>
      <c r="G200" s="52"/>
    </row>
    <row r="201" spans="2:7">
      <c r="B201" s="44"/>
      <c r="C201" s="48" t="s">
        <v>64</v>
      </c>
      <c r="D201" s="48"/>
      <c r="E201" s="49">
        <v>0</v>
      </c>
      <c r="F201" s="50">
        <f t="shared" si="16"/>
        <v>0</v>
      </c>
      <c r="G201" s="52"/>
    </row>
    <row r="202" spans="2:7">
      <c r="B202" s="44"/>
      <c r="C202" s="48" t="s">
        <v>65</v>
      </c>
      <c r="D202" s="48"/>
      <c r="E202" s="49">
        <v>9948.902399999999</v>
      </c>
      <c r="F202" s="50">
        <f t="shared" si="16"/>
        <v>9948.902399999999</v>
      </c>
      <c r="G202" s="52"/>
    </row>
    <row r="203" spans="2:7">
      <c r="B203" s="44"/>
      <c r="C203" s="48" t="s">
        <v>66</v>
      </c>
      <c r="D203" s="48"/>
      <c r="E203" s="49">
        <v>0</v>
      </c>
      <c r="F203" s="50">
        <f t="shared" si="16"/>
        <v>0</v>
      </c>
      <c r="G203" s="52"/>
    </row>
    <row r="204" spans="2:7">
      <c r="B204" s="44"/>
      <c r="C204" s="48" t="s">
        <v>67</v>
      </c>
      <c r="D204" s="48"/>
      <c r="E204" s="49">
        <v>0</v>
      </c>
      <c r="F204" s="50">
        <f t="shared" si="16"/>
        <v>0</v>
      </c>
      <c r="G204" s="52"/>
    </row>
    <row r="205" spans="2:7">
      <c r="B205" s="44"/>
      <c r="C205" s="53" t="s">
        <v>26</v>
      </c>
      <c r="D205" s="53"/>
      <c r="E205" s="56">
        <f>SUM(E200:E204)</f>
        <v>9948.902399999999</v>
      </c>
      <c r="F205" s="54">
        <f t="shared" si="16"/>
        <v>9948.902399999999</v>
      </c>
      <c r="G205" s="52"/>
    </row>
    <row r="206" spans="2:7">
      <c r="B206" s="44">
        <v>135</v>
      </c>
      <c r="C206" s="39" t="s">
        <v>68</v>
      </c>
      <c r="D206" s="39"/>
      <c r="E206" s="56"/>
      <c r="F206" s="50"/>
      <c r="G206" s="52"/>
    </row>
    <row r="207" spans="2:7">
      <c r="B207" s="44"/>
      <c r="C207" s="48" t="s">
        <v>69</v>
      </c>
      <c r="D207" s="48"/>
      <c r="E207" s="49">
        <v>0</v>
      </c>
      <c r="F207" s="50">
        <f t="shared" ref="F207:F216" si="17">SUM(E207:E207)</f>
        <v>0</v>
      </c>
      <c r="G207" s="52"/>
    </row>
    <row r="208" spans="2:7">
      <c r="B208" s="44"/>
      <c r="C208" s="48" t="s">
        <v>70</v>
      </c>
      <c r="D208" s="48"/>
      <c r="E208" s="49">
        <v>0</v>
      </c>
      <c r="F208" s="50">
        <f t="shared" si="17"/>
        <v>0</v>
      </c>
      <c r="G208" s="52"/>
    </row>
    <row r="209" spans="2:7">
      <c r="B209" s="44"/>
      <c r="C209" s="48" t="s">
        <v>71</v>
      </c>
      <c r="D209" s="48"/>
      <c r="E209" s="49">
        <v>0</v>
      </c>
      <c r="F209" s="50">
        <f t="shared" si="17"/>
        <v>0</v>
      </c>
      <c r="G209" s="52"/>
    </row>
    <row r="210" spans="2:7">
      <c r="B210" s="44"/>
      <c r="C210" s="48" t="s">
        <v>72</v>
      </c>
      <c r="D210" s="48"/>
      <c r="E210" s="49">
        <v>0</v>
      </c>
      <c r="F210" s="50">
        <f t="shared" si="17"/>
        <v>0</v>
      </c>
      <c r="G210" s="52"/>
    </row>
    <row r="211" spans="2:7">
      <c r="B211" s="44"/>
      <c r="C211" s="48" t="s">
        <v>73</v>
      </c>
      <c r="D211" s="48"/>
      <c r="E211" s="49">
        <v>5426.67403636363</v>
      </c>
      <c r="F211" s="50">
        <f t="shared" si="17"/>
        <v>5426.67403636363</v>
      </c>
      <c r="G211" s="52"/>
    </row>
    <row r="212" spans="2:7">
      <c r="B212" s="44"/>
      <c r="C212" s="48" t="s">
        <v>74</v>
      </c>
      <c r="D212" s="48"/>
      <c r="E212" s="49">
        <v>0</v>
      </c>
      <c r="F212" s="50">
        <f t="shared" si="17"/>
        <v>0</v>
      </c>
      <c r="G212" s="52"/>
    </row>
    <row r="213" spans="2:7">
      <c r="B213" s="44"/>
      <c r="C213" s="48" t="s">
        <v>75</v>
      </c>
      <c r="D213" s="48"/>
      <c r="E213" s="49">
        <v>25701.331199999997</v>
      </c>
      <c r="F213" s="50">
        <f t="shared" si="17"/>
        <v>25701.331199999997</v>
      </c>
      <c r="G213" s="52"/>
    </row>
    <row r="214" spans="2:7">
      <c r="B214" s="44"/>
      <c r="C214" s="48" t="s">
        <v>76</v>
      </c>
      <c r="D214" s="48"/>
      <c r="E214" s="49">
        <v>0</v>
      </c>
      <c r="F214" s="50">
        <f t="shared" si="17"/>
        <v>0</v>
      </c>
      <c r="G214" s="52"/>
    </row>
    <row r="215" spans="2:7">
      <c r="B215" s="44"/>
      <c r="C215" s="48" t="s">
        <v>77</v>
      </c>
      <c r="D215" s="48"/>
      <c r="E215" s="49">
        <v>0</v>
      </c>
      <c r="F215" s="50">
        <f t="shared" si="17"/>
        <v>0</v>
      </c>
      <c r="G215" s="52"/>
    </row>
    <row r="216" spans="2:7">
      <c r="B216" s="44"/>
      <c r="C216" s="53" t="s">
        <v>26</v>
      </c>
      <c r="D216" s="53"/>
      <c r="E216" s="56">
        <f>SUM(E207:E215)</f>
        <v>31128.005236363628</v>
      </c>
      <c r="F216" s="54">
        <f t="shared" si="17"/>
        <v>31128.005236363628</v>
      </c>
      <c r="G216" s="52"/>
    </row>
    <row r="217" spans="2:7">
      <c r="B217" s="44">
        <v>136</v>
      </c>
      <c r="C217" s="39" t="s">
        <v>78</v>
      </c>
      <c r="D217" s="39"/>
      <c r="E217" s="56"/>
      <c r="F217" s="50"/>
      <c r="G217" s="52"/>
    </row>
    <row r="218" spans="2:7">
      <c r="B218" s="44"/>
      <c r="C218" s="48" t="s">
        <v>79</v>
      </c>
      <c r="D218" s="48"/>
      <c r="E218" s="49">
        <v>0</v>
      </c>
      <c r="F218" s="50">
        <f t="shared" ref="F218:F224" si="18">SUM(E218:E218)</f>
        <v>0</v>
      </c>
      <c r="G218" s="52"/>
    </row>
    <row r="219" spans="2:7">
      <c r="B219" s="44"/>
      <c r="C219" s="48" t="s">
        <v>80</v>
      </c>
      <c r="D219" s="48"/>
      <c r="E219" s="49">
        <v>0</v>
      </c>
      <c r="F219" s="50">
        <f t="shared" si="18"/>
        <v>0</v>
      </c>
      <c r="G219" s="52"/>
    </row>
    <row r="220" spans="2:7">
      <c r="B220" s="44"/>
      <c r="C220" s="48" t="s">
        <v>81</v>
      </c>
      <c r="D220" s="48"/>
      <c r="E220" s="49">
        <v>0</v>
      </c>
      <c r="F220" s="50">
        <f t="shared" si="18"/>
        <v>0</v>
      </c>
      <c r="G220" s="52"/>
    </row>
    <row r="221" spans="2:7">
      <c r="B221" s="44"/>
      <c r="C221" s="48" t="s">
        <v>82</v>
      </c>
      <c r="D221" s="48"/>
      <c r="E221" s="49">
        <v>0</v>
      </c>
      <c r="F221" s="50">
        <f t="shared" si="18"/>
        <v>0</v>
      </c>
      <c r="G221" s="52"/>
    </row>
    <row r="222" spans="2:7">
      <c r="B222" s="44"/>
      <c r="C222" s="48" t="s">
        <v>83</v>
      </c>
      <c r="D222" s="48"/>
      <c r="E222" s="49">
        <v>0</v>
      </c>
      <c r="F222" s="50">
        <f t="shared" si="18"/>
        <v>0</v>
      </c>
      <c r="G222" s="52"/>
    </row>
    <row r="223" spans="2:7">
      <c r="B223" s="44"/>
      <c r="C223" s="48" t="s">
        <v>84</v>
      </c>
      <c r="D223" s="48"/>
      <c r="E223" s="49">
        <v>0</v>
      </c>
      <c r="F223" s="50">
        <f t="shared" si="18"/>
        <v>0</v>
      </c>
      <c r="G223" s="52"/>
    </row>
    <row r="224" spans="2:7">
      <c r="B224" s="44"/>
      <c r="C224" s="53" t="s">
        <v>26</v>
      </c>
      <c r="D224" s="53"/>
      <c r="E224" s="56">
        <f>SUM(E218:E223)</f>
        <v>0</v>
      </c>
      <c r="F224" s="54">
        <f t="shared" si="18"/>
        <v>0</v>
      </c>
      <c r="G224" s="52"/>
    </row>
    <row r="225" spans="2:7">
      <c r="B225" s="44">
        <v>142</v>
      </c>
      <c r="C225" s="39" t="s">
        <v>85</v>
      </c>
      <c r="D225" s="39"/>
      <c r="E225" s="56"/>
      <c r="F225" s="50"/>
      <c r="G225" s="52"/>
    </row>
    <row r="226" spans="2:7">
      <c r="B226" s="44"/>
      <c r="C226" s="48" t="s">
        <v>86</v>
      </c>
      <c r="D226" s="48"/>
      <c r="E226" s="49">
        <v>0</v>
      </c>
      <c r="F226" s="50">
        <f t="shared" ref="F226:F235" si="19">SUM(E226:E226)</f>
        <v>0</v>
      </c>
      <c r="G226" s="52"/>
    </row>
    <row r="227" spans="2:7">
      <c r="B227" s="44"/>
      <c r="C227" s="48" t="s">
        <v>87</v>
      </c>
      <c r="D227" s="48"/>
      <c r="E227" s="49">
        <v>0</v>
      </c>
      <c r="F227" s="50">
        <f t="shared" si="19"/>
        <v>0</v>
      </c>
      <c r="G227" s="52"/>
    </row>
    <row r="228" spans="2:7">
      <c r="B228" s="44"/>
      <c r="C228" s="53" t="s">
        <v>26</v>
      </c>
      <c r="D228" s="53"/>
      <c r="E228" s="56">
        <f>SUM(E226:E227)</f>
        <v>0</v>
      </c>
      <c r="F228" s="54">
        <f t="shared" si="19"/>
        <v>0</v>
      </c>
      <c r="G228" s="52"/>
    </row>
    <row r="229" spans="2:7">
      <c r="B229" s="44">
        <v>144</v>
      </c>
      <c r="C229" s="39" t="s">
        <v>88</v>
      </c>
      <c r="D229" s="39"/>
      <c r="E229" s="49">
        <v>0</v>
      </c>
      <c r="F229" s="54">
        <f t="shared" si="19"/>
        <v>0</v>
      </c>
      <c r="G229" s="52"/>
    </row>
    <row r="230" spans="2:7">
      <c r="B230" s="44">
        <v>221</v>
      </c>
      <c r="C230" s="39" t="s">
        <v>89</v>
      </c>
      <c r="D230" s="39"/>
      <c r="E230" s="49">
        <v>0</v>
      </c>
      <c r="F230" s="54">
        <f t="shared" si="19"/>
        <v>0</v>
      </c>
      <c r="G230" s="52"/>
    </row>
    <row r="231" spans="2:7">
      <c r="B231" s="44">
        <v>222</v>
      </c>
      <c r="C231" s="39" t="s">
        <v>90</v>
      </c>
      <c r="D231" s="39"/>
      <c r="E231" s="49">
        <v>0</v>
      </c>
      <c r="F231" s="54">
        <f t="shared" si="19"/>
        <v>0</v>
      </c>
      <c r="G231" s="52"/>
    </row>
    <row r="232" spans="2:7">
      <c r="B232" s="44">
        <v>224</v>
      </c>
      <c r="C232" s="39" t="s">
        <v>91</v>
      </c>
      <c r="D232" s="39"/>
      <c r="E232" s="49">
        <v>0</v>
      </c>
      <c r="F232" s="54">
        <f t="shared" si="19"/>
        <v>0</v>
      </c>
      <c r="G232" s="52"/>
    </row>
    <row r="233" spans="2:7">
      <c r="B233" s="44">
        <v>225</v>
      </c>
      <c r="C233" s="39" t="s">
        <v>92</v>
      </c>
      <c r="D233" s="39"/>
      <c r="E233" s="49">
        <v>0</v>
      </c>
      <c r="F233" s="54">
        <f t="shared" si="19"/>
        <v>0</v>
      </c>
      <c r="G233" s="38"/>
    </row>
    <row r="234" spans="2:7">
      <c r="B234" s="44">
        <v>226</v>
      </c>
      <c r="C234" s="39" t="s">
        <v>93</v>
      </c>
      <c r="D234" s="39"/>
      <c r="E234" s="49">
        <v>0</v>
      </c>
      <c r="F234" s="54">
        <f t="shared" si="19"/>
        <v>0</v>
      </c>
      <c r="G234" s="60"/>
    </row>
    <row r="235" spans="2:7" ht="15.75" thickBot="1">
      <c r="B235" s="61"/>
      <c r="C235" s="62" t="s">
        <v>94</v>
      </c>
      <c r="D235" s="62"/>
      <c r="E235" s="94">
        <v>0</v>
      </c>
      <c r="F235" s="63">
        <f t="shared" si="19"/>
        <v>0</v>
      </c>
      <c r="G235" s="38"/>
    </row>
    <row r="236" spans="2:7">
      <c r="B236" s="64"/>
      <c r="C236" s="65" t="s">
        <v>95</v>
      </c>
      <c r="D236" s="66"/>
      <c r="E236" s="67">
        <f>SUM(E157+E167+E175+E180+E186+E192+E198+E205+E216+E224+E228+E229+E230+E231+E232+E233+E234+E235)</f>
        <v>82907.51999999996</v>
      </c>
      <c r="F236" s="68">
        <f>SUM(F157+F167+F175+F180+F186+F192+F198+F205+F216+F224+F228+F229+F230+F231+F232+F233+F234+F235)</f>
        <v>82907.51999999996</v>
      </c>
      <c r="G236" s="69"/>
    </row>
    <row r="237" spans="2:7" ht="15.75" thickBot="1">
      <c r="B237" s="64"/>
      <c r="C237" s="70"/>
      <c r="D237" s="71"/>
      <c r="E237" s="72"/>
      <c r="F237" s="73"/>
      <c r="G237" s="69"/>
    </row>
    <row r="238" spans="2:7" ht="15.75" thickBot="1">
      <c r="B238" s="64"/>
      <c r="C238" s="70" t="s">
        <v>96</v>
      </c>
      <c r="D238" s="71"/>
      <c r="E238" s="74">
        <f>E148-E236</f>
        <v>420499.95981818251</v>
      </c>
      <c r="F238" s="75">
        <f t="shared" ref="F238" si="20">F148-F236</f>
        <v>420499.95981818251</v>
      </c>
      <c r="G238" s="76"/>
    </row>
    <row r="239" spans="2:7" ht="8.25" customHeight="1" thickBot="1">
      <c r="B239" s="77"/>
      <c r="C239" s="81"/>
      <c r="D239" s="81"/>
      <c r="E239" s="78"/>
      <c r="F239" s="78"/>
      <c r="G239" s="79"/>
    </row>
    <row r="240" spans="2:7">
      <c r="B240" s="85"/>
      <c r="C240" s="84"/>
      <c r="D240" s="84"/>
      <c r="E240" s="85"/>
      <c r="F240" s="85"/>
      <c r="G240" s="85"/>
    </row>
    <row r="241" spans="1:7" ht="6" customHeight="1" thickBot="1"/>
    <row r="242" spans="1:7">
      <c r="B242" s="1"/>
      <c r="C242" s="2"/>
      <c r="D242" s="2"/>
      <c r="E242" s="2"/>
      <c r="F242" s="2"/>
      <c r="G242" s="3"/>
    </row>
    <row r="243" spans="1:7">
      <c r="B243" s="4"/>
      <c r="C243" s="5"/>
      <c r="D243" s="5"/>
      <c r="E243" s="5"/>
      <c r="F243" s="5"/>
      <c r="G243" s="6"/>
    </row>
    <row r="244" spans="1:7">
      <c r="B244" s="4"/>
      <c r="C244" s="5"/>
      <c r="D244" s="5"/>
      <c r="E244" s="5"/>
      <c r="F244" s="5"/>
      <c r="G244" s="6"/>
    </row>
    <row r="245" spans="1:7">
      <c r="B245" s="4"/>
      <c r="C245" s="5"/>
      <c r="D245" s="5"/>
      <c r="E245" s="5"/>
      <c r="F245" s="5"/>
      <c r="G245" s="6"/>
    </row>
    <row r="246" spans="1:7">
      <c r="B246" s="4"/>
      <c r="C246" s="5"/>
      <c r="D246" s="5"/>
      <c r="E246" s="5"/>
      <c r="F246" s="5"/>
      <c r="G246" s="6"/>
    </row>
    <row r="247" spans="1:7" ht="16.5" customHeight="1">
      <c r="B247" s="4"/>
      <c r="C247" s="5"/>
      <c r="D247" s="5"/>
      <c r="E247" s="5"/>
      <c r="F247" s="5"/>
      <c r="G247" s="6"/>
    </row>
    <row r="248" spans="1:7" ht="22.5" customHeight="1" thickBot="1">
      <c r="B248" s="4"/>
      <c r="C248" s="95" t="s">
        <v>0</v>
      </c>
      <c r="D248" s="95"/>
      <c r="E248" s="95"/>
      <c r="F248" s="5"/>
      <c r="G248" s="6"/>
    </row>
    <row r="249" spans="1:7" ht="21" thickTop="1">
      <c r="B249" s="4"/>
      <c r="C249" s="7"/>
      <c r="D249" s="7"/>
      <c r="E249" s="5"/>
      <c r="F249" s="5"/>
      <c r="G249" s="6"/>
    </row>
    <row r="250" spans="1:7">
      <c r="B250" s="8" t="s">
        <v>1</v>
      </c>
      <c r="C250" s="9" t="s">
        <v>97</v>
      </c>
      <c r="D250" s="5"/>
      <c r="E250" s="10" t="s">
        <v>2</v>
      </c>
      <c r="F250" s="9" t="s">
        <v>98</v>
      </c>
      <c r="G250" s="6"/>
    </row>
    <row r="251" spans="1:7" ht="3.75" customHeight="1">
      <c r="A251" s="80"/>
      <c r="B251" s="5"/>
      <c r="C251" s="5"/>
      <c r="D251" s="5"/>
      <c r="E251" s="11"/>
      <c r="F251" s="5"/>
      <c r="G251" s="6"/>
    </row>
    <row r="252" spans="1:7">
      <c r="A252" s="80"/>
      <c r="B252" s="12" t="s">
        <v>3</v>
      </c>
      <c r="C252" s="9" t="s">
        <v>99</v>
      </c>
      <c r="D252" s="5"/>
      <c r="E252" s="10" t="s">
        <v>4</v>
      </c>
      <c r="F252" s="82" t="s">
        <v>100</v>
      </c>
      <c r="G252" s="6"/>
    </row>
    <row r="253" spans="1:7" ht="3.75" customHeight="1">
      <c r="A253" s="80"/>
      <c r="B253" s="5"/>
      <c r="C253" s="5"/>
      <c r="D253" s="5"/>
      <c r="E253" s="11"/>
      <c r="F253" s="5"/>
      <c r="G253" s="6"/>
    </row>
    <row r="254" spans="1:7">
      <c r="A254" s="80"/>
      <c r="B254" s="10" t="s">
        <v>5</v>
      </c>
      <c r="C254" s="9" t="s">
        <v>101</v>
      </c>
      <c r="D254" s="5"/>
      <c r="E254" s="10" t="s">
        <v>6</v>
      </c>
      <c r="F254" s="9" t="s">
        <v>107</v>
      </c>
      <c r="G254" s="6"/>
    </row>
    <row r="255" spans="1:7" ht="4.5" customHeight="1">
      <c r="A255" s="80"/>
      <c r="B255" s="13"/>
      <c r="C255" s="5"/>
      <c r="D255" s="5"/>
      <c r="E255" s="11"/>
      <c r="F255" s="5"/>
      <c r="G255" s="6"/>
    </row>
    <row r="256" spans="1:7">
      <c r="A256" s="80"/>
      <c r="B256" s="10" t="s">
        <v>7</v>
      </c>
      <c r="C256" s="9" t="str">
        <f>C136</f>
        <v>ECPNG MIDDLE SOUTH FLY-BALIMO &amp; FACILITIES</v>
      </c>
      <c r="D256" s="5"/>
      <c r="E256" s="11"/>
      <c r="F256" s="5"/>
      <c r="G256" s="6"/>
    </row>
    <row r="257" spans="1:7" ht="3.75" customHeight="1">
      <c r="A257" s="80"/>
      <c r="B257" s="5"/>
      <c r="C257" s="5"/>
      <c r="D257" s="5"/>
      <c r="E257" s="11"/>
      <c r="F257" s="5"/>
      <c r="G257" s="6"/>
    </row>
    <row r="258" spans="1:7">
      <c r="B258" s="14" t="s">
        <v>8</v>
      </c>
      <c r="C258" s="15" t="str">
        <f>UPPER(TEXT(F258,"mmmm"))</f>
        <v>MARCH</v>
      </c>
      <c r="D258" s="5"/>
      <c r="E258" s="86" t="s">
        <v>109</v>
      </c>
      <c r="F258" s="87">
        <v>45352</v>
      </c>
      <c r="G258" s="6"/>
    </row>
    <row r="259" spans="1:7">
      <c r="B259" s="16" t="s">
        <v>9</v>
      </c>
      <c r="C259" s="17" t="str">
        <f>TEXT(F258,"yyyy")</f>
        <v>2024</v>
      </c>
      <c r="D259" s="5"/>
      <c r="E259" s="88" t="s">
        <v>110</v>
      </c>
      <c r="F259" s="89">
        <v>45382</v>
      </c>
      <c r="G259" s="18"/>
    </row>
    <row r="260" spans="1:7" ht="15.75" thickBot="1">
      <c r="B260" s="4"/>
      <c r="C260" s="19"/>
      <c r="D260" s="19"/>
      <c r="E260" s="20"/>
      <c r="F260" s="21"/>
      <c r="G260" s="18"/>
    </row>
    <row r="261" spans="1:7" ht="18.75" thickBot="1">
      <c r="B261" s="4"/>
      <c r="C261" s="22" t="s">
        <v>10</v>
      </c>
      <c r="D261" s="23"/>
      <c r="E261" s="24"/>
      <c r="F261" s="25" t="s">
        <v>11</v>
      </c>
      <c r="G261" s="18"/>
    </row>
    <row r="262" spans="1:7">
      <c r="B262" s="4"/>
      <c r="C262" s="26" t="s">
        <v>12</v>
      </c>
      <c r="D262" s="26"/>
      <c r="E262" s="27">
        <f>F238</f>
        <v>420499.95981818251</v>
      </c>
      <c r="F262" s="28">
        <f>SUM(E262:E262)</f>
        <v>420499.95981818251</v>
      </c>
      <c r="G262" s="29"/>
    </row>
    <row r="263" spans="1:7">
      <c r="B263" s="30">
        <v>143</v>
      </c>
      <c r="C263" s="31" t="s">
        <v>13</v>
      </c>
      <c r="D263" s="31"/>
      <c r="E263" s="27">
        <v>139902.20000000001</v>
      </c>
      <c r="F263" s="32">
        <f t="shared" ref="F263:F268" si="21">SUM(E263:E263)</f>
        <v>139902.20000000001</v>
      </c>
      <c r="G263" s="33"/>
    </row>
    <row r="264" spans="1:7">
      <c r="B264" s="30"/>
      <c r="C264" s="34" t="s">
        <v>14</v>
      </c>
      <c r="D264" s="34"/>
      <c r="E264" s="27">
        <v>0</v>
      </c>
      <c r="F264" s="32">
        <f t="shared" si="21"/>
        <v>0</v>
      </c>
      <c r="G264" s="33"/>
    </row>
    <row r="265" spans="1:7">
      <c r="B265" s="30"/>
      <c r="C265" s="34" t="s">
        <v>15</v>
      </c>
      <c r="D265" s="34"/>
      <c r="E265" s="27">
        <v>0</v>
      </c>
      <c r="F265" s="32">
        <f t="shared" si="21"/>
        <v>0</v>
      </c>
      <c r="G265" s="33"/>
    </row>
    <row r="266" spans="1:7">
      <c r="B266" s="30"/>
      <c r="C266" s="34" t="s">
        <v>16</v>
      </c>
      <c r="D266" s="34"/>
      <c r="E266" s="27">
        <v>0</v>
      </c>
      <c r="F266" s="32">
        <f t="shared" si="21"/>
        <v>0</v>
      </c>
      <c r="G266" s="33"/>
    </row>
    <row r="267" spans="1:7">
      <c r="B267" s="30"/>
      <c r="C267" s="34" t="s">
        <v>17</v>
      </c>
      <c r="D267" s="34"/>
      <c r="E267" s="27">
        <v>0</v>
      </c>
      <c r="F267" s="32">
        <f t="shared" si="21"/>
        <v>0</v>
      </c>
      <c r="G267" s="33"/>
    </row>
    <row r="268" spans="1:7">
      <c r="B268" s="30"/>
      <c r="C268" s="35" t="s">
        <v>18</v>
      </c>
      <c r="D268" s="35"/>
      <c r="E268" s="36">
        <f>SUM(E262:E267)</f>
        <v>560402.15981818247</v>
      </c>
      <c r="F268" s="37">
        <f t="shared" si="21"/>
        <v>560402.15981818247</v>
      </c>
      <c r="G268" s="38"/>
    </row>
    <row r="269" spans="1:7" ht="15.75" thickBot="1">
      <c r="B269" s="30"/>
      <c r="C269" s="39"/>
      <c r="D269" s="39"/>
      <c r="E269" s="40"/>
      <c r="F269" s="41"/>
      <c r="G269" s="38"/>
    </row>
    <row r="270" spans="1:7" ht="18.75" thickBot="1">
      <c r="B270" s="30"/>
      <c r="C270" s="22" t="s">
        <v>19</v>
      </c>
      <c r="D270" s="23"/>
      <c r="E270" s="42"/>
      <c r="F270" s="43"/>
      <c r="G270" s="38"/>
    </row>
    <row r="271" spans="1:7">
      <c r="B271" s="44">
        <v>121</v>
      </c>
      <c r="C271" s="39" t="s">
        <v>20</v>
      </c>
      <c r="D271" s="39"/>
      <c r="E271" s="45"/>
      <c r="F271" s="46"/>
      <c r="G271" s="47"/>
    </row>
    <row r="272" spans="1:7">
      <c r="B272" s="44"/>
      <c r="C272" s="48" t="s">
        <v>21</v>
      </c>
      <c r="D272" s="48"/>
      <c r="E272" s="49">
        <v>0</v>
      </c>
      <c r="F272" s="50">
        <f>SUM(E272:E272)</f>
        <v>0</v>
      </c>
      <c r="G272" s="47"/>
    </row>
    <row r="273" spans="2:7">
      <c r="B273" s="44"/>
      <c r="C273" s="48" t="s">
        <v>22</v>
      </c>
      <c r="D273" s="48"/>
      <c r="E273" s="49">
        <v>0</v>
      </c>
      <c r="F273" s="50">
        <f>SUM(E273:E273)</f>
        <v>0</v>
      </c>
      <c r="G273" s="47"/>
    </row>
    <row r="274" spans="2:7">
      <c r="B274" s="51"/>
      <c r="C274" s="48" t="s">
        <v>23</v>
      </c>
      <c r="D274" s="48"/>
      <c r="E274" s="49">
        <v>0</v>
      </c>
      <c r="F274" s="50">
        <f>SUM(E274:E274)</f>
        <v>0</v>
      </c>
      <c r="G274" s="52"/>
    </row>
    <row r="275" spans="2:7">
      <c r="B275" s="51"/>
      <c r="C275" s="48" t="s">
        <v>24</v>
      </c>
      <c r="D275" s="48"/>
      <c r="E275" s="49">
        <v>24872.256000000001</v>
      </c>
      <c r="F275" s="50">
        <f>SUM(E275:E275)</f>
        <v>24872.256000000001</v>
      </c>
      <c r="G275" s="52"/>
    </row>
    <row r="276" spans="2:7">
      <c r="B276" s="44"/>
      <c r="C276" s="48" t="s">
        <v>25</v>
      </c>
      <c r="D276" s="48"/>
      <c r="E276" s="49">
        <v>0</v>
      </c>
      <c r="F276" s="50">
        <f>SUM(E276:E276)</f>
        <v>0</v>
      </c>
      <c r="G276" s="52"/>
    </row>
    <row r="277" spans="2:7">
      <c r="B277" s="44"/>
      <c r="C277" s="53" t="s">
        <v>26</v>
      </c>
      <c r="D277" s="53"/>
      <c r="E277" s="36">
        <f>SUM(E272:E276)</f>
        <v>24872.256000000001</v>
      </c>
      <c r="F277" s="54">
        <f>SUM(F272:F276)</f>
        <v>24872.256000000001</v>
      </c>
      <c r="G277" s="52"/>
    </row>
    <row r="278" spans="2:7">
      <c r="B278" s="44">
        <v>122</v>
      </c>
      <c r="C278" s="39" t="s">
        <v>27</v>
      </c>
      <c r="D278" s="39"/>
      <c r="E278" s="36"/>
      <c r="F278" s="50"/>
      <c r="G278" s="55"/>
    </row>
    <row r="279" spans="2:7">
      <c r="B279" s="44"/>
      <c r="C279" s="48" t="s">
        <v>28</v>
      </c>
      <c r="D279" s="48"/>
      <c r="E279" s="49">
        <v>0</v>
      </c>
      <c r="F279" s="50">
        <f t="shared" ref="F279:F287" si="22">SUM(E279:E279)</f>
        <v>0</v>
      </c>
      <c r="G279" s="52"/>
    </row>
    <row r="280" spans="2:7">
      <c r="B280" s="44"/>
      <c r="C280" s="48" t="s">
        <v>29</v>
      </c>
      <c r="D280" s="48"/>
      <c r="E280" s="49">
        <v>0</v>
      </c>
      <c r="F280" s="50">
        <f t="shared" si="22"/>
        <v>0</v>
      </c>
      <c r="G280" s="52"/>
    </row>
    <row r="281" spans="2:7">
      <c r="B281" s="44"/>
      <c r="C281" s="48" t="s">
        <v>30</v>
      </c>
      <c r="D281" s="48"/>
      <c r="E281" s="49">
        <v>0</v>
      </c>
      <c r="F281" s="50">
        <f t="shared" si="22"/>
        <v>0</v>
      </c>
      <c r="G281" s="52"/>
    </row>
    <row r="282" spans="2:7">
      <c r="B282" s="44"/>
      <c r="C282" s="48" t="s">
        <v>31</v>
      </c>
      <c r="D282" s="48"/>
      <c r="E282" s="49">
        <v>0</v>
      </c>
      <c r="F282" s="50">
        <f t="shared" si="22"/>
        <v>0</v>
      </c>
      <c r="G282" s="52"/>
    </row>
    <row r="283" spans="2:7">
      <c r="B283" s="44"/>
      <c r="C283" s="48" t="s">
        <v>32</v>
      </c>
      <c r="D283" s="48"/>
      <c r="E283" s="49">
        <v>8290.7520000000004</v>
      </c>
      <c r="F283" s="50">
        <f t="shared" si="22"/>
        <v>8290.7520000000004</v>
      </c>
      <c r="G283" s="52"/>
    </row>
    <row r="284" spans="2:7">
      <c r="B284" s="44"/>
      <c r="C284" s="48" t="s">
        <v>33</v>
      </c>
      <c r="D284" s="48"/>
      <c r="E284" s="49">
        <v>0</v>
      </c>
      <c r="F284" s="50">
        <f t="shared" si="22"/>
        <v>0</v>
      </c>
      <c r="G284" s="52"/>
    </row>
    <row r="285" spans="2:7">
      <c r="B285" s="44"/>
      <c r="C285" s="48" t="s">
        <v>34</v>
      </c>
      <c r="D285" s="48"/>
      <c r="E285" s="49">
        <v>0</v>
      </c>
      <c r="F285" s="50">
        <f t="shared" si="22"/>
        <v>0</v>
      </c>
      <c r="G285" s="52"/>
    </row>
    <row r="286" spans="2:7">
      <c r="B286" s="44"/>
      <c r="C286" s="48" t="s">
        <v>35</v>
      </c>
      <c r="D286" s="48"/>
      <c r="E286" s="49">
        <v>0</v>
      </c>
      <c r="F286" s="50">
        <f t="shared" si="22"/>
        <v>0</v>
      </c>
      <c r="G286" s="52"/>
    </row>
    <row r="287" spans="2:7">
      <c r="B287" s="44"/>
      <c r="C287" s="53" t="s">
        <v>26</v>
      </c>
      <c r="D287" s="53"/>
      <c r="E287" s="36">
        <f>SUM(E279:E286)</f>
        <v>8290.7520000000004</v>
      </c>
      <c r="F287" s="54">
        <f t="shared" si="22"/>
        <v>8290.7520000000004</v>
      </c>
      <c r="G287" s="52"/>
    </row>
    <row r="288" spans="2:7">
      <c r="B288" s="44">
        <v>123</v>
      </c>
      <c r="C288" s="39" t="s">
        <v>36</v>
      </c>
      <c r="D288" s="39"/>
      <c r="E288" s="56"/>
      <c r="F288" s="57"/>
      <c r="G288" s="52"/>
    </row>
    <row r="289" spans="2:7">
      <c r="B289" s="44"/>
      <c r="C289" s="48" t="s">
        <v>37</v>
      </c>
      <c r="D289" s="48"/>
      <c r="E289" s="49">
        <v>6783.3425454545386</v>
      </c>
      <c r="F289" s="50">
        <f t="shared" ref="F289:F295" si="23">SUM(E289:E289)</f>
        <v>6783.3425454545386</v>
      </c>
      <c r="G289" s="52"/>
    </row>
    <row r="290" spans="2:7">
      <c r="B290" s="44"/>
      <c r="C290" s="48" t="s">
        <v>38</v>
      </c>
      <c r="D290" s="48"/>
      <c r="E290" s="49">
        <v>55774.149818181766</v>
      </c>
      <c r="F290" s="50">
        <f t="shared" si="23"/>
        <v>55774.149818181766</v>
      </c>
      <c r="G290" s="52"/>
    </row>
    <row r="291" spans="2:7">
      <c r="B291" s="44"/>
      <c r="C291" s="48" t="s">
        <v>39</v>
      </c>
      <c r="D291" s="48"/>
      <c r="E291" s="49">
        <v>6783.3425454545386</v>
      </c>
      <c r="F291" s="50">
        <f t="shared" si="23"/>
        <v>6783.3425454545386</v>
      </c>
      <c r="G291" s="52"/>
    </row>
    <row r="292" spans="2:7">
      <c r="B292" s="44"/>
      <c r="C292" s="48" t="s">
        <v>40</v>
      </c>
      <c r="D292" s="48"/>
      <c r="E292" s="49">
        <v>0</v>
      </c>
      <c r="F292" s="50">
        <f t="shared" si="23"/>
        <v>0</v>
      </c>
      <c r="G292" s="52"/>
    </row>
    <row r="293" spans="2:7">
      <c r="B293" s="44"/>
      <c r="C293" s="48" t="s">
        <v>41</v>
      </c>
      <c r="D293" s="48"/>
      <c r="E293" s="49">
        <v>0</v>
      </c>
      <c r="F293" s="50">
        <f t="shared" si="23"/>
        <v>0</v>
      </c>
      <c r="G293" s="52"/>
    </row>
    <row r="294" spans="2:7">
      <c r="B294" s="44"/>
      <c r="C294" s="48" t="s">
        <v>42</v>
      </c>
      <c r="D294" s="48"/>
      <c r="E294" s="49">
        <v>13566.685090909077</v>
      </c>
      <c r="F294" s="50">
        <f t="shared" si="23"/>
        <v>13566.685090909077</v>
      </c>
      <c r="G294" s="52"/>
    </row>
    <row r="295" spans="2:7">
      <c r="B295" s="44"/>
      <c r="C295" s="53" t="s">
        <v>26</v>
      </c>
      <c r="D295" s="53"/>
      <c r="E295" s="36">
        <f>SUM(E289:E294)</f>
        <v>82907.519999999917</v>
      </c>
      <c r="F295" s="54">
        <f t="shared" si="23"/>
        <v>82907.519999999917</v>
      </c>
      <c r="G295" s="52"/>
    </row>
    <row r="296" spans="2:7">
      <c r="B296" s="44">
        <v>124</v>
      </c>
      <c r="C296" s="39" t="s">
        <v>43</v>
      </c>
      <c r="D296" s="39"/>
      <c r="E296" s="56"/>
      <c r="F296" s="57"/>
      <c r="G296" s="52"/>
    </row>
    <row r="297" spans="2:7">
      <c r="B297" s="44"/>
      <c r="C297" s="48" t="s">
        <v>44</v>
      </c>
      <c r="D297" s="48"/>
      <c r="E297" s="49">
        <v>0</v>
      </c>
      <c r="F297" s="50">
        <f>SUM(E297:E297)</f>
        <v>0</v>
      </c>
      <c r="G297" s="52"/>
    </row>
    <row r="298" spans="2:7">
      <c r="B298" s="44"/>
      <c r="C298" s="48" t="s">
        <v>45</v>
      </c>
      <c r="D298" s="48"/>
      <c r="E298" s="49">
        <v>64253.327999999994</v>
      </c>
      <c r="F298" s="50">
        <f>SUM(E298:E298)</f>
        <v>64253.327999999994</v>
      </c>
      <c r="G298" s="52"/>
    </row>
    <row r="299" spans="2:7">
      <c r="B299" s="44"/>
      <c r="C299" s="48" t="s">
        <v>46</v>
      </c>
      <c r="D299" s="48"/>
      <c r="E299" s="49">
        <v>0</v>
      </c>
      <c r="F299" s="50">
        <f>SUM(E299:E299)</f>
        <v>0</v>
      </c>
      <c r="G299" s="52"/>
    </row>
    <row r="300" spans="2:7">
      <c r="B300" s="44"/>
      <c r="C300" s="53" t="s">
        <v>26</v>
      </c>
      <c r="D300" s="53"/>
      <c r="E300" s="36">
        <f>SUM(E297:E299)</f>
        <v>64253.327999999994</v>
      </c>
      <c r="F300" s="54">
        <f>SUM(E300:E300)</f>
        <v>64253.327999999994</v>
      </c>
      <c r="G300" s="52"/>
    </row>
    <row r="301" spans="2:7">
      <c r="B301" s="44">
        <v>125</v>
      </c>
      <c r="C301" s="39" t="s">
        <v>47</v>
      </c>
      <c r="D301" s="39"/>
      <c r="E301" s="36"/>
      <c r="F301" s="50"/>
      <c r="G301" s="52"/>
    </row>
    <row r="302" spans="2:7">
      <c r="B302" s="44"/>
      <c r="C302" s="48" t="s">
        <v>48</v>
      </c>
      <c r="D302" s="48"/>
      <c r="E302" s="58">
        <v>0</v>
      </c>
      <c r="F302" s="50">
        <f>SUM(E302:E302)</f>
        <v>0</v>
      </c>
      <c r="G302" s="52"/>
    </row>
    <row r="303" spans="2:7">
      <c r="B303" s="44"/>
      <c r="C303" s="48" t="s">
        <v>49</v>
      </c>
      <c r="D303" s="48"/>
      <c r="E303" s="58">
        <v>0</v>
      </c>
      <c r="F303" s="50">
        <f>SUM(E303:E303)</f>
        <v>0</v>
      </c>
      <c r="G303" s="52"/>
    </row>
    <row r="304" spans="2:7">
      <c r="B304" s="44"/>
      <c r="C304" s="48" t="s">
        <v>50</v>
      </c>
      <c r="D304" s="48"/>
      <c r="E304" s="58">
        <v>26944.944000000003</v>
      </c>
      <c r="F304" s="50">
        <f>SUM(E304:E304)</f>
        <v>26944.944000000003</v>
      </c>
      <c r="G304" s="52"/>
    </row>
    <row r="305" spans="2:7">
      <c r="B305" s="44"/>
      <c r="C305" s="48" t="s">
        <v>51</v>
      </c>
      <c r="D305" s="48"/>
      <c r="E305" s="58">
        <v>0</v>
      </c>
      <c r="F305" s="50">
        <f>SUM(E305:E305)</f>
        <v>0</v>
      </c>
      <c r="G305" s="52"/>
    </row>
    <row r="306" spans="2:7">
      <c r="B306" s="44"/>
      <c r="C306" s="53" t="s">
        <v>26</v>
      </c>
      <c r="D306" s="53"/>
      <c r="E306" s="56">
        <f>SUM(E302:E305)</f>
        <v>26944.944000000003</v>
      </c>
      <c r="F306" s="54">
        <f t="shared" ref="F306" si="24">SUM(F302:F305)</f>
        <v>26944.944000000003</v>
      </c>
      <c r="G306" s="52"/>
    </row>
    <row r="307" spans="2:7">
      <c r="B307" s="44">
        <v>126</v>
      </c>
      <c r="C307" s="39" t="s">
        <v>52</v>
      </c>
      <c r="D307" s="39"/>
      <c r="E307" s="56"/>
      <c r="F307" s="50"/>
      <c r="G307" s="52"/>
    </row>
    <row r="308" spans="2:7">
      <c r="B308" s="44"/>
      <c r="C308" s="48" t="s">
        <v>53</v>
      </c>
      <c r="D308" s="48"/>
      <c r="E308" s="49">
        <v>0</v>
      </c>
      <c r="F308" s="50">
        <f>SUM(E308:E308)</f>
        <v>0</v>
      </c>
      <c r="G308" s="52"/>
    </row>
    <row r="309" spans="2:7">
      <c r="B309" s="44"/>
      <c r="C309" s="48" t="s">
        <v>54</v>
      </c>
      <c r="D309" s="48"/>
      <c r="E309" s="49">
        <v>0</v>
      </c>
      <c r="F309" s="50"/>
      <c r="G309" s="52"/>
    </row>
    <row r="310" spans="2:7">
      <c r="B310" s="44"/>
      <c r="C310" s="48" t="s">
        <v>55</v>
      </c>
      <c r="D310" s="48"/>
      <c r="E310" s="49">
        <v>0</v>
      </c>
      <c r="F310" s="50"/>
      <c r="G310" s="52"/>
    </row>
    <row r="311" spans="2:7">
      <c r="B311" s="44"/>
      <c r="C311" s="48" t="s">
        <v>56</v>
      </c>
      <c r="D311" s="48"/>
      <c r="E311" s="49">
        <v>0</v>
      </c>
      <c r="F311" s="57"/>
      <c r="G311" s="52"/>
    </row>
    <row r="312" spans="2:7">
      <c r="B312" s="44"/>
      <c r="C312" s="53" t="s">
        <v>26</v>
      </c>
      <c r="D312" s="53"/>
      <c r="E312" s="56">
        <f>SUM(E308:E311)</f>
        <v>0</v>
      </c>
      <c r="F312" s="54">
        <f t="shared" ref="F312" si="25">SUM(F308:F311)</f>
        <v>0</v>
      </c>
      <c r="G312" s="52"/>
    </row>
    <row r="313" spans="2:7">
      <c r="B313" s="44">
        <v>127</v>
      </c>
      <c r="C313" s="39" t="s">
        <v>57</v>
      </c>
      <c r="D313" s="39"/>
      <c r="E313" s="56"/>
      <c r="F313" s="54"/>
      <c r="G313" s="52"/>
    </row>
    <row r="314" spans="2:7">
      <c r="B314" s="44"/>
      <c r="C314" s="48" t="s">
        <v>58</v>
      </c>
      <c r="D314" s="48"/>
      <c r="E314" s="49">
        <v>0</v>
      </c>
      <c r="F314" s="50">
        <f>SUM(E314:E314)</f>
        <v>0</v>
      </c>
      <c r="G314" s="52"/>
    </row>
    <row r="315" spans="2:7">
      <c r="B315" s="44"/>
      <c r="C315" s="48" t="s">
        <v>59</v>
      </c>
      <c r="D315" s="48"/>
      <c r="E315" s="49">
        <v>0</v>
      </c>
      <c r="F315" s="50">
        <f>SUM(E315:E315)</f>
        <v>0</v>
      </c>
      <c r="G315" s="52"/>
    </row>
    <row r="316" spans="2:7">
      <c r="B316" s="44"/>
      <c r="C316" s="48" t="s">
        <v>60</v>
      </c>
      <c r="D316" s="48"/>
      <c r="E316" s="49">
        <v>0</v>
      </c>
      <c r="F316" s="50">
        <f>SUM(E316:E316)</f>
        <v>0</v>
      </c>
      <c r="G316" s="52"/>
    </row>
    <row r="317" spans="2:7">
      <c r="B317" s="44"/>
      <c r="C317" s="59" t="s">
        <v>61</v>
      </c>
      <c r="D317" s="59"/>
      <c r="E317" s="49">
        <v>0</v>
      </c>
      <c r="F317" s="50">
        <f>SUM(E317:E317)</f>
        <v>0</v>
      </c>
      <c r="G317" s="52"/>
    </row>
    <row r="318" spans="2:7">
      <c r="B318" s="44"/>
      <c r="C318" s="53" t="s">
        <v>26</v>
      </c>
      <c r="D318" s="53"/>
      <c r="E318" s="56">
        <f>SUM(E314:E317)</f>
        <v>0</v>
      </c>
      <c r="F318" s="54">
        <f>SUM(E318:E318)</f>
        <v>0</v>
      </c>
      <c r="G318" s="52"/>
    </row>
    <row r="319" spans="2:7">
      <c r="B319" s="44">
        <v>128</v>
      </c>
      <c r="C319" s="39" t="s">
        <v>62</v>
      </c>
      <c r="D319" s="39"/>
      <c r="E319" s="56"/>
      <c r="F319" s="54"/>
      <c r="G319" s="52"/>
    </row>
    <row r="320" spans="2:7">
      <c r="B320" s="44"/>
      <c r="C320" s="48" t="s">
        <v>63</v>
      </c>
      <c r="D320" s="48"/>
      <c r="E320" s="49">
        <v>0</v>
      </c>
      <c r="F320" s="50">
        <f t="shared" ref="F320:F325" si="26">SUM(E320:E320)</f>
        <v>0</v>
      </c>
      <c r="G320" s="52"/>
    </row>
    <row r="321" spans="2:7">
      <c r="B321" s="44"/>
      <c r="C321" s="48" t="s">
        <v>64</v>
      </c>
      <c r="D321" s="48"/>
      <c r="E321" s="49">
        <v>0</v>
      </c>
      <c r="F321" s="50">
        <f t="shared" si="26"/>
        <v>0</v>
      </c>
      <c r="G321" s="52"/>
    </row>
    <row r="322" spans="2:7">
      <c r="B322" s="44"/>
      <c r="C322" s="48" t="s">
        <v>65</v>
      </c>
      <c r="D322" s="48"/>
      <c r="E322" s="49">
        <v>0</v>
      </c>
      <c r="F322" s="50">
        <f t="shared" si="26"/>
        <v>0</v>
      </c>
      <c r="G322" s="52"/>
    </row>
    <row r="323" spans="2:7">
      <c r="B323" s="44"/>
      <c r="C323" s="48" t="s">
        <v>66</v>
      </c>
      <c r="D323" s="48"/>
      <c r="E323" s="49">
        <v>0</v>
      </c>
      <c r="F323" s="50">
        <f t="shared" si="26"/>
        <v>0</v>
      </c>
      <c r="G323" s="52"/>
    </row>
    <row r="324" spans="2:7">
      <c r="B324" s="44"/>
      <c r="C324" s="48" t="s">
        <v>67</v>
      </c>
      <c r="D324" s="48"/>
      <c r="E324" s="49">
        <v>0</v>
      </c>
      <c r="F324" s="50">
        <f t="shared" si="26"/>
        <v>0</v>
      </c>
      <c r="G324" s="52"/>
    </row>
    <row r="325" spans="2:7">
      <c r="B325" s="44"/>
      <c r="C325" s="53" t="s">
        <v>26</v>
      </c>
      <c r="D325" s="53"/>
      <c r="E325" s="56">
        <f>SUM(E320:E324)</f>
        <v>0</v>
      </c>
      <c r="F325" s="54">
        <f t="shared" si="26"/>
        <v>0</v>
      </c>
      <c r="G325" s="52"/>
    </row>
    <row r="326" spans="2:7">
      <c r="B326" s="44">
        <v>135</v>
      </c>
      <c r="C326" s="39" t="s">
        <v>68</v>
      </c>
      <c r="D326" s="39"/>
      <c r="E326" s="56"/>
      <c r="F326" s="50"/>
      <c r="G326" s="52"/>
    </row>
    <row r="327" spans="2:7">
      <c r="B327" s="44"/>
      <c r="C327" s="48" t="s">
        <v>69</v>
      </c>
      <c r="D327" s="48"/>
      <c r="E327" s="49">
        <v>0</v>
      </c>
      <c r="F327" s="50">
        <f t="shared" ref="F327:F336" si="27">SUM(E327:E327)</f>
        <v>0</v>
      </c>
      <c r="G327" s="52"/>
    </row>
    <row r="328" spans="2:7">
      <c r="B328" s="44"/>
      <c r="C328" s="48" t="s">
        <v>70</v>
      </c>
      <c r="D328" s="48"/>
      <c r="E328" s="49">
        <v>0</v>
      </c>
      <c r="F328" s="50">
        <f t="shared" si="27"/>
        <v>0</v>
      </c>
      <c r="G328" s="52"/>
    </row>
    <row r="329" spans="2:7">
      <c r="B329" s="44"/>
      <c r="C329" s="48" t="s">
        <v>71</v>
      </c>
      <c r="D329" s="48"/>
      <c r="E329" s="49">
        <v>0</v>
      </c>
      <c r="F329" s="50">
        <f t="shared" si="27"/>
        <v>0</v>
      </c>
      <c r="G329" s="52"/>
    </row>
    <row r="330" spans="2:7">
      <c r="B330" s="44"/>
      <c r="C330" s="48" t="s">
        <v>72</v>
      </c>
      <c r="D330" s="48"/>
      <c r="E330" s="49">
        <v>0</v>
      </c>
      <c r="F330" s="50">
        <f t="shared" si="27"/>
        <v>0</v>
      </c>
      <c r="G330" s="52"/>
    </row>
    <row r="331" spans="2:7">
      <c r="B331" s="44"/>
      <c r="C331" s="48" t="s">
        <v>73</v>
      </c>
      <c r="D331" s="48"/>
      <c r="E331" s="49">
        <v>0</v>
      </c>
      <c r="F331" s="50">
        <f t="shared" si="27"/>
        <v>0</v>
      </c>
      <c r="G331" s="52"/>
    </row>
    <row r="332" spans="2:7">
      <c r="B332" s="44"/>
      <c r="C332" s="48" t="s">
        <v>74</v>
      </c>
      <c r="D332" s="48"/>
      <c r="E332" s="49">
        <v>0</v>
      </c>
      <c r="F332" s="50">
        <f t="shared" si="27"/>
        <v>0</v>
      </c>
      <c r="G332" s="52"/>
    </row>
    <row r="333" spans="2:7">
      <c r="B333" s="44"/>
      <c r="C333" s="48" t="s">
        <v>75</v>
      </c>
      <c r="D333" s="48"/>
      <c r="E333" s="49">
        <v>0</v>
      </c>
      <c r="F333" s="50">
        <f t="shared" si="27"/>
        <v>0</v>
      </c>
      <c r="G333" s="52"/>
    </row>
    <row r="334" spans="2:7">
      <c r="B334" s="44"/>
      <c r="C334" s="48" t="s">
        <v>76</v>
      </c>
      <c r="D334" s="48"/>
      <c r="E334" s="49">
        <v>0</v>
      </c>
      <c r="F334" s="50">
        <f t="shared" si="27"/>
        <v>0</v>
      </c>
      <c r="G334" s="52"/>
    </row>
    <row r="335" spans="2:7">
      <c r="B335" s="44"/>
      <c r="C335" s="48" t="s">
        <v>77</v>
      </c>
      <c r="D335" s="48"/>
      <c r="E335" s="49">
        <v>0</v>
      </c>
      <c r="F335" s="50">
        <f t="shared" si="27"/>
        <v>0</v>
      </c>
      <c r="G335" s="52"/>
    </row>
    <row r="336" spans="2:7">
      <c r="B336" s="44"/>
      <c r="C336" s="53" t="s">
        <v>26</v>
      </c>
      <c r="D336" s="53"/>
      <c r="E336" s="56">
        <f>SUM(E327:E335)</f>
        <v>0</v>
      </c>
      <c r="F336" s="54">
        <f t="shared" si="27"/>
        <v>0</v>
      </c>
      <c r="G336" s="52"/>
    </row>
    <row r="337" spans="2:7">
      <c r="B337" s="44">
        <v>136</v>
      </c>
      <c r="C337" s="39" t="s">
        <v>78</v>
      </c>
      <c r="D337" s="39"/>
      <c r="E337" s="56"/>
      <c r="F337" s="50"/>
      <c r="G337" s="52"/>
    </row>
    <row r="338" spans="2:7">
      <c r="B338" s="44"/>
      <c r="C338" s="48" t="s">
        <v>79</v>
      </c>
      <c r="D338" s="48"/>
      <c r="E338" s="49">
        <v>0</v>
      </c>
      <c r="F338" s="50">
        <f t="shared" ref="F338:F344" si="28">SUM(E338:E338)</f>
        <v>0</v>
      </c>
      <c r="G338" s="52"/>
    </row>
    <row r="339" spans="2:7">
      <c r="B339" s="44"/>
      <c r="C339" s="48" t="s">
        <v>80</v>
      </c>
      <c r="D339" s="48"/>
      <c r="E339" s="49">
        <v>0</v>
      </c>
      <c r="F339" s="50">
        <f t="shared" si="28"/>
        <v>0</v>
      </c>
      <c r="G339" s="52"/>
    </row>
    <row r="340" spans="2:7">
      <c r="B340" s="44"/>
      <c r="C340" s="48" t="s">
        <v>81</v>
      </c>
      <c r="D340" s="48"/>
      <c r="E340" s="49">
        <v>0</v>
      </c>
      <c r="F340" s="50">
        <f t="shared" si="28"/>
        <v>0</v>
      </c>
      <c r="G340" s="52"/>
    </row>
    <row r="341" spans="2:7">
      <c r="B341" s="44"/>
      <c r="C341" s="48" t="s">
        <v>82</v>
      </c>
      <c r="D341" s="48"/>
      <c r="E341" s="49">
        <v>0</v>
      </c>
      <c r="F341" s="50">
        <f t="shared" si="28"/>
        <v>0</v>
      </c>
      <c r="G341" s="52"/>
    </row>
    <row r="342" spans="2:7">
      <c r="B342" s="44"/>
      <c r="C342" s="48" t="s">
        <v>83</v>
      </c>
      <c r="D342" s="48"/>
      <c r="E342" s="49">
        <v>0</v>
      </c>
      <c r="F342" s="50">
        <f t="shared" si="28"/>
        <v>0</v>
      </c>
      <c r="G342" s="52"/>
    </row>
    <row r="343" spans="2:7">
      <c r="B343" s="44"/>
      <c r="C343" s="48" t="s">
        <v>84</v>
      </c>
      <c r="D343" s="48"/>
      <c r="E343" s="49">
        <v>0</v>
      </c>
      <c r="F343" s="50">
        <f t="shared" si="28"/>
        <v>0</v>
      </c>
      <c r="G343" s="52"/>
    </row>
    <row r="344" spans="2:7">
      <c r="B344" s="44"/>
      <c r="C344" s="53" t="s">
        <v>26</v>
      </c>
      <c r="D344" s="53"/>
      <c r="E344" s="56">
        <f>SUM(E338:E343)</f>
        <v>0</v>
      </c>
      <c r="F344" s="54">
        <f t="shared" si="28"/>
        <v>0</v>
      </c>
      <c r="G344" s="52"/>
    </row>
    <row r="345" spans="2:7">
      <c r="B345" s="44">
        <v>142</v>
      </c>
      <c r="C345" s="39" t="s">
        <v>85</v>
      </c>
      <c r="D345" s="39"/>
      <c r="E345" s="56"/>
      <c r="F345" s="50"/>
      <c r="G345" s="52"/>
    </row>
    <row r="346" spans="2:7">
      <c r="B346" s="44"/>
      <c r="C346" s="48" t="s">
        <v>86</v>
      </c>
      <c r="D346" s="48"/>
      <c r="E346" s="49">
        <v>0</v>
      </c>
      <c r="F346" s="50">
        <f t="shared" ref="F346:F355" si="29">SUM(E346:E346)</f>
        <v>0</v>
      </c>
      <c r="G346" s="52"/>
    </row>
    <row r="347" spans="2:7">
      <c r="B347" s="44"/>
      <c r="C347" s="48" t="s">
        <v>87</v>
      </c>
      <c r="D347" s="48"/>
      <c r="E347" s="49">
        <v>0</v>
      </c>
      <c r="F347" s="50">
        <f t="shared" si="29"/>
        <v>0</v>
      </c>
      <c r="G347" s="52"/>
    </row>
    <row r="348" spans="2:7">
      <c r="B348" s="44"/>
      <c r="C348" s="53" t="s">
        <v>26</v>
      </c>
      <c r="D348" s="53"/>
      <c r="E348" s="56">
        <f>SUM(E346:E347)</f>
        <v>0</v>
      </c>
      <c r="F348" s="54">
        <f t="shared" si="29"/>
        <v>0</v>
      </c>
      <c r="G348" s="52"/>
    </row>
    <row r="349" spans="2:7">
      <c r="B349" s="44">
        <v>144</v>
      </c>
      <c r="C349" s="39" t="s">
        <v>88</v>
      </c>
      <c r="D349" s="39"/>
      <c r="E349" s="49">
        <v>0</v>
      </c>
      <c r="F349" s="54">
        <f t="shared" si="29"/>
        <v>0</v>
      </c>
      <c r="G349" s="52"/>
    </row>
    <row r="350" spans="2:7">
      <c r="B350" s="44">
        <v>221</v>
      </c>
      <c r="C350" s="39" t="s">
        <v>89</v>
      </c>
      <c r="D350" s="39"/>
      <c r="E350" s="49">
        <v>0</v>
      </c>
      <c r="F350" s="54">
        <f t="shared" si="29"/>
        <v>0</v>
      </c>
      <c r="G350" s="52"/>
    </row>
    <row r="351" spans="2:7">
      <c r="B351" s="44">
        <v>222</v>
      </c>
      <c r="C351" s="39" t="s">
        <v>90</v>
      </c>
      <c r="D351" s="39"/>
      <c r="E351" s="49">
        <v>0</v>
      </c>
      <c r="F351" s="54">
        <f t="shared" si="29"/>
        <v>0</v>
      </c>
      <c r="G351" s="52"/>
    </row>
    <row r="352" spans="2:7">
      <c r="B352" s="44">
        <v>224</v>
      </c>
      <c r="C352" s="39" t="s">
        <v>91</v>
      </c>
      <c r="D352" s="39"/>
      <c r="E352" s="49">
        <v>0</v>
      </c>
      <c r="F352" s="54">
        <f t="shared" si="29"/>
        <v>0</v>
      </c>
      <c r="G352" s="52"/>
    </row>
    <row r="353" spans="2:7">
      <c r="B353" s="44">
        <v>225</v>
      </c>
      <c r="C353" s="39" t="s">
        <v>92</v>
      </c>
      <c r="D353" s="39"/>
      <c r="E353" s="49">
        <v>0</v>
      </c>
      <c r="F353" s="54">
        <f t="shared" si="29"/>
        <v>0</v>
      </c>
      <c r="G353" s="38"/>
    </row>
    <row r="354" spans="2:7">
      <c r="B354" s="44">
        <v>226</v>
      </c>
      <c r="C354" s="39" t="s">
        <v>93</v>
      </c>
      <c r="D354" s="39"/>
      <c r="E354" s="49">
        <v>0</v>
      </c>
      <c r="F354" s="54">
        <f t="shared" si="29"/>
        <v>0</v>
      </c>
      <c r="G354" s="60"/>
    </row>
    <row r="355" spans="2:7" ht="15.75" thickBot="1">
      <c r="B355" s="61"/>
      <c r="C355" s="62" t="s">
        <v>94</v>
      </c>
      <c r="D355" s="62"/>
      <c r="E355" s="94">
        <v>0</v>
      </c>
      <c r="F355" s="63">
        <f t="shared" si="29"/>
        <v>0</v>
      </c>
      <c r="G355" s="38"/>
    </row>
    <row r="356" spans="2:7">
      <c r="B356" s="64"/>
      <c r="C356" s="65" t="s">
        <v>95</v>
      </c>
      <c r="D356" s="66"/>
      <c r="E356" s="67">
        <f>SUM(E277+E287+E295+E300+E306+E312+E318+E325+E336+E344+E348+E349+E350+E351+E352+E353+E354+E355)</f>
        <v>207268.79999999993</v>
      </c>
      <c r="F356" s="68">
        <f t="shared" ref="F356" si="30">SUM(F277+F287+F295+F300+F306+F312+F318+F325+F336+F344+F348+F349+F350+F351+F352+F353+F354+F355)</f>
        <v>207268.79999999993</v>
      </c>
      <c r="G356" s="69"/>
    </row>
    <row r="357" spans="2:7" ht="15.75" thickBot="1">
      <c r="B357" s="64"/>
      <c r="C357" s="70"/>
      <c r="D357" s="71"/>
      <c r="E357" s="72"/>
      <c r="F357" s="73"/>
      <c r="G357" s="69"/>
    </row>
    <row r="358" spans="2:7" ht="15.75" thickBot="1">
      <c r="B358" s="64"/>
      <c r="C358" s="70" t="s">
        <v>96</v>
      </c>
      <c r="D358" s="71"/>
      <c r="E358" s="74">
        <f>E268-E356</f>
        <v>353133.35981818254</v>
      </c>
      <c r="F358" s="75">
        <f t="shared" ref="F358" si="31">F268-F356</f>
        <v>353133.35981818254</v>
      </c>
      <c r="G358" s="76"/>
    </row>
    <row r="359" spans="2:7" ht="8.25" customHeight="1" thickBot="1">
      <c r="B359" s="77"/>
      <c r="C359" s="81"/>
      <c r="D359" s="81"/>
      <c r="E359" s="78"/>
      <c r="F359" s="78"/>
      <c r="G359" s="79"/>
    </row>
    <row r="360" spans="2:7">
      <c r="B360" s="85"/>
      <c r="C360" s="84"/>
      <c r="D360" s="84"/>
      <c r="E360" s="85"/>
      <c r="F360" s="85"/>
      <c r="G360" s="85"/>
    </row>
  </sheetData>
  <mergeCells count="3">
    <mergeCell ref="C8:E8"/>
    <mergeCell ref="C128:E128"/>
    <mergeCell ref="C248:E248"/>
  </mergeCells>
  <dataValidations count="1">
    <dataValidation type="list" allowBlank="1" showInputMessage="1" showErrorMessage="1" sqref="C136 C16 C256" xr:uid="{709FD4DE-10A7-4002-8AB4-BB6D2E7ECD1D}">
      <formula1>FacList</formula1>
    </dataValidation>
  </dataValidations>
  <hyperlinks>
    <hyperlink ref="F12" r:id="rId1" xr:uid="{49CD9466-BEE3-4248-958B-AE6AF354DCC5}"/>
    <hyperlink ref="F132" r:id="rId2" xr:uid="{1860E89A-3F79-4DDD-A2FF-39830EEDE45B}"/>
    <hyperlink ref="F252" r:id="rId3" xr:uid="{7762C726-AB80-4EC5-88F5-4669A1E3494D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EDE98-F1C7-4E96-B6F5-7059CF326955}">
  <dimension ref="A1:G360"/>
  <sheetViews>
    <sheetView zoomScale="90" zoomScaleNormal="90" workbookViewId="0">
      <selection sqref="A1:XFD1048576"/>
    </sheetView>
  </sheetViews>
  <sheetFormatPr defaultColWidth="8.85546875" defaultRowHeight="15"/>
  <cols>
    <col min="1" max="1" width="1.140625" customWidth="1"/>
    <col min="2" max="2" width="27.42578125" customWidth="1"/>
    <col min="3" max="3" width="42.7109375" bestFit="1" customWidth="1"/>
    <col min="4" max="4" width="4" customWidth="1"/>
    <col min="5" max="5" width="25.42578125" customWidth="1"/>
    <col min="6" max="6" width="27.42578125" customWidth="1"/>
    <col min="7" max="7" width="4.7109375" customWidth="1"/>
  </cols>
  <sheetData>
    <row r="1" spans="1:7" ht="6" customHeight="1" thickBot="1"/>
    <row r="2" spans="1:7">
      <c r="B2" s="1"/>
      <c r="C2" s="2"/>
      <c r="D2" s="2"/>
      <c r="E2" s="2"/>
      <c r="F2" s="2"/>
      <c r="G2" s="3"/>
    </row>
    <row r="3" spans="1:7">
      <c r="B3" s="4"/>
      <c r="C3" s="5"/>
      <c r="D3" s="5"/>
      <c r="E3" s="5"/>
      <c r="F3" s="5"/>
      <c r="G3" s="6"/>
    </row>
    <row r="4" spans="1:7">
      <c r="B4" s="4"/>
      <c r="C4" s="5"/>
      <c r="D4" s="5"/>
      <c r="E4" s="5"/>
      <c r="F4" s="5"/>
      <c r="G4" s="6"/>
    </row>
    <row r="5" spans="1:7">
      <c r="B5" s="4"/>
      <c r="C5" s="5"/>
      <c r="D5" s="5"/>
      <c r="E5" s="5"/>
      <c r="F5" s="5"/>
      <c r="G5" s="6"/>
    </row>
    <row r="6" spans="1:7">
      <c r="B6" s="4"/>
      <c r="C6" s="5"/>
      <c r="D6" s="5"/>
      <c r="E6" s="5"/>
      <c r="F6" s="5"/>
      <c r="G6" s="6"/>
    </row>
    <row r="7" spans="1:7" ht="16.5" customHeight="1">
      <c r="B7" s="4"/>
      <c r="C7" s="5"/>
      <c r="D7" s="5"/>
      <c r="E7" s="5"/>
      <c r="F7" s="5"/>
      <c r="G7" s="6"/>
    </row>
    <row r="8" spans="1:7" ht="22.5" customHeight="1" thickBot="1">
      <c r="B8" s="4"/>
      <c r="C8" s="95" t="s">
        <v>0</v>
      </c>
      <c r="D8" s="95"/>
      <c r="E8" s="95"/>
      <c r="F8" s="5"/>
      <c r="G8" s="6"/>
    </row>
    <row r="9" spans="1:7" ht="21" thickTop="1">
      <c r="B9" s="4"/>
      <c r="C9" s="7"/>
      <c r="D9" s="7"/>
      <c r="E9" s="5"/>
      <c r="F9" s="5"/>
      <c r="G9" s="6"/>
    </row>
    <row r="10" spans="1:7">
      <c r="B10" s="8" t="s">
        <v>1</v>
      </c>
      <c r="C10" s="9" t="s">
        <v>97</v>
      </c>
      <c r="D10" s="5"/>
      <c r="E10" s="10" t="s">
        <v>2</v>
      </c>
      <c r="F10" s="9" t="s">
        <v>98</v>
      </c>
      <c r="G10" s="6"/>
    </row>
    <row r="11" spans="1:7" ht="3.75" customHeight="1">
      <c r="A11" s="80"/>
      <c r="B11" s="5"/>
      <c r="C11" s="5"/>
      <c r="D11" s="5"/>
      <c r="E11" s="11"/>
      <c r="F11" s="5"/>
      <c r="G11" s="6"/>
    </row>
    <row r="12" spans="1:7">
      <c r="A12" s="80"/>
      <c r="B12" s="12" t="s">
        <v>3</v>
      </c>
      <c r="C12" s="9" t="s">
        <v>99</v>
      </c>
      <c r="D12" s="5"/>
      <c r="E12" s="10" t="s">
        <v>4</v>
      </c>
      <c r="F12" s="82" t="s">
        <v>100</v>
      </c>
      <c r="G12" s="6"/>
    </row>
    <row r="13" spans="1:7" ht="3.75" customHeight="1">
      <c r="A13" s="80"/>
      <c r="B13" s="5"/>
      <c r="C13" s="5"/>
      <c r="D13" s="5"/>
      <c r="E13" s="11"/>
      <c r="F13" s="5"/>
      <c r="G13" s="6"/>
    </row>
    <row r="14" spans="1:7">
      <c r="A14" s="80"/>
      <c r="B14" s="10" t="s">
        <v>5</v>
      </c>
      <c r="C14" s="9" t="s">
        <v>101</v>
      </c>
      <c r="D14" s="5"/>
      <c r="E14" s="10" t="s">
        <v>6</v>
      </c>
      <c r="F14" s="9" t="s">
        <v>107</v>
      </c>
      <c r="G14" s="6"/>
    </row>
    <row r="15" spans="1:7" ht="4.5" customHeight="1">
      <c r="A15" s="80"/>
      <c r="B15" s="13"/>
      <c r="C15" s="5"/>
      <c r="D15" s="5"/>
      <c r="E15" s="11"/>
      <c r="F15" s="5"/>
      <c r="G15" s="6"/>
    </row>
    <row r="16" spans="1:7">
      <c r="A16" s="80"/>
      <c r="B16" s="10" t="s">
        <v>7</v>
      </c>
      <c r="C16" s="9" t="s">
        <v>108</v>
      </c>
      <c r="D16" s="5"/>
      <c r="E16" s="11"/>
      <c r="F16" s="5"/>
      <c r="G16" s="6"/>
    </row>
    <row r="17" spans="1:7" ht="3.75" customHeight="1">
      <c r="A17" s="80"/>
      <c r="B17" s="5"/>
      <c r="C17" s="5"/>
      <c r="D17" s="5"/>
      <c r="E17" s="11"/>
      <c r="F17" s="5"/>
      <c r="G17" s="6"/>
    </row>
    <row r="18" spans="1:7">
      <c r="B18" s="14" t="s">
        <v>8</v>
      </c>
      <c r="C18" s="15" t="s">
        <v>103</v>
      </c>
      <c r="D18" s="5"/>
      <c r="E18" s="86" t="s">
        <v>109</v>
      </c>
      <c r="F18" s="87">
        <v>45292</v>
      </c>
      <c r="G18" s="6"/>
    </row>
    <row r="19" spans="1:7">
      <c r="B19" s="16" t="s">
        <v>9</v>
      </c>
      <c r="C19" s="17" t="s">
        <v>130</v>
      </c>
      <c r="D19" s="5"/>
      <c r="E19" s="88" t="s">
        <v>110</v>
      </c>
      <c r="F19" s="89">
        <v>45322</v>
      </c>
      <c r="G19" s="18"/>
    </row>
    <row r="20" spans="1:7" ht="15.75" thickBot="1">
      <c r="B20" s="4"/>
      <c r="C20" s="19"/>
      <c r="D20" s="19"/>
      <c r="E20" s="20"/>
      <c r="F20" s="21"/>
      <c r="G20" s="18"/>
    </row>
    <row r="21" spans="1:7" ht="18.75" thickBot="1">
      <c r="B21" s="4"/>
      <c r="C21" s="22" t="s">
        <v>10</v>
      </c>
      <c r="D21" s="23"/>
      <c r="E21" s="24"/>
      <c r="F21" s="25" t="s">
        <v>11</v>
      </c>
      <c r="G21" s="18"/>
    </row>
    <row r="22" spans="1:7">
      <c r="B22" s="4"/>
      <c r="C22" s="26" t="s">
        <v>12</v>
      </c>
      <c r="D22" s="26"/>
      <c r="E22" s="27">
        <v>16361.873990909122</v>
      </c>
      <c r="F22" s="28">
        <v>16361.873990909122</v>
      </c>
      <c r="G22" s="29"/>
    </row>
    <row r="23" spans="1:7">
      <c r="B23" s="30">
        <v>143</v>
      </c>
      <c r="C23" s="31" t="s">
        <v>13</v>
      </c>
      <c r="D23" s="31"/>
      <c r="E23" s="27">
        <v>6995.1100000000006</v>
      </c>
      <c r="F23" s="32">
        <v>6995.1100000000006</v>
      </c>
      <c r="G23" s="33"/>
    </row>
    <row r="24" spans="1:7">
      <c r="B24" s="30"/>
      <c r="C24" s="34" t="s">
        <v>14</v>
      </c>
      <c r="D24" s="34"/>
      <c r="E24" s="27">
        <v>0</v>
      </c>
      <c r="F24" s="32">
        <v>0</v>
      </c>
      <c r="G24" s="33"/>
    </row>
    <row r="25" spans="1:7">
      <c r="B25" s="30"/>
      <c r="C25" s="34" t="s">
        <v>15</v>
      </c>
      <c r="D25" s="34"/>
      <c r="E25" s="27">
        <v>0</v>
      </c>
      <c r="F25" s="32">
        <v>0</v>
      </c>
      <c r="G25" s="33"/>
    </row>
    <row r="26" spans="1:7">
      <c r="B26" s="30"/>
      <c r="C26" s="34" t="s">
        <v>16</v>
      </c>
      <c r="D26" s="34"/>
      <c r="E26" s="27">
        <v>0</v>
      </c>
      <c r="F26" s="32">
        <v>0</v>
      </c>
      <c r="G26" s="33"/>
    </row>
    <row r="27" spans="1:7">
      <c r="B27" s="30"/>
      <c r="C27" s="34" t="s">
        <v>17</v>
      </c>
      <c r="D27" s="34"/>
      <c r="E27" s="27">
        <v>0</v>
      </c>
      <c r="F27" s="32">
        <v>0</v>
      </c>
      <c r="G27" s="33"/>
    </row>
    <row r="28" spans="1:7">
      <c r="B28" s="30"/>
      <c r="C28" s="35" t="s">
        <v>18</v>
      </c>
      <c r="D28" s="35"/>
      <c r="E28" s="36">
        <v>23356.983990909124</v>
      </c>
      <c r="F28" s="37">
        <v>23356.983990909124</v>
      </c>
      <c r="G28" s="38"/>
    </row>
    <row r="29" spans="1:7" ht="15.75" thickBot="1">
      <c r="B29" s="30"/>
      <c r="C29" s="39"/>
      <c r="D29" s="39"/>
      <c r="E29" s="40"/>
      <c r="F29" s="41"/>
      <c r="G29" s="38"/>
    </row>
    <row r="30" spans="1:7" ht="18.75" thickBot="1">
      <c r="B30" s="30"/>
      <c r="C30" s="22" t="s">
        <v>19</v>
      </c>
      <c r="D30" s="23"/>
      <c r="E30" s="42"/>
      <c r="F30" s="43"/>
      <c r="G30" s="38"/>
    </row>
    <row r="31" spans="1:7">
      <c r="B31" s="44">
        <v>121</v>
      </c>
      <c r="C31" s="39" t="s">
        <v>20</v>
      </c>
      <c r="D31" s="39"/>
      <c r="E31" s="45"/>
      <c r="F31" s="46"/>
      <c r="G31" s="47"/>
    </row>
    <row r="32" spans="1:7">
      <c r="B32" s="44"/>
      <c r="C32" s="48" t="s">
        <v>21</v>
      </c>
      <c r="D32" s="48"/>
      <c r="E32" s="49">
        <v>453.40049999999997</v>
      </c>
      <c r="F32" s="50">
        <v>453.40049999999997</v>
      </c>
      <c r="G32" s="47"/>
    </row>
    <row r="33" spans="2:7">
      <c r="B33" s="44"/>
      <c r="C33" s="48" t="s">
        <v>22</v>
      </c>
      <c r="D33" s="48"/>
      <c r="E33" s="49">
        <v>466.35479999999944</v>
      </c>
      <c r="F33" s="50">
        <v>466.35479999999944</v>
      </c>
      <c r="G33" s="47"/>
    </row>
    <row r="34" spans="2:7">
      <c r="B34" s="51"/>
      <c r="C34" s="48" t="s">
        <v>23</v>
      </c>
      <c r="D34" s="48"/>
      <c r="E34" s="49">
        <v>557.03489999999999</v>
      </c>
      <c r="F34" s="50">
        <v>557.03489999999999</v>
      </c>
      <c r="G34" s="52"/>
    </row>
    <row r="35" spans="2:7">
      <c r="B35" s="51"/>
      <c r="C35" s="48" t="s">
        <v>24</v>
      </c>
      <c r="D35" s="48"/>
      <c r="E35" s="49">
        <v>381.56301818181777</v>
      </c>
      <c r="F35" s="50">
        <v>381.56301818181777</v>
      </c>
      <c r="G35" s="52"/>
    </row>
    <row r="36" spans="2:7">
      <c r="B36" s="44"/>
      <c r="C36" s="48" t="s">
        <v>25</v>
      </c>
      <c r="D36" s="48"/>
      <c r="E36" s="49">
        <v>0</v>
      </c>
      <c r="F36" s="50">
        <v>0</v>
      </c>
      <c r="G36" s="52"/>
    </row>
    <row r="37" spans="2:7">
      <c r="B37" s="44"/>
      <c r="C37" s="53" t="s">
        <v>26</v>
      </c>
      <c r="D37" s="53"/>
      <c r="E37" s="36">
        <v>1858.3532181818173</v>
      </c>
      <c r="F37" s="54">
        <v>1858.3532181818173</v>
      </c>
      <c r="G37" s="52"/>
    </row>
    <row r="38" spans="2:7">
      <c r="B38" s="44">
        <v>122</v>
      </c>
      <c r="C38" s="39" t="s">
        <v>27</v>
      </c>
      <c r="D38" s="39"/>
      <c r="E38" s="36"/>
      <c r="F38" s="50"/>
      <c r="G38" s="55"/>
    </row>
    <row r="39" spans="2:7">
      <c r="B39" s="44"/>
      <c r="C39" s="48" t="s">
        <v>28</v>
      </c>
      <c r="D39" s="48"/>
      <c r="E39" s="49">
        <v>220.22310000000004</v>
      </c>
      <c r="F39" s="50">
        <v>220.22310000000004</v>
      </c>
      <c r="G39" s="52"/>
    </row>
    <row r="40" spans="2:7">
      <c r="B40" s="44"/>
      <c r="C40" s="48" t="s">
        <v>29</v>
      </c>
      <c r="D40" s="48"/>
      <c r="E40" s="49">
        <v>0</v>
      </c>
      <c r="F40" s="50">
        <v>0</v>
      </c>
      <c r="G40" s="52"/>
    </row>
    <row r="41" spans="2:7">
      <c r="B41" s="44"/>
      <c r="C41" s="48" t="s">
        <v>30</v>
      </c>
      <c r="D41" s="48"/>
      <c r="E41" s="49">
        <v>292.06058181818173</v>
      </c>
      <c r="F41" s="50">
        <v>292.06058181818173</v>
      </c>
      <c r="G41" s="52"/>
    </row>
    <row r="42" spans="2:7">
      <c r="B42" s="44"/>
      <c r="C42" s="48" t="s">
        <v>31</v>
      </c>
      <c r="D42" s="48"/>
      <c r="E42" s="49">
        <v>51.817200000000007</v>
      </c>
      <c r="F42" s="50">
        <v>51.817200000000007</v>
      </c>
      <c r="G42" s="52"/>
    </row>
    <row r="43" spans="2:7">
      <c r="B43" s="44"/>
      <c r="C43" s="48" t="s">
        <v>32</v>
      </c>
      <c r="D43" s="48"/>
      <c r="E43" s="49">
        <v>207.26880000000003</v>
      </c>
      <c r="F43" s="50">
        <v>207.26880000000003</v>
      </c>
      <c r="G43" s="52"/>
    </row>
    <row r="44" spans="2:7">
      <c r="B44" s="44"/>
      <c r="C44" s="48" t="s">
        <v>33</v>
      </c>
      <c r="D44" s="48"/>
      <c r="E44" s="49">
        <v>0</v>
      </c>
      <c r="F44" s="50">
        <v>0</v>
      </c>
      <c r="G44" s="52"/>
    </row>
    <row r="45" spans="2:7">
      <c r="B45" s="44"/>
      <c r="C45" s="48" t="s">
        <v>34</v>
      </c>
      <c r="D45" s="48"/>
      <c r="E45" s="49">
        <v>0</v>
      </c>
      <c r="F45" s="50">
        <v>0</v>
      </c>
      <c r="G45" s="52"/>
    </row>
    <row r="46" spans="2:7">
      <c r="B46" s="44"/>
      <c r="C46" s="48" t="s">
        <v>35</v>
      </c>
      <c r="D46" s="48"/>
      <c r="E46" s="49">
        <v>0</v>
      </c>
      <c r="F46" s="50">
        <v>0</v>
      </c>
      <c r="G46" s="52"/>
    </row>
    <row r="47" spans="2:7">
      <c r="B47" s="44"/>
      <c r="C47" s="53" t="s">
        <v>26</v>
      </c>
      <c r="D47" s="53"/>
      <c r="E47" s="36">
        <v>771.36968181818179</v>
      </c>
      <c r="F47" s="54">
        <v>771.36968181818179</v>
      </c>
      <c r="G47" s="52"/>
    </row>
    <row r="48" spans="2:7">
      <c r="B48" s="44">
        <v>123</v>
      </c>
      <c r="C48" s="39" t="s">
        <v>36</v>
      </c>
      <c r="D48" s="39"/>
      <c r="E48" s="56"/>
      <c r="F48" s="57"/>
      <c r="G48" s="52"/>
    </row>
    <row r="49" spans="2:7">
      <c r="B49" s="44"/>
      <c r="C49" s="48" t="s">
        <v>37</v>
      </c>
      <c r="D49" s="48"/>
      <c r="E49" s="49">
        <v>188.42618181818176</v>
      </c>
      <c r="F49" s="50">
        <v>188.42618181818176</v>
      </c>
      <c r="G49" s="52"/>
    </row>
    <row r="50" spans="2:7">
      <c r="B50" s="44"/>
      <c r="C50" s="48" t="s">
        <v>38</v>
      </c>
      <c r="D50" s="48"/>
      <c r="E50" s="49">
        <v>0</v>
      </c>
      <c r="F50" s="50">
        <v>0</v>
      </c>
      <c r="G50" s="52"/>
    </row>
    <row r="51" spans="2:7">
      <c r="B51" s="44"/>
      <c r="C51" s="48" t="s">
        <v>39</v>
      </c>
      <c r="D51" s="48"/>
      <c r="E51" s="49">
        <v>221.40076363636351</v>
      </c>
      <c r="F51" s="50">
        <v>221.40076363636351</v>
      </c>
      <c r="G51" s="52"/>
    </row>
    <row r="52" spans="2:7">
      <c r="B52" s="44"/>
      <c r="C52" s="48" t="s">
        <v>40</v>
      </c>
      <c r="D52" s="48"/>
      <c r="E52" s="49">
        <v>169.58356363636346</v>
      </c>
      <c r="F52" s="50">
        <v>169.58356363636346</v>
      </c>
      <c r="G52" s="52"/>
    </row>
    <row r="53" spans="2:7">
      <c r="B53" s="44"/>
      <c r="C53" s="48" t="s">
        <v>41</v>
      </c>
      <c r="D53" s="48"/>
      <c r="E53" s="49">
        <v>0</v>
      </c>
      <c r="F53" s="50">
        <v>0</v>
      </c>
      <c r="G53" s="52"/>
    </row>
    <row r="54" spans="2:7">
      <c r="B54" s="44"/>
      <c r="C54" s="48" t="s">
        <v>42</v>
      </c>
      <c r="D54" s="48"/>
      <c r="E54" s="49">
        <v>297.94890000000004</v>
      </c>
      <c r="F54" s="50">
        <v>297.94890000000004</v>
      </c>
      <c r="G54" s="52"/>
    </row>
    <row r="55" spans="2:7">
      <c r="B55" s="44"/>
      <c r="C55" s="53" t="s">
        <v>26</v>
      </c>
      <c r="D55" s="53"/>
      <c r="E55" s="36">
        <v>877.35940909090868</v>
      </c>
      <c r="F55" s="54">
        <v>877.35940909090868</v>
      </c>
      <c r="G55" s="52"/>
    </row>
    <row r="56" spans="2:7">
      <c r="B56" s="44">
        <v>124</v>
      </c>
      <c r="C56" s="39" t="s">
        <v>43</v>
      </c>
      <c r="D56" s="39"/>
      <c r="E56" s="56"/>
      <c r="F56" s="57"/>
      <c r="G56" s="52"/>
    </row>
    <row r="57" spans="2:7">
      <c r="B57" s="44"/>
      <c r="C57" s="48" t="s">
        <v>44</v>
      </c>
      <c r="D57" s="48"/>
      <c r="E57" s="49">
        <v>560.56789090909047</v>
      </c>
      <c r="F57" s="50">
        <v>560.56789090909047</v>
      </c>
      <c r="G57" s="52"/>
    </row>
    <row r="58" spans="2:7">
      <c r="B58" s="44"/>
      <c r="C58" s="48" t="s">
        <v>45</v>
      </c>
      <c r="D58" s="48"/>
      <c r="E58" s="49">
        <v>0</v>
      </c>
      <c r="F58" s="50">
        <v>0</v>
      </c>
      <c r="G58" s="52"/>
    </row>
    <row r="59" spans="2:7">
      <c r="B59" s="44"/>
      <c r="C59" s="48" t="s">
        <v>46</v>
      </c>
      <c r="D59" s="48"/>
      <c r="E59" s="49">
        <v>0</v>
      </c>
      <c r="F59" s="50">
        <v>0</v>
      </c>
      <c r="G59" s="52"/>
    </row>
    <row r="60" spans="2:7">
      <c r="B60" s="44"/>
      <c r="C60" s="53" t="s">
        <v>26</v>
      </c>
      <c r="D60" s="53"/>
      <c r="E60" s="36">
        <v>560.56789090909047</v>
      </c>
      <c r="F60" s="54">
        <v>560.56789090909047</v>
      </c>
      <c r="G60" s="52"/>
    </row>
    <row r="61" spans="2:7">
      <c r="B61" s="44">
        <v>125</v>
      </c>
      <c r="C61" s="39" t="s">
        <v>47</v>
      </c>
      <c r="D61" s="39"/>
      <c r="E61" s="36"/>
      <c r="F61" s="50"/>
      <c r="G61" s="52"/>
    </row>
    <row r="62" spans="2:7">
      <c r="B62" s="44"/>
      <c r="C62" s="48" t="s">
        <v>48</v>
      </c>
      <c r="D62" s="48"/>
      <c r="E62" s="58">
        <v>0</v>
      </c>
      <c r="F62" s="50">
        <v>0</v>
      </c>
      <c r="G62" s="52"/>
    </row>
    <row r="63" spans="2:7">
      <c r="B63" s="44"/>
      <c r="C63" s="48" t="s">
        <v>49</v>
      </c>
      <c r="D63" s="48"/>
      <c r="E63" s="58">
        <v>0</v>
      </c>
      <c r="F63" s="50">
        <v>0</v>
      </c>
      <c r="G63" s="52"/>
    </row>
    <row r="64" spans="2:7">
      <c r="B64" s="44"/>
      <c r="C64" s="48" t="s">
        <v>50</v>
      </c>
      <c r="D64" s="48"/>
      <c r="E64" s="58">
        <v>906.80100000000004</v>
      </c>
      <c r="F64" s="50">
        <v>906.80100000000004</v>
      </c>
      <c r="G64" s="52"/>
    </row>
    <row r="65" spans="2:7">
      <c r="B65" s="44"/>
      <c r="C65" s="48" t="s">
        <v>51</v>
      </c>
      <c r="D65" s="48"/>
      <c r="E65" s="58">
        <v>207.26880000000003</v>
      </c>
      <c r="F65" s="50">
        <v>207.26880000000003</v>
      </c>
      <c r="G65" s="52"/>
    </row>
    <row r="66" spans="2:7">
      <c r="B66" s="44"/>
      <c r="C66" s="53" t="s">
        <v>26</v>
      </c>
      <c r="D66" s="53"/>
      <c r="E66" s="56">
        <v>1114.0698</v>
      </c>
      <c r="F66" s="54">
        <v>1114.0698</v>
      </c>
      <c r="G66" s="52"/>
    </row>
    <row r="67" spans="2:7">
      <c r="B67" s="44">
        <v>126</v>
      </c>
      <c r="C67" s="39" t="s">
        <v>52</v>
      </c>
      <c r="D67" s="39"/>
      <c r="E67" s="56"/>
      <c r="F67" s="50"/>
      <c r="G67" s="52"/>
    </row>
    <row r="68" spans="2:7">
      <c r="B68" s="44"/>
      <c r="C68" s="48" t="s">
        <v>53</v>
      </c>
      <c r="D68" s="48"/>
      <c r="E68" s="49">
        <v>0</v>
      </c>
      <c r="F68" s="50">
        <v>0</v>
      </c>
      <c r="G68" s="52"/>
    </row>
    <row r="69" spans="2:7">
      <c r="B69" s="44"/>
      <c r="C69" s="48" t="s">
        <v>54</v>
      </c>
      <c r="D69" s="48"/>
      <c r="E69" s="49">
        <v>0</v>
      </c>
      <c r="F69" s="50"/>
      <c r="G69" s="52"/>
    </row>
    <row r="70" spans="2:7">
      <c r="B70" s="44"/>
      <c r="C70" s="48" t="s">
        <v>55</v>
      </c>
      <c r="D70" s="48"/>
      <c r="E70" s="49">
        <v>0</v>
      </c>
      <c r="F70" s="50"/>
      <c r="G70" s="52"/>
    </row>
    <row r="71" spans="2:7">
      <c r="B71" s="44"/>
      <c r="C71" s="48" t="s">
        <v>56</v>
      </c>
      <c r="D71" s="48"/>
      <c r="E71" s="49">
        <v>0</v>
      </c>
      <c r="F71" s="57"/>
      <c r="G71" s="52"/>
    </row>
    <row r="72" spans="2:7">
      <c r="B72" s="44"/>
      <c r="C72" s="53" t="s">
        <v>26</v>
      </c>
      <c r="D72" s="53"/>
      <c r="E72" s="56">
        <v>0</v>
      </c>
      <c r="F72" s="54">
        <v>0</v>
      </c>
      <c r="G72" s="52"/>
    </row>
    <row r="73" spans="2:7">
      <c r="B73" s="44">
        <v>127</v>
      </c>
      <c r="C73" s="39" t="s">
        <v>57</v>
      </c>
      <c r="D73" s="39"/>
      <c r="E73" s="56"/>
      <c r="F73" s="54"/>
      <c r="G73" s="52"/>
    </row>
    <row r="74" spans="2:7">
      <c r="B74" s="44"/>
      <c r="C74" s="48" t="s">
        <v>58</v>
      </c>
      <c r="D74" s="48"/>
      <c r="E74" s="49">
        <v>0</v>
      </c>
      <c r="F74" s="50">
        <v>0</v>
      </c>
      <c r="G74" s="52"/>
    </row>
    <row r="75" spans="2:7">
      <c r="B75" s="44"/>
      <c r="C75" s="48" t="s">
        <v>59</v>
      </c>
      <c r="D75" s="48"/>
      <c r="E75" s="49">
        <v>0</v>
      </c>
      <c r="F75" s="50">
        <v>0</v>
      </c>
      <c r="G75" s="52"/>
    </row>
    <row r="76" spans="2:7">
      <c r="B76" s="44"/>
      <c r="C76" s="48" t="s">
        <v>60</v>
      </c>
      <c r="D76" s="48"/>
      <c r="E76" s="49">
        <v>0</v>
      </c>
      <c r="F76" s="50">
        <v>0</v>
      </c>
      <c r="G76" s="52"/>
    </row>
    <row r="77" spans="2:7">
      <c r="B77" s="44"/>
      <c r="C77" s="59" t="s">
        <v>61</v>
      </c>
      <c r="D77" s="59"/>
      <c r="E77" s="49">
        <v>0</v>
      </c>
      <c r="F77" s="50">
        <v>0</v>
      </c>
      <c r="G77" s="52"/>
    </row>
    <row r="78" spans="2:7">
      <c r="B78" s="44"/>
      <c r="C78" s="53" t="s">
        <v>26</v>
      </c>
      <c r="D78" s="53"/>
      <c r="E78" s="56">
        <v>0</v>
      </c>
      <c r="F78" s="54">
        <v>0</v>
      </c>
      <c r="G78" s="52"/>
    </row>
    <row r="79" spans="2:7">
      <c r="B79" s="44">
        <v>128</v>
      </c>
      <c r="C79" s="39" t="s">
        <v>62</v>
      </c>
      <c r="D79" s="39"/>
      <c r="E79" s="56"/>
      <c r="F79" s="54"/>
      <c r="G79" s="52"/>
    </row>
    <row r="80" spans="2:7">
      <c r="B80" s="44"/>
      <c r="C80" s="48" t="s">
        <v>63</v>
      </c>
      <c r="D80" s="48"/>
      <c r="E80" s="49">
        <v>0</v>
      </c>
      <c r="F80" s="50">
        <v>0</v>
      </c>
      <c r="G80" s="52"/>
    </row>
    <row r="81" spans="2:7">
      <c r="B81" s="44"/>
      <c r="C81" s="48" t="s">
        <v>64</v>
      </c>
      <c r="D81" s="48"/>
      <c r="E81" s="49">
        <v>0</v>
      </c>
      <c r="F81" s="50">
        <v>0</v>
      </c>
      <c r="G81" s="52"/>
    </row>
    <row r="82" spans="2:7">
      <c r="B82" s="44"/>
      <c r="C82" s="48" t="s">
        <v>65</v>
      </c>
      <c r="D82" s="48"/>
      <c r="E82" s="49">
        <v>0</v>
      </c>
      <c r="F82" s="50">
        <v>0</v>
      </c>
      <c r="G82" s="52"/>
    </row>
    <row r="83" spans="2:7">
      <c r="B83" s="44"/>
      <c r="C83" s="48" t="s">
        <v>66</v>
      </c>
      <c r="D83" s="48"/>
      <c r="E83" s="49">
        <v>0</v>
      </c>
      <c r="F83" s="50">
        <v>0</v>
      </c>
      <c r="G83" s="52"/>
    </row>
    <row r="84" spans="2:7">
      <c r="B84" s="44"/>
      <c r="C84" s="48" t="s">
        <v>67</v>
      </c>
      <c r="D84" s="48"/>
      <c r="E84" s="49">
        <v>0</v>
      </c>
      <c r="F84" s="50">
        <v>0</v>
      </c>
      <c r="G84" s="52"/>
    </row>
    <row r="85" spans="2:7">
      <c r="B85" s="44"/>
      <c r="C85" s="53" t="s">
        <v>26</v>
      </c>
      <c r="D85" s="53"/>
      <c r="E85" s="56">
        <v>0</v>
      </c>
      <c r="F85" s="54">
        <v>0</v>
      </c>
      <c r="G85" s="52"/>
    </row>
    <row r="86" spans="2:7">
      <c r="B86" s="44">
        <v>135</v>
      </c>
      <c r="C86" s="39" t="s">
        <v>68</v>
      </c>
      <c r="D86" s="39"/>
      <c r="E86" s="56"/>
      <c r="F86" s="50"/>
      <c r="G86" s="52"/>
    </row>
    <row r="87" spans="2:7">
      <c r="B87" s="44"/>
      <c r="C87" s="48" t="s">
        <v>69</v>
      </c>
      <c r="D87" s="48"/>
      <c r="E87" s="49">
        <v>0</v>
      </c>
      <c r="F87" s="50">
        <v>0</v>
      </c>
      <c r="G87" s="52"/>
    </row>
    <row r="88" spans="2:7">
      <c r="B88" s="44"/>
      <c r="C88" s="48" t="s">
        <v>70</v>
      </c>
      <c r="D88" s="48"/>
      <c r="E88" s="49">
        <v>0</v>
      </c>
      <c r="F88" s="50">
        <v>0</v>
      </c>
      <c r="G88" s="52"/>
    </row>
    <row r="89" spans="2:7">
      <c r="B89" s="44"/>
      <c r="C89" s="48" t="s">
        <v>71</v>
      </c>
      <c r="D89" s="48"/>
      <c r="E89" s="49">
        <v>0</v>
      </c>
      <c r="F89" s="50">
        <v>0</v>
      </c>
      <c r="G89" s="52"/>
    </row>
    <row r="90" spans="2:7">
      <c r="B90" s="44"/>
      <c r="C90" s="48" t="s">
        <v>72</v>
      </c>
      <c r="D90" s="48"/>
      <c r="E90" s="49">
        <v>0</v>
      </c>
      <c r="F90" s="50">
        <v>0</v>
      </c>
      <c r="G90" s="52"/>
    </row>
    <row r="91" spans="2:7">
      <c r="B91" s="44"/>
      <c r="C91" s="48" t="s">
        <v>73</v>
      </c>
      <c r="D91" s="48"/>
      <c r="E91" s="49">
        <v>0</v>
      </c>
      <c r="F91" s="50">
        <v>0</v>
      </c>
      <c r="G91" s="52"/>
    </row>
    <row r="92" spans="2:7">
      <c r="B92" s="44"/>
      <c r="C92" s="48" t="s">
        <v>74</v>
      </c>
      <c r="D92" s="48"/>
      <c r="E92" s="49">
        <v>0</v>
      </c>
      <c r="F92" s="50">
        <v>0</v>
      </c>
      <c r="G92" s="52"/>
    </row>
    <row r="93" spans="2:7">
      <c r="B93" s="44"/>
      <c r="C93" s="48" t="s">
        <v>75</v>
      </c>
      <c r="D93" s="48"/>
      <c r="E93" s="49">
        <v>0</v>
      </c>
      <c r="F93" s="50">
        <v>0</v>
      </c>
      <c r="G93" s="52"/>
    </row>
    <row r="94" spans="2:7">
      <c r="B94" s="44"/>
      <c r="C94" s="48" t="s">
        <v>76</v>
      </c>
      <c r="D94" s="48"/>
      <c r="E94" s="49">
        <v>0</v>
      </c>
      <c r="F94" s="50">
        <v>0</v>
      </c>
      <c r="G94" s="52"/>
    </row>
    <row r="95" spans="2:7">
      <c r="B95" s="44"/>
      <c r="C95" s="48" t="s">
        <v>77</v>
      </c>
      <c r="D95" s="48"/>
      <c r="E95" s="49">
        <v>0</v>
      </c>
      <c r="F95" s="50">
        <v>0</v>
      </c>
      <c r="G95" s="52"/>
    </row>
    <row r="96" spans="2:7">
      <c r="B96" s="44"/>
      <c r="C96" s="53" t="s">
        <v>26</v>
      </c>
      <c r="D96" s="53"/>
      <c r="E96" s="56">
        <v>0</v>
      </c>
      <c r="F96" s="54">
        <v>0</v>
      </c>
      <c r="G96" s="52"/>
    </row>
    <row r="97" spans="2:7">
      <c r="B97" s="44">
        <v>136</v>
      </c>
      <c r="C97" s="39" t="s">
        <v>78</v>
      </c>
      <c r="D97" s="39"/>
      <c r="E97" s="56"/>
      <c r="F97" s="50"/>
      <c r="G97" s="52"/>
    </row>
    <row r="98" spans="2:7">
      <c r="B98" s="44"/>
      <c r="C98" s="48" t="s">
        <v>79</v>
      </c>
      <c r="D98" s="48"/>
      <c r="E98" s="49">
        <v>0</v>
      </c>
      <c r="F98" s="50">
        <v>0</v>
      </c>
      <c r="G98" s="52"/>
    </row>
    <row r="99" spans="2:7">
      <c r="B99" s="44"/>
      <c r="C99" s="48" t="s">
        <v>80</v>
      </c>
      <c r="D99" s="48"/>
      <c r="E99" s="49">
        <v>0</v>
      </c>
      <c r="F99" s="50">
        <v>0</v>
      </c>
      <c r="G99" s="52"/>
    </row>
    <row r="100" spans="2:7">
      <c r="B100" s="44"/>
      <c r="C100" s="48" t="s">
        <v>81</v>
      </c>
      <c r="D100" s="48"/>
      <c r="E100" s="49">
        <v>0</v>
      </c>
      <c r="F100" s="50">
        <v>0</v>
      </c>
      <c r="G100" s="52"/>
    </row>
    <row r="101" spans="2:7">
      <c r="B101" s="44"/>
      <c r="C101" s="48" t="s">
        <v>82</v>
      </c>
      <c r="D101" s="48"/>
      <c r="E101" s="49">
        <v>0</v>
      </c>
      <c r="F101" s="50">
        <v>0</v>
      </c>
      <c r="G101" s="52"/>
    </row>
    <row r="102" spans="2:7">
      <c r="B102" s="44"/>
      <c r="C102" s="48" t="s">
        <v>83</v>
      </c>
      <c r="D102" s="48"/>
      <c r="E102" s="49">
        <v>0</v>
      </c>
      <c r="F102" s="50">
        <v>0</v>
      </c>
      <c r="G102" s="52"/>
    </row>
    <row r="103" spans="2:7">
      <c r="B103" s="44"/>
      <c r="C103" s="48" t="s">
        <v>84</v>
      </c>
      <c r="D103" s="48"/>
      <c r="E103" s="49">
        <v>0</v>
      </c>
      <c r="F103" s="50">
        <v>0</v>
      </c>
      <c r="G103" s="52"/>
    </row>
    <row r="104" spans="2:7">
      <c r="B104" s="44"/>
      <c r="C104" s="53" t="s">
        <v>26</v>
      </c>
      <c r="D104" s="53"/>
      <c r="E104" s="56">
        <v>0</v>
      </c>
      <c r="F104" s="54">
        <v>0</v>
      </c>
      <c r="G104" s="52"/>
    </row>
    <row r="105" spans="2:7">
      <c r="B105" s="44">
        <v>142</v>
      </c>
      <c r="C105" s="39" t="s">
        <v>85</v>
      </c>
      <c r="D105" s="39"/>
      <c r="E105" s="56"/>
      <c r="F105" s="50"/>
      <c r="G105" s="52"/>
    </row>
    <row r="106" spans="2:7">
      <c r="B106" s="44"/>
      <c r="C106" s="48" t="s">
        <v>86</v>
      </c>
      <c r="D106" s="48"/>
      <c r="E106" s="49">
        <v>0</v>
      </c>
      <c r="F106" s="50">
        <v>0</v>
      </c>
      <c r="G106" s="52"/>
    </row>
    <row r="107" spans="2:7">
      <c r="B107" s="44"/>
      <c r="C107" s="48" t="s">
        <v>87</v>
      </c>
      <c r="D107" s="48"/>
      <c r="E107" s="49">
        <v>0</v>
      </c>
      <c r="F107" s="50">
        <v>0</v>
      </c>
      <c r="G107" s="52"/>
    </row>
    <row r="108" spans="2:7">
      <c r="B108" s="44"/>
      <c r="C108" s="53" t="s">
        <v>26</v>
      </c>
      <c r="D108" s="53"/>
      <c r="E108" s="56">
        <v>0</v>
      </c>
      <c r="F108" s="54">
        <v>0</v>
      </c>
      <c r="G108" s="52"/>
    </row>
    <row r="109" spans="2:7">
      <c r="B109" s="44">
        <v>144</v>
      </c>
      <c r="C109" s="39" t="s">
        <v>88</v>
      </c>
      <c r="D109" s="39"/>
      <c r="E109" s="49">
        <v>0</v>
      </c>
      <c r="F109" s="54">
        <v>0</v>
      </c>
      <c r="G109" s="52"/>
    </row>
    <row r="110" spans="2:7">
      <c r="B110" s="44">
        <v>221</v>
      </c>
      <c r="C110" s="39" t="s">
        <v>89</v>
      </c>
      <c r="D110" s="39"/>
      <c r="E110" s="49">
        <v>0</v>
      </c>
      <c r="F110" s="54">
        <v>0</v>
      </c>
      <c r="G110" s="52"/>
    </row>
    <row r="111" spans="2:7">
      <c r="B111" s="44">
        <v>222</v>
      </c>
      <c r="C111" s="39" t="s">
        <v>90</v>
      </c>
      <c r="D111" s="39"/>
      <c r="E111" s="49">
        <v>0</v>
      </c>
      <c r="F111" s="54">
        <v>0</v>
      </c>
      <c r="G111" s="52"/>
    </row>
    <row r="112" spans="2:7">
      <c r="B112" s="44">
        <v>224</v>
      </c>
      <c r="C112" s="39" t="s">
        <v>91</v>
      </c>
      <c r="D112" s="39"/>
      <c r="E112" s="49">
        <v>0</v>
      </c>
      <c r="F112" s="54">
        <v>0</v>
      </c>
      <c r="G112" s="52"/>
    </row>
    <row r="113" spans="2:7">
      <c r="B113" s="44">
        <v>225</v>
      </c>
      <c r="C113" s="39" t="s">
        <v>92</v>
      </c>
      <c r="D113" s="39"/>
      <c r="E113" s="49">
        <v>0</v>
      </c>
      <c r="F113" s="54">
        <v>0</v>
      </c>
      <c r="G113" s="38"/>
    </row>
    <row r="114" spans="2:7">
      <c r="B114" s="44">
        <v>226</v>
      </c>
      <c r="C114" s="39" t="s">
        <v>93</v>
      </c>
      <c r="D114" s="39"/>
      <c r="E114" s="49">
        <v>0</v>
      </c>
      <c r="F114" s="54">
        <v>0</v>
      </c>
      <c r="G114" s="60"/>
    </row>
    <row r="115" spans="2:7" ht="15.75" thickBot="1">
      <c r="B115" s="61"/>
      <c r="C115" s="62" t="s">
        <v>94</v>
      </c>
      <c r="D115" s="62"/>
      <c r="E115" s="90">
        <v>0</v>
      </c>
      <c r="F115" s="63">
        <v>0</v>
      </c>
      <c r="G115" s="38"/>
    </row>
    <row r="116" spans="2:7">
      <c r="B116" s="64"/>
      <c r="C116" s="65" t="s">
        <v>95</v>
      </c>
      <c r="D116" s="66"/>
      <c r="E116" s="91">
        <v>5181.7199999999984</v>
      </c>
      <c r="F116" s="68">
        <v>5181.7199999999984</v>
      </c>
      <c r="G116" s="69"/>
    </row>
    <row r="117" spans="2:7" ht="15.75" thickBot="1">
      <c r="B117" s="64"/>
      <c r="C117" s="70"/>
      <c r="D117" s="71"/>
      <c r="E117" s="92"/>
      <c r="F117" s="73"/>
      <c r="G117" s="69"/>
    </row>
    <row r="118" spans="2:7" ht="15.75" thickBot="1">
      <c r="B118" s="64"/>
      <c r="C118" s="70" t="s">
        <v>96</v>
      </c>
      <c r="D118" s="71"/>
      <c r="E118" s="93">
        <v>18175.263990909127</v>
      </c>
      <c r="F118" s="75">
        <v>18175.263990909127</v>
      </c>
      <c r="G118" s="76"/>
    </row>
    <row r="119" spans="2:7" ht="8.25" customHeight="1" thickBot="1">
      <c r="B119" s="77"/>
      <c r="C119" s="81"/>
      <c r="D119" s="81"/>
      <c r="E119" s="78"/>
      <c r="F119" s="78"/>
      <c r="G119" s="79"/>
    </row>
    <row r="120" spans="2:7">
      <c r="B120" s="83"/>
      <c r="C120" s="84"/>
      <c r="D120" s="84"/>
      <c r="E120" s="85"/>
      <c r="F120" s="83"/>
      <c r="G120" s="85"/>
    </row>
    <row r="121" spans="2:7" ht="6" customHeight="1" thickBot="1"/>
    <row r="122" spans="2:7">
      <c r="B122" s="1"/>
      <c r="C122" s="2"/>
      <c r="D122" s="2"/>
      <c r="E122" s="2"/>
      <c r="F122" s="2"/>
      <c r="G122" s="3"/>
    </row>
    <row r="123" spans="2:7">
      <c r="B123" s="4"/>
      <c r="C123" s="5"/>
      <c r="D123" s="5"/>
      <c r="E123" s="5"/>
      <c r="F123" s="5"/>
      <c r="G123" s="6"/>
    </row>
    <row r="124" spans="2:7">
      <c r="B124" s="4"/>
      <c r="C124" s="5"/>
      <c r="D124" s="5"/>
      <c r="E124" s="5"/>
      <c r="F124" s="5"/>
      <c r="G124" s="6"/>
    </row>
    <row r="125" spans="2:7">
      <c r="B125" s="4"/>
      <c r="C125" s="5"/>
      <c r="D125" s="5"/>
      <c r="E125" s="5"/>
      <c r="F125" s="5"/>
      <c r="G125" s="6"/>
    </row>
    <row r="126" spans="2:7">
      <c r="B126" s="4"/>
      <c r="C126" s="5"/>
      <c r="D126" s="5"/>
      <c r="E126" s="5"/>
      <c r="F126" s="5"/>
      <c r="G126" s="6"/>
    </row>
    <row r="127" spans="2:7" ht="16.5" customHeight="1">
      <c r="B127" s="4"/>
      <c r="C127" s="5"/>
      <c r="D127" s="5"/>
      <c r="E127" s="5"/>
      <c r="F127" s="5"/>
      <c r="G127" s="6"/>
    </row>
    <row r="128" spans="2:7" ht="22.5" customHeight="1" thickBot="1">
      <c r="B128" s="4"/>
      <c r="C128" s="95" t="s">
        <v>0</v>
      </c>
      <c r="D128" s="95"/>
      <c r="E128" s="95"/>
      <c r="F128" s="5"/>
      <c r="G128" s="6"/>
    </row>
    <row r="129" spans="1:7" ht="21" thickTop="1">
      <c r="B129" s="4"/>
      <c r="C129" s="7"/>
      <c r="D129" s="7"/>
      <c r="E129" s="5"/>
      <c r="F129" s="5"/>
      <c r="G129" s="6"/>
    </row>
    <row r="130" spans="1:7">
      <c r="B130" s="8" t="s">
        <v>1</v>
      </c>
      <c r="C130" s="9" t="s">
        <v>97</v>
      </c>
      <c r="D130" s="5"/>
      <c r="E130" s="10" t="s">
        <v>2</v>
      </c>
      <c r="F130" s="9" t="s">
        <v>98</v>
      </c>
      <c r="G130" s="6"/>
    </row>
    <row r="131" spans="1:7" ht="3.75" customHeight="1">
      <c r="A131" s="80"/>
      <c r="B131" s="5"/>
      <c r="C131" s="5"/>
      <c r="D131" s="5"/>
      <c r="E131" s="11"/>
      <c r="F131" s="5"/>
      <c r="G131" s="6"/>
    </row>
    <row r="132" spans="1:7">
      <c r="A132" s="80"/>
      <c r="B132" s="12" t="s">
        <v>3</v>
      </c>
      <c r="C132" s="9" t="s">
        <v>99</v>
      </c>
      <c r="D132" s="5"/>
      <c r="E132" s="10" t="s">
        <v>4</v>
      </c>
      <c r="F132" s="82" t="s">
        <v>100</v>
      </c>
      <c r="G132" s="6"/>
    </row>
    <row r="133" spans="1:7" ht="3.75" customHeight="1">
      <c r="A133" s="80"/>
      <c r="B133" s="5"/>
      <c r="C133" s="5"/>
      <c r="D133" s="5"/>
      <c r="E133" s="11"/>
      <c r="F133" s="5"/>
      <c r="G133" s="6"/>
    </row>
    <row r="134" spans="1:7">
      <c r="A134" s="80"/>
      <c r="B134" s="10" t="s">
        <v>5</v>
      </c>
      <c r="C134" s="9" t="s">
        <v>101</v>
      </c>
      <c r="D134" s="5"/>
      <c r="E134" s="10" t="s">
        <v>6</v>
      </c>
      <c r="F134" s="9" t="s">
        <v>107</v>
      </c>
      <c r="G134" s="6"/>
    </row>
    <row r="135" spans="1:7" ht="4.5" customHeight="1">
      <c r="A135" s="80"/>
      <c r="B135" s="13"/>
      <c r="C135" s="5"/>
      <c r="D135" s="5"/>
      <c r="E135" s="11"/>
      <c r="F135" s="5"/>
      <c r="G135" s="6"/>
    </row>
    <row r="136" spans="1:7">
      <c r="A136" s="80"/>
      <c r="B136" s="10" t="s">
        <v>7</v>
      </c>
      <c r="C136" s="9" t="s">
        <v>108</v>
      </c>
      <c r="D136" s="5"/>
      <c r="E136" s="11"/>
      <c r="F136" s="5"/>
      <c r="G136" s="6"/>
    </row>
    <row r="137" spans="1:7" ht="3.75" customHeight="1">
      <c r="A137" s="80"/>
      <c r="B137" s="5"/>
      <c r="C137" s="5"/>
      <c r="D137" s="5"/>
      <c r="E137" s="11"/>
      <c r="F137" s="5"/>
      <c r="G137" s="6"/>
    </row>
    <row r="138" spans="1:7">
      <c r="B138" s="14" t="s">
        <v>8</v>
      </c>
      <c r="C138" s="15" t="s">
        <v>104</v>
      </c>
      <c r="D138" s="5"/>
      <c r="E138" s="86" t="s">
        <v>109</v>
      </c>
      <c r="F138" s="87">
        <v>45323</v>
      </c>
      <c r="G138" s="6"/>
    </row>
    <row r="139" spans="1:7">
      <c r="B139" s="16" t="s">
        <v>9</v>
      </c>
      <c r="C139" s="17" t="s">
        <v>130</v>
      </c>
      <c r="D139" s="5"/>
      <c r="E139" s="88" t="s">
        <v>110</v>
      </c>
      <c r="F139" s="89">
        <v>45351</v>
      </c>
      <c r="G139" s="18"/>
    </row>
    <row r="140" spans="1:7" ht="15.75" thickBot="1">
      <c r="B140" s="4"/>
      <c r="C140" s="19"/>
      <c r="D140" s="19"/>
      <c r="E140" s="20"/>
      <c r="F140" s="21"/>
      <c r="G140" s="18"/>
    </row>
    <row r="141" spans="1:7" ht="18.75" thickBot="1">
      <c r="B141" s="4"/>
      <c r="C141" s="22" t="s">
        <v>10</v>
      </c>
      <c r="D141" s="23"/>
      <c r="E141" s="24"/>
      <c r="F141" s="25" t="s">
        <v>11</v>
      </c>
      <c r="G141" s="18"/>
    </row>
    <row r="142" spans="1:7">
      <c r="B142" s="4"/>
      <c r="C142" s="26" t="s">
        <v>12</v>
      </c>
      <c r="D142" s="26"/>
      <c r="E142" s="27">
        <v>18175.263990909127</v>
      </c>
      <c r="F142" s="28">
        <v>18175.263990909127</v>
      </c>
      <c r="G142" s="29"/>
    </row>
    <row r="143" spans="1:7">
      <c r="B143" s="30">
        <v>143</v>
      </c>
      <c r="C143" s="31" t="s">
        <v>13</v>
      </c>
      <c r="D143" s="31"/>
      <c r="E143" s="27">
        <v>6995.1100000000006</v>
      </c>
      <c r="F143" s="32">
        <v>6995.1100000000006</v>
      </c>
      <c r="G143" s="33"/>
    </row>
    <row r="144" spans="1:7">
      <c r="B144" s="30"/>
      <c r="C144" s="34" t="s">
        <v>14</v>
      </c>
      <c r="D144" s="34"/>
      <c r="E144" s="27">
        <v>0</v>
      </c>
      <c r="F144" s="32">
        <v>0</v>
      </c>
      <c r="G144" s="33"/>
    </row>
    <row r="145" spans="2:7">
      <c r="B145" s="30"/>
      <c r="C145" s="34" t="s">
        <v>15</v>
      </c>
      <c r="D145" s="34"/>
      <c r="E145" s="27">
        <v>0</v>
      </c>
      <c r="F145" s="32">
        <v>0</v>
      </c>
      <c r="G145" s="33"/>
    </row>
    <row r="146" spans="2:7">
      <c r="B146" s="30"/>
      <c r="C146" s="34" t="s">
        <v>16</v>
      </c>
      <c r="D146" s="34"/>
      <c r="E146" s="27">
        <v>0</v>
      </c>
      <c r="F146" s="32">
        <v>0</v>
      </c>
      <c r="G146" s="33"/>
    </row>
    <row r="147" spans="2:7">
      <c r="B147" s="30"/>
      <c r="C147" s="34" t="s">
        <v>17</v>
      </c>
      <c r="D147" s="34"/>
      <c r="E147" s="27">
        <v>0</v>
      </c>
      <c r="F147" s="32">
        <v>0</v>
      </c>
      <c r="G147" s="33"/>
    </row>
    <row r="148" spans="2:7">
      <c r="B148" s="30"/>
      <c r="C148" s="35" t="s">
        <v>18</v>
      </c>
      <c r="D148" s="35"/>
      <c r="E148" s="36">
        <v>25170.373990909127</v>
      </c>
      <c r="F148" s="37">
        <v>25170.373990909127</v>
      </c>
      <c r="G148" s="38"/>
    </row>
    <row r="149" spans="2:7" ht="15.75" thickBot="1">
      <c r="B149" s="30"/>
      <c r="C149" s="39"/>
      <c r="D149" s="39"/>
      <c r="E149" s="40"/>
      <c r="F149" s="41"/>
      <c r="G149" s="38"/>
    </row>
    <row r="150" spans="2:7" ht="18.75" thickBot="1">
      <c r="B150" s="30"/>
      <c r="C150" s="22" t="s">
        <v>19</v>
      </c>
      <c r="D150" s="23"/>
      <c r="E150" s="42"/>
      <c r="F150" s="43"/>
      <c r="G150" s="38"/>
    </row>
    <row r="151" spans="2:7">
      <c r="B151" s="44">
        <v>121</v>
      </c>
      <c r="C151" s="39" t="s">
        <v>20</v>
      </c>
      <c r="D151" s="39"/>
      <c r="E151" s="45"/>
      <c r="F151" s="46"/>
      <c r="G151" s="47"/>
    </row>
    <row r="152" spans="2:7">
      <c r="B152" s="44"/>
      <c r="C152" s="48" t="s">
        <v>21</v>
      </c>
      <c r="D152" s="48"/>
      <c r="E152" s="49">
        <v>0</v>
      </c>
      <c r="F152" s="50">
        <v>0</v>
      </c>
      <c r="G152" s="47"/>
    </row>
    <row r="153" spans="2:7">
      <c r="B153" s="44"/>
      <c r="C153" s="48" t="s">
        <v>22</v>
      </c>
      <c r="D153" s="48"/>
      <c r="E153" s="49">
        <v>0</v>
      </c>
      <c r="F153" s="50">
        <v>0</v>
      </c>
      <c r="G153" s="47"/>
    </row>
    <row r="154" spans="2:7">
      <c r="B154" s="51"/>
      <c r="C154" s="48" t="s">
        <v>23</v>
      </c>
      <c r="D154" s="48"/>
      <c r="E154" s="49">
        <v>0</v>
      </c>
      <c r="F154" s="50">
        <v>0</v>
      </c>
      <c r="G154" s="52"/>
    </row>
    <row r="155" spans="2:7">
      <c r="B155" s="51"/>
      <c r="C155" s="48" t="s">
        <v>24</v>
      </c>
      <c r="D155" s="48"/>
      <c r="E155" s="49">
        <v>0</v>
      </c>
      <c r="F155" s="50">
        <v>0</v>
      </c>
      <c r="G155" s="52"/>
    </row>
    <row r="156" spans="2:7">
      <c r="B156" s="44"/>
      <c r="C156" s="48" t="s">
        <v>25</v>
      </c>
      <c r="D156" s="48"/>
      <c r="E156" s="49">
        <v>0</v>
      </c>
      <c r="F156" s="50">
        <v>0</v>
      </c>
      <c r="G156" s="52"/>
    </row>
    <row r="157" spans="2:7">
      <c r="B157" s="44"/>
      <c r="C157" s="53" t="s">
        <v>26</v>
      </c>
      <c r="D157" s="53"/>
      <c r="E157" s="36">
        <v>0</v>
      </c>
      <c r="F157" s="54">
        <v>0</v>
      </c>
      <c r="G157" s="52"/>
    </row>
    <row r="158" spans="2:7">
      <c r="B158" s="44">
        <v>122</v>
      </c>
      <c r="C158" s="39" t="s">
        <v>27</v>
      </c>
      <c r="D158" s="39"/>
      <c r="E158" s="36"/>
      <c r="F158" s="50"/>
      <c r="G158" s="55"/>
    </row>
    <row r="159" spans="2:7">
      <c r="B159" s="44"/>
      <c r="C159" s="48" t="s">
        <v>28</v>
      </c>
      <c r="D159" s="48"/>
      <c r="E159" s="49">
        <v>0</v>
      </c>
      <c r="F159" s="50">
        <v>0</v>
      </c>
      <c r="G159" s="52"/>
    </row>
    <row r="160" spans="2:7">
      <c r="B160" s="44"/>
      <c r="C160" s="48" t="s">
        <v>29</v>
      </c>
      <c r="D160" s="48"/>
      <c r="E160" s="49">
        <v>0</v>
      </c>
      <c r="F160" s="50">
        <v>0</v>
      </c>
      <c r="G160" s="52"/>
    </row>
    <row r="161" spans="2:7">
      <c r="B161" s="44"/>
      <c r="C161" s="48" t="s">
        <v>30</v>
      </c>
      <c r="D161" s="48"/>
      <c r="E161" s="49">
        <v>0</v>
      </c>
      <c r="F161" s="50">
        <v>0</v>
      </c>
      <c r="G161" s="52"/>
    </row>
    <row r="162" spans="2:7">
      <c r="B162" s="44"/>
      <c r="C162" s="48" t="s">
        <v>31</v>
      </c>
      <c r="D162" s="48"/>
      <c r="E162" s="49">
        <v>0</v>
      </c>
      <c r="F162" s="50">
        <v>0</v>
      </c>
      <c r="G162" s="52"/>
    </row>
    <row r="163" spans="2:7">
      <c r="B163" s="44"/>
      <c r="C163" s="48" t="s">
        <v>32</v>
      </c>
      <c r="D163" s="48"/>
      <c r="E163" s="49">
        <v>135.66685090909075</v>
      </c>
      <c r="F163" s="50">
        <v>135.66685090909075</v>
      </c>
      <c r="G163" s="52"/>
    </row>
    <row r="164" spans="2:7">
      <c r="B164" s="44"/>
      <c r="C164" s="48" t="s">
        <v>33</v>
      </c>
      <c r="D164" s="48"/>
      <c r="E164" s="49">
        <v>0</v>
      </c>
      <c r="F164" s="50">
        <v>0</v>
      </c>
      <c r="G164" s="52"/>
    </row>
    <row r="165" spans="2:7">
      <c r="B165" s="44"/>
      <c r="C165" s="48" t="s">
        <v>34</v>
      </c>
      <c r="D165" s="48"/>
      <c r="E165" s="49">
        <v>0</v>
      </c>
      <c r="F165" s="50">
        <v>0</v>
      </c>
      <c r="G165" s="52"/>
    </row>
    <row r="166" spans="2:7">
      <c r="B166" s="44"/>
      <c r="C166" s="48" t="s">
        <v>35</v>
      </c>
      <c r="D166" s="48"/>
      <c r="E166" s="49">
        <v>0</v>
      </c>
      <c r="F166" s="50">
        <v>0</v>
      </c>
      <c r="G166" s="52"/>
    </row>
    <row r="167" spans="2:7">
      <c r="B167" s="44"/>
      <c r="C167" s="53" t="s">
        <v>26</v>
      </c>
      <c r="D167" s="53"/>
      <c r="E167" s="36">
        <v>135.66685090909075</v>
      </c>
      <c r="F167" s="54">
        <v>135.66685090909075</v>
      </c>
      <c r="G167" s="52"/>
    </row>
    <row r="168" spans="2:7">
      <c r="B168" s="44">
        <v>123</v>
      </c>
      <c r="C168" s="39" t="s">
        <v>36</v>
      </c>
      <c r="D168" s="39"/>
      <c r="E168" s="56"/>
      <c r="F168" s="57"/>
      <c r="G168" s="52"/>
    </row>
    <row r="169" spans="2:7">
      <c r="B169" s="44"/>
      <c r="C169" s="48" t="s">
        <v>37</v>
      </c>
      <c r="D169" s="48"/>
      <c r="E169" s="49">
        <v>135.66685090909075</v>
      </c>
      <c r="F169" s="50">
        <v>135.66685090909075</v>
      </c>
      <c r="G169" s="52"/>
    </row>
    <row r="170" spans="2:7">
      <c r="B170" s="44"/>
      <c r="C170" s="48" t="s">
        <v>38</v>
      </c>
      <c r="D170" s="48"/>
      <c r="E170" s="49">
        <v>0</v>
      </c>
      <c r="F170" s="50">
        <v>0</v>
      </c>
      <c r="G170" s="52"/>
    </row>
    <row r="171" spans="2:7">
      <c r="B171" s="44"/>
      <c r="C171" s="48" t="s">
        <v>39</v>
      </c>
      <c r="D171" s="48"/>
      <c r="E171" s="49">
        <v>1175.7793745454535</v>
      </c>
      <c r="F171" s="50">
        <v>1175.7793745454535</v>
      </c>
      <c r="G171" s="52"/>
    </row>
    <row r="172" spans="2:7">
      <c r="B172" s="44"/>
      <c r="C172" s="48" t="s">
        <v>40</v>
      </c>
      <c r="D172" s="48"/>
      <c r="E172" s="49">
        <v>0</v>
      </c>
      <c r="F172" s="50">
        <v>0</v>
      </c>
      <c r="G172" s="52"/>
    </row>
    <row r="173" spans="2:7">
      <c r="B173" s="44"/>
      <c r="C173" s="48" t="s">
        <v>41</v>
      </c>
      <c r="D173" s="48"/>
      <c r="E173" s="49">
        <v>0</v>
      </c>
      <c r="F173" s="50">
        <v>0</v>
      </c>
      <c r="G173" s="52"/>
    </row>
    <row r="174" spans="2:7">
      <c r="B174" s="44"/>
      <c r="C174" s="48" t="s">
        <v>42</v>
      </c>
      <c r="D174" s="48"/>
      <c r="E174" s="49">
        <v>271.33370181818151</v>
      </c>
      <c r="F174" s="50">
        <v>271.33370181818151</v>
      </c>
      <c r="G174" s="52"/>
    </row>
    <row r="175" spans="2:7">
      <c r="B175" s="44"/>
      <c r="C175" s="53" t="s">
        <v>26</v>
      </c>
      <c r="D175" s="53"/>
      <c r="E175" s="36">
        <v>1582.7799272727257</v>
      </c>
      <c r="F175" s="54">
        <v>1582.7799272727257</v>
      </c>
      <c r="G175" s="52"/>
    </row>
    <row r="176" spans="2:7">
      <c r="B176" s="44">
        <v>124</v>
      </c>
      <c r="C176" s="39" t="s">
        <v>43</v>
      </c>
      <c r="D176" s="39"/>
      <c r="E176" s="56"/>
      <c r="F176" s="57"/>
      <c r="G176" s="52"/>
    </row>
    <row r="177" spans="2:7">
      <c r="B177" s="44"/>
      <c r="C177" s="48" t="s">
        <v>44</v>
      </c>
      <c r="D177" s="48"/>
      <c r="E177" s="49">
        <v>207.26879999999997</v>
      </c>
      <c r="F177" s="50">
        <v>207.26879999999997</v>
      </c>
      <c r="G177" s="52"/>
    </row>
    <row r="178" spans="2:7">
      <c r="B178" s="44"/>
      <c r="C178" s="48" t="s">
        <v>45</v>
      </c>
      <c r="D178" s="48"/>
      <c r="E178" s="49">
        <v>0</v>
      </c>
      <c r="F178" s="50">
        <v>0</v>
      </c>
      <c r="G178" s="52"/>
    </row>
    <row r="179" spans="2:7">
      <c r="B179" s="44"/>
      <c r="C179" s="48" t="s">
        <v>46</v>
      </c>
      <c r="D179" s="48"/>
      <c r="E179" s="49">
        <v>0</v>
      </c>
      <c r="F179" s="50">
        <v>0</v>
      </c>
      <c r="G179" s="52"/>
    </row>
    <row r="180" spans="2:7">
      <c r="B180" s="44"/>
      <c r="C180" s="53" t="s">
        <v>26</v>
      </c>
      <c r="D180" s="53"/>
      <c r="E180" s="36">
        <v>207.26879999999997</v>
      </c>
      <c r="F180" s="54">
        <v>207.26879999999997</v>
      </c>
      <c r="G180" s="52"/>
    </row>
    <row r="181" spans="2:7">
      <c r="B181" s="44">
        <v>125</v>
      </c>
      <c r="C181" s="39" t="s">
        <v>47</v>
      </c>
      <c r="D181" s="39"/>
      <c r="E181" s="36"/>
      <c r="F181" s="50"/>
      <c r="G181" s="52"/>
    </row>
    <row r="182" spans="2:7">
      <c r="B182" s="44"/>
      <c r="C182" s="48" t="s">
        <v>48</v>
      </c>
      <c r="D182" s="48"/>
      <c r="E182" s="58">
        <v>0</v>
      </c>
      <c r="F182" s="50">
        <v>0</v>
      </c>
      <c r="G182" s="52"/>
    </row>
    <row r="183" spans="2:7">
      <c r="B183" s="44"/>
      <c r="C183" s="48" t="s">
        <v>49</v>
      </c>
      <c r="D183" s="48"/>
      <c r="E183" s="58">
        <v>0</v>
      </c>
      <c r="F183" s="50">
        <v>0</v>
      </c>
      <c r="G183" s="52"/>
    </row>
    <row r="184" spans="2:7">
      <c r="B184" s="44"/>
      <c r="C184" s="48" t="s">
        <v>50</v>
      </c>
      <c r="D184" s="48"/>
      <c r="E184" s="58">
        <v>165.81503999999998</v>
      </c>
      <c r="F184" s="50">
        <v>165.81503999999998</v>
      </c>
      <c r="G184" s="52"/>
    </row>
    <row r="185" spans="2:7">
      <c r="B185" s="44"/>
      <c r="C185" s="48" t="s">
        <v>51</v>
      </c>
      <c r="D185" s="48"/>
      <c r="E185" s="58">
        <v>0</v>
      </c>
      <c r="F185" s="50">
        <v>0</v>
      </c>
      <c r="G185" s="52"/>
    </row>
    <row r="186" spans="2:7">
      <c r="B186" s="44"/>
      <c r="C186" s="53" t="s">
        <v>26</v>
      </c>
      <c r="D186" s="53"/>
      <c r="E186" s="56">
        <v>165.81503999999998</v>
      </c>
      <c r="F186" s="54">
        <v>165.81503999999998</v>
      </c>
      <c r="G186" s="52"/>
    </row>
    <row r="187" spans="2:7">
      <c r="B187" s="44">
        <v>126</v>
      </c>
      <c r="C187" s="39" t="s">
        <v>52</v>
      </c>
      <c r="D187" s="39"/>
      <c r="E187" s="56"/>
      <c r="F187" s="50"/>
      <c r="G187" s="52"/>
    </row>
    <row r="188" spans="2:7">
      <c r="B188" s="44"/>
      <c r="C188" s="48" t="s">
        <v>53</v>
      </c>
      <c r="D188" s="48"/>
      <c r="E188" s="49">
        <v>0</v>
      </c>
      <c r="F188" s="50">
        <v>0</v>
      </c>
      <c r="G188" s="52"/>
    </row>
    <row r="189" spans="2:7">
      <c r="B189" s="44"/>
      <c r="C189" s="48" t="s">
        <v>54</v>
      </c>
      <c r="D189" s="48"/>
      <c r="E189" s="49">
        <v>0</v>
      </c>
      <c r="F189" s="50"/>
      <c r="G189" s="52"/>
    </row>
    <row r="190" spans="2:7">
      <c r="B190" s="44"/>
      <c r="C190" s="48" t="s">
        <v>55</v>
      </c>
      <c r="D190" s="48"/>
      <c r="E190" s="49">
        <v>0</v>
      </c>
      <c r="F190" s="50"/>
      <c r="G190" s="52"/>
    </row>
    <row r="191" spans="2:7">
      <c r="B191" s="44"/>
      <c r="C191" s="48" t="s">
        <v>56</v>
      </c>
      <c r="D191" s="48"/>
      <c r="E191" s="49">
        <v>0</v>
      </c>
      <c r="F191" s="57"/>
      <c r="G191" s="52"/>
    </row>
    <row r="192" spans="2:7">
      <c r="B192" s="44"/>
      <c r="C192" s="53" t="s">
        <v>26</v>
      </c>
      <c r="D192" s="53"/>
      <c r="E192" s="56">
        <v>0</v>
      </c>
      <c r="F192" s="54">
        <v>0</v>
      </c>
      <c r="G192" s="52"/>
    </row>
    <row r="193" spans="2:7">
      <c r="B193" s="44">
        <v>127</v>
      </c>
      <c r="C193" s="39" t="s">
        <v>57</v>
      </c>
      <c r="D193" s="39"/>
      <c r="E193" s="56"/>
      <c r="F193" s="54"/>
      <c r="G193" s="52"/>
    </row>
    <row r="194" spans="2:7">
      <c r="B194" s="44"/>
      <c r="C194" s="48" t="s">
        <v>58</v>
      </c>
      <c r="D194" s="48"/>
      <c r="E194" s="49">
        <v>0</v>
      </c>
      <c r="F194" s="50">
        <v>0</v>
      </c>
      <c r="G194" s="52"/>
    </row>
    <row r="195" spans="2:7">
      <c r="B195" s="44"/>
      <c r="C195" s="48" t="s">
        <v>59</v>
      </c>
      <c r="D195" s="48"/>
      <c r="E195" s="49">
        <v>0</v>
      </c>
      <c r="F195" s="50">
        <v>0</v>
      </c>
      <c r="G195" s="52"/>
    </row>
    <row r="196" spans="2:7">
      <c r="B196" s="44"/>
      <c r="C196" s="48" t="s">
        <v>60</v>
      </c>
      <c r="D196" s="48"/>
      <c r="E196" s="49">
        <v>0</v>
      </c>
      <c r="F196" s="50">
        <v>0</v>
      </c>
      <c r="G196" s="52"/>
    </row>
    <row r="197" spans="2:7">
      <c r="B197" s="44"/>
      <c r="C197" s="59" t="s">
        <v>61</v>
      </c>
      <c r="D197" s="59"/>
      <c r="E197" s="49">
        <v>0</v>
      </c>
      <c r="F197" s="50">
        <v>0</v>
      </c>
      <c r="G197" s="52"/>
    </row>
    <row r="198" spans="2:7">
      <c r="B198" s="44"/>
      <c r="C198" s="53" t="s">
        <v>26</v>
      </c>
      <c r="D198" s="53"/>
      <c r="E198" s="56">
        <v>0</v>
      </c>
      <c r="F198" s="54">
        <v>0</v>
      </c>
      <c r="G198" s="52"/>
    </row>
    <row r="199" spans="2:7">
      <c r="B199" s="44">
        <v>128</v>
      </c>
      <c r="C199" s="39" t="s">
        <v>62</v>
      </c>
      <c r="D199" s="39"/>
      <c r="E199" s="56"/>
      <c r="F199" s="54"/>
      <c r="G199" s="52"/>
    </row>
    <row r="200" spans="2:7">
      <c r="B200" s="44"/>
      <c r="C200" s="48" t="s">
        <v>63</v>
      </c>
      <c r="D200" s="48"/>
      <c r="E200" s="49">
        <v>0</v>
      </c>
      <c r="F200" s="50">
        <v>0</v>
      </c>
      <c r="G200" s="52"/>
    </row>
    <row r="201" spans="2:7">
      <c r="B201" s="44"/>
      <c r="C201" s="48" t="s">
        <v>64</v>
      </c>
      <c r="D201" s="48"/>
      <c r="E201" s="49">
        <v>0</v>
      </c>
      <c r="F201" s="50">
        <v>0</v>
      </c>
      <c r="G201" s="52"/>
    </row>
    <row r="202" spans="2:7">
      <c r="B202" s="44"/>
      <c r="C202" s="48" t="s">
        <v>65</v>
      </c>
      <c r="D202" s="48"/>
      <c r="E202" s="49">
        <v>497.44511999999997</v>
      </c>
      <c r="F202" s="50">
        <v>497.44511999999997</v>
      </c>
      <c r="G202" s="52"/>
    </row>
    <row r="203" spans="2:7">
      <c r="B203" s="44"/>
      <c r="C203" s="48" t="s">
        <v>66</v>
      </c>
      <c r="D203" s="48"/>
      <c r="E203" s="49">
        <v>0</v>
      </c>
      <c r="F203" s="50">
        <v>0</v>
      </c>
      <c r="G203" s="52"/>
    </row>
    <row r="204" spans="2:7">
      <c r="B204" s="44"/>
      <c r="C204" s="48" t="s">
        <v>67</v>
      </c>
      <c r="D204" s="48"/>
      <c r="E204" s="49">
        <v>0</v>
      </c>
      <c r="F204" s="50">
        <v>0</v>
      </c>
      <c r="G204" s="52"/>
    </row>
    <row r="205" spans="2:7">
      <c r="B205" s="44"/>
      <c r="C205" s="53" t="s">
        <v>26</v>
      </c>
      <c r="D205" s="53"/>
      <c r="E205" s="56">
        <v>497.44511999999997</v>
      </c>
      <c r="F205" s="54">
        <v>497.44511999999997</v>
      </c>
      <c r="G205" s="52"/>
    </row>
    <row r="206" spans="2:7">
      <c r="B206" s="44">
        <v>135</v>
      </c>
      <c r="C206" s="39" t="s">
        <v>68</v>
      </c>
      <c r="D206" s="39"/>
      <c r="E206" s="56"/>
      <c r="F206" s="50"/>
      <c r="G206" s="52"/>
    </row>
    <row r="207" spans="2:7">
      <c r="B207" s="44"/>
      <c r="C207" s="48" t="s">
        <v>69</v>
      </c>
      <c r="D207" s="48"/>
      <c r="E207" s="49">
        <v>0</v>
      </c>
      <c r="F207" s="50">
        <v>0</v>
      </c>
      <c r="G207" s="52"/>
    </row>
    <row r="208" spans="2:7">
      <c r="B208" s="44"/>
      <c r="C208" s="48" t="s">
        <v>70</v>
      </c>
      <c r="D208" s="48"/>
      <c r="E208" s="49">
        <v>0</v>
      </c>
      <c r="F208" s="50">
        <v>0</v>
      </c>
      <c r="G208" s="52"/>
    </row>
    <row r="209" spans="2:7">
      <c r="B209" s="44"/>
      <c r="C209" s="48" t="s">
        <v>71</v>
      </c>
      <c r="D209" s="48"/>
      <c r="E209" s="49">
        <v>0</v>
      </c>
      <c r="F209" s="50">
        <v>0</v>
      </c>
      <c r="G209" s="52"/>
    </row>
    <row r="210" spans="2:7">
      <c r="B210" s="44"/>
      <c r="C210" s="48" t="s">
        <v>72</v>
      </c>
      <c r="D210" s="48"/>
      <c r="E210" s="49">
        <v>0</v>
      </c>
      <c r="F210" s="50">
        <v>0</v>
      </c>
      <c r="G210" s="52"/>
    </row>
    <row r="211" spans="2:7">
      <c r="B211" s="44"/>
      <c r="C211" s="48" t="s">
        <v>73</v>
      </c>
      <c r="D211" s="48"/>
      <c r="E211" s="49">
        <v>271.33370181818151</v>
      </c>
      <c r="F211" s="50">
        <v>271.33370181818151</v>
      </c>
      <c r="G211" s="52"/>
    </row>
    <row r="212" spans="2:7">
      <c r="B212" s="44"/>
      <c r="C212" s="48" t="s">
        <v>74</v>
      </c>
      <c r="D212" s="48"/>
      <c r="E212" s="49">
        <v>0</v>
      </c>
      <c r="F212" s="50">
        <v>0</v>
      </c>
      <c r="G212" s="52"/>
    </row>
    <row r="213" spans="2:7">
      <c r="B213" s="44"/>
      <c r="C213" s="48" t="s">
        <v>75</v>
      </c>
      <c r="D213" s="48"/>
      <c r="E213" s="49">
        <v>1285.06656</v>
      </c>
      <c r="F213" s="50">
        <v>1285.06656</v>
      </c>
      <c r="G213" s="52"/>
    </row>
    <row r="214" spans="2:7">
      <c r="B214" s="44"/>
      <c r="C214" s="48" t="s">
        <v>76</v>
      </c>
      <c r="D214" s="48"/>
      <c r="E214" s="49">
        <v>0</v>
      </c>
      <c r="F214" s="50">
        <v>0</v>
      </c>
      <c r="G214" s="52"/>
    </row>
    <row r="215" spans="2:7">
      <c r="B215" s="44"/>
      <c r="C215" s="48" t="s">
        <v>77</v>
      </c>
      <c r="D215" s="48"/>
      <c r="E215" s="49">
        <v>0</v>
      </c>
      <c r="F215" s="50">
        <v>0</v>
      </c>
      <c r="G215" s="52"/>
    </row>
    <row r="216" spans="2:7">
      <c r="B216" s="44"/>
      <c r="C216" s="53" t="s">
        <v>26</v>
      </c>
      <c r="D216" s="53"/>
      <c r="E216" s="56">
        <v>1556.4002618181814</v>
      </c>
      <c r="F216" s="54">
        <v>1556.4002618181814</v>
      </c>
      <c r="G216" s="52"/>
    </row>
    <row r="217" spans="2:7">
      <c r="B217" s="44">
        <v>136</v>
      </c>
      <c r="C217" s="39" t="s">
        <v>78</v>
      </c>
      <c r="D217" s="39"/>
      <c r="E217" s="56"/>
      <c r="F217" s="50"/>
      <c r="G217" s="52"/>
    </row>
    <row r="218" spans="2:7">
      <c r="B218" s="44"/>
      <c r="C218" s="48" t="s">
        <v>79</v>
      </c>
      <c r="D218" s="48"/>
      <c r="E218" s="49">
        <v>0</v>
      </c>
      <c r="F218" s="50">
        <v>0</v>
      </c>
      <c r="G218" s="52"/>
    </row>
    <row r="219" spans="2:7">
      <c r="B219" s="44"/>
      <c r="C219" s="48" t="s">
        <v>80</v>
      </c>
      <c r="D219" s="48"/>
      <c r="E219" s="49">
        <v>0</v>
      </c>
      <c r="F219" s="50">
        <v>0</v>
      </c>
      <c r="G219" s="52"/>
    </row>
    <row r="220" spans="2:7">
      <c r="B220" s="44"/>
      <c r="C220" s="48" t="s">
        <v>81</v>
      </c>
      <c r="D220" s="48"/>
      <c r="E220" s="49">
        <v>0</v>
      </c>
      <c r="F220" s="50">
        <v>0</v>
      </c>
      <c r="G220" s="52"/>
    </row>
    <row r="221" spans="2:7">
      <c r="B221" s="44"/>
      <c r="C221" s="48" t="s">
        <v>82</v>
      </c>
      <c r="D221" s="48"/>
      <c r="E221" s="49">
        <v>0</v>
      </c>
      <c r="F221" s="50">
        <v>0</v>
      </c>
      <c r="G221" s="52"/>
    </row>
    <row r="222" spans="2:7">
      <c r="B222" s="44"/>
      <c r="C222" s="48" t="s">
        <v>83</v>
      </c>
      <c r="D222" s="48"/>
      <c r="E222" s="49">
        <v>0</v>
      </c>
      <c r="F222" s="50">
        <v>0</v>
      </c>
      <c r="G222" s="52"/>
    </row>
    <row r="223" spans="2:7">
      <c r="B223" s="44"/>
      <c r="C223" s="48" t="s">
        <v>84</v>
      </c>
      <c r="D223" s="48"/>
      <c r="E223" s="49">
        <v>0</v>
      </c>
      <c r="F223" s="50">
        <v>0</v>
      </c>
      <c r="G223" s="52"/>
    </row>
    <row r="224" spans="2:7">
      <c r="B224" s="44"/>
      <c r="C224" s="53" t="s">
        <v>26</v>
      </c>
      <c r="D224" s="53"/>
      <c r="E224" s="56">
        <v>0</v>
      </c>
      <c r="F224" s="54">
        <v>0</v>
      </c>
      <c r="G224" s="52"/>
    </row>
    <row r="225" spans="2:7">
      <c r="B225" s="44">
        <v>142</v>
      </c>
      <c r="C225" s="39" t="s">
        <v>85</v>
      </c>
      <c r="D225" s="39"/>
      <c r="E225" s="56"/>
      <c r="F225" s="50"/>
      <c r="G225" s="52"/>
    </row>
    <row r="226" spans="2:7">
      <c r="B226" s="44"/>
      <c r="C226" s="48" t="s">
        <v>86</v>
      </c>
      <c r="D226" s="48"/>
      <c r="E226" s="49">
        <v>0</v>
      </c>
      <c r="F226" s="50">
        <v>0</v>
      </c>
      <c r="G226" s="52"/>
    </row>
    <row r="227" spans="2:7">
      <c r="B227" s="44"/>
      <c r="C227" s="48" t="s">
        <v>87</v>
      </c>
      <c r="D227" s="48"/>
      <c r="E227" s="49">
        <v>0</v>
      </c>
      <c r="F227" s="50">
        <v>0</v>
      </c>
      <c r="G227" s="52"/>
    </row>
    <row r="228" spans="2:7">
      <c r="B228" s="44"/>
      <c r="C228" s="53" t="s">
        <v>26</v>
      </c>
      <c r="D228" s="53"/>
      <c r="E228" s="56">
        <v>0</v>
      </c>
      <c r="F228" s="54">
        <v>0</v>
      </c>
      <c r="G228" s="52"/>
    </row>
    <row r="229" spans="2:7">
      <c r="B229" s="44">
        <v>144</v>
      </c>
      <c r="C229" s="39" t="s">
        <v>88</v>
      </c>
      <c r="D229" s="39"/>
      <c r="E229" s="49">
        <v>0</v>
      </c>
      <c r="F229" s="54">
        <v>0</v>
      </c>
      <c r="G229" s="52"/>
    </row>
    <row r="230" spans="2:7">
      <c r="B230" s="44">
        <v>221</v>
      </c>
      <c r="C230" s="39" t="s">
        <v>89</v>
      </c>
      <c r="D230" s="39"/>
      <c r="E230" s="49">
        <v>0</v>
      </c>
      <c r="F230" s="54">
        <v>0</v>
      </c>
      <c r="G230" s="52"/>
    </row>
    <row r="231" spans="2:7">
      <c r="B231" s="44">
        <v>222</v>
      </c>
      <c r="C231" s="39" t="s">
        <v>90</v>
      </c>
      <c r="D231" s="39"/>
      <c r="E231" s="49">
        <v>0</v>
      </c>
      <c r="F231" s="54">
        <v>0</v>
      </c>
      <c r="G231" s="52"/>
    </row>
    <row r="232" spans="2:7">
      <c r="B232" s="44">
        <v>224</v>
      </c>
      <c r="C232" s="39" t="s">
        <v>91</v>
      </c>
      <c r="D232" s="39"/>
      <c r="E232" s="49">
        <v>0</v>
      </c>
      <c r="F232" s="54">
        <v>0</v>
      </c>
      <c r="G232" s="52"/>
    </row>
    <row r="233" spans="2:7">
      <c r="B233" s="44">
        <v>225</v>
      </c>
      <c r="C233" s="39" t="s">
        <v>92</v>
      </c>
      <c r="D233" s="39"/>
      <c r="E233" s="49">
        <v>0</v>
      </c>
      <c r="F233" s="54">
        <v>0</v>
      </c>
      <c r="G233" s="38"/>
    </row>
    <row r="234" spans="2:7">
      <c r="B234" s="44">
        <v>226</v>
      </c>
      <c r="C234" s="39" t="s">
        <v>93</v>
      </c>
      <c r="D234" s="39"/>
      <c r="E234" s="49">
        <v>0</v>
      </c>
      <c r="F234" s="54">
        <v>0</v>
      </c>
      <c r="G234" s="60"/>
    </row>
    <row r="235" spans="2:7" ht="15.75" thickBot="1">
      <c r="B235" s="61"/>
      <c r="C235" s="62" t="s">
        <v>94</v>
      </c>
      <c r="D235" s="62"/>
      <c r="E235" s="94">
        <v>0</v>
      </c>
      <c r="F235" s="63">
        <v>0</v>
      </c>
      <c r="G235" s="38"/>
    </row>
    <row r="236" spans="2:7">
      <c r="B236" s="64"/>
      <c r="C236" s="65" t="s">
        <v>95</v>
      </c>
      <c r="D236" s="66"/>
      <c r="E236" s="67">
        <v>4145.3759999999975</v>
      </c>
      <c r="F236" s="68">
        <v>4145.3759999999975</v>
      </c>
      <c r="G236" s="69"/>
    </row>
    <row r="237" spans="2:7" ht="15.75" thickBot="1">
      <c r="B237" s="64"/>
      <c r="C237" s="70"/>
      <c r="D237" s="71"/>
      <c r="E237" s="72"/>
      <c r="F237" s="73"/>
      <c r="G237" s="69"/>
    </row>
    <row r="238" spans="2:7" ht="15.75" thickBot="1">
      <c r="B238" s="64"/>
      <c r="C238" s="70" t="s">
        <v>96</v>
      </c>
      <c r="D238" s="71"/>
      <c r="E238" s="74">
        <v>21024.997990909131</v>
      </c>
      <c r="F238" s="75">
        <v>21024.997990909131</v>
      </c>
      <c r="G238" s="76"/>
    </row>
    <row r="239" spans="2:7" ht="8.25" customHeight="1" thickBot="1">
      <c r="B239" s="77"/>
      <c r="C239" s="81"/>
      <c r="D239" s="81"/>
      <c r="E239" s="78"/>
      <c r="F239" s="78"/>
      <c r="G239" s="79"/>
    </row>
    <row r="240" spans="2:7">
      <c r="B240" s="85"/>
      <c r="C240" s="84"/>
      <c r="D240" s="84"/>
      <c r="E240" s="85"/>
      <c r="F240" s="85"/>
      <c r="G240" s="85"/>
    </row>
    <row r="241" spans="1:7" ht="6" customHeight="1" thickBot="1"/>
    <row r="242" spans="1:7">
      <c r="B242" s="1"/>
      <c r="C242" s="2"/>
      <c r="D242" s="2"/>
      <c r="E242" s="2"/>
      <c r="F242" s="2"/>
      <c r="G242" s="3"/>
    </row>
    <row r="243" spans="1:7">
      <c r="B243" s="4"/>
      <c r="C243" s="5"/>
      <c r="D243" s="5"/>
      <c r="E243" s="5"/>
      <c r="F243" s="5"/>
      <c r="G243" s="6"/>
    </row>
    <row r="244" spans="1:7">
      <c r="B244" s="4"/>
      <c r="C244" s="5"/>
      <c r="D244" s="5"/>
      <c r="E244" s="5"/>
      <c r="F244" s="5"/>
      <c r="G244" s="6"/>
    </row>
    <row r="245" spans="1:7">
      <c r="B245" s="4"/>
      <c r="C245" s="5"/>
      <c r="D245" s="5"/>
      <c r="E245" s="5"/>
      <c r="F245" s="5"/>
      <c r="G245" s="6"/>
    </row>
    <row r="246" spans="1:7">
      <c r="B246" s="4"/>
      <c r="C246" s="5"/>
      <c r="D246" s="5"/>
      <c r="E246" s="5"/>
      <c r="F246" s="5"/>
      <c r="G246" s="6"/>
    </row>
    <row r="247" spans="1:7" ht="16.5" customHeight="1">
      <c r="B247" s="4"/>
      <c r="C247" s="5"/>
      <c r="D247" s="5"/>
      <c r="E247" s="5"/>
      <c r="F247" s="5"/>
      <c r="G247" s="6"/>
    </row>
    <row r="248" spans="1:7" ht="22.5" customHeight="1" thickBot="1">
      <c r="B248" s="4"/>
      <c r="C248" s="95" t="s">
        <v>0</v>
      </c>
      <c r="D248" s="95"/>
      <c r="E248" s="95"/>
      <c r="F248" s="5"/>
      <c r="G248" s="6"/>
    </row>
    <row r="249" spans="1:7" ht="21" thickTop="1">
      <c r="B249" s="4"/>
      <c r="C249" s="7"/>
      <c r="D249" s="7"/>
      <c r="E249" s="5"/>
      <c r="F249" s="5"/>
      <c r="G249" s="6"/>
    </row>
    <row r="250" spans="1:7">
      <c r="B250" s="8" t="s">
        <v>1</v>
      </c>
      <c r="C250" s="9" t="s">
        <v>97</v>
      </c>
      <c r="D250" s="5"/>
      <c r="E250" s="10" t="s">
        <v>2</v>
      </c>
      <c r="F250" s="9" t="s">
        <v>98</v>
      </c>
      <c r="G250" s="6"/>
    </row>
    <row r="251" spans="1:7" ht="3.75" customHeight="1">
      <c r="A251" s="80"/>
      <c r="B251" s="5"/>
      <c r="C251" s="5"/>
      <c r="D251" s="5"/>
      <c r="E251" s="11"/>
      <c r="F251" s="5"/>
      <c r="G251" s="6"/>
    </row>
    <row r="252" spans="1:7">
      <c r="A252" s="80"/>
      <c r="B252" s="12" t="s">
        <v>3</v>
      </c>
      <c r="C252" s="9" t="s">
        <v>99</v>
      </c>
      <c r="D252" s="5"/>
      <c r="E252" s="10" t="s">
        <v>4</v>
      </c>
      <c r="F252" s="82" t="s">
        <v>100</v>
      </c>
      <c r="G252" s="6"/>
    </row>
    <row r="253" spans="1:7" ht="3.75" customHeight="1">
      <c r="A253" s="80"/>
      <c r="B253" s="5"/>
      <c r="C253" s="5"/>
      <c r="D253" s="5"/>
      <c r="E253" s="11"/>
      <c r="F253" s="5"/>
      <c r="G253" s="6"/>
    </row>
    <row r="254" spans="1:7">
      <c r="A254" s="80"/>
      <c r="B254" s="10" t="s">
        <v>5</v>
      </c>
      <c r="C254" s="9" t="s">
        <v>101</v>
      </c>
      <c r="D254" s="5"/>
      <c r="E254" s="10" t="s">
        <v>6</v>
      </c>
      <c r="F254" s="9" t="s">
        <v>107</v>
      </c>
      <c r="G254" s="6"/>
    </row>
    <row r="255" spans="1:7" ht="4.5" customHeight="1">
      <c r="A255" s="80"/>
      <c r="B255" s="13"/>
      <c r="C255" s="5"/>
      <c r="D255" s="5"/>
      <c r="E255" s="11"/>
      <c r="F255" s="5"/>
      <c r="G255" s="6"/>
    </row>
    <row r="256" spans="1:7">
      <c r="A256" s="80"/>
      <c r="B256" s="10" t="s">
        <v>7</v>
      </c>
      <c r="C256" s="9" t="s">
        <v>108</v>
      </c>
      <c r="D256" s="5"/>
      <c r="E256" s="11"/>
      <c r="F256" s="5"/>
      <c r="G256" s="6"/>
    </row>
    <row r="257" spans="1:7" ht="3.75" customHeight="1">
      <c r="A257" s="80"/>
      <c r="B257" s="5"/>
      <c r="C257" s="5"/>
      <c r="D257" s="5"/>
      <c r="E257" s="11"/>
      <c r="F257" s="5"/>
      <c r="G257" s="6"/>
    </row>
    <row r="258" spans="1:7">
      <c r="B258" s="14" t="s">
        <v>8</v>
      </c>
      <c r="C258" s="15" t="s">
        <v>105</v>
      </c>
      <c r="D258" s="5"/>
      <c r="E258" s="86" t="s">
        <v>109</v>
      </c>
      <c r="F258" s="87">
        <v>45352</v>
      </c>
      <c r="G258" s="6"/>
    </row>
    <row r="259" spans="1:7">
      <c r="B259" s="16" t="s">
        <v>9</v>
      </c>
      <c r="C259" s="17" t="s">
        <v>130</v>
      </c>
      <c r="D259" s="5"/>
      <c r="E259" s="88" t="s">
        <v>110</v>
      </c>
      <c r="F259" s="89">
        <v>45382</v>
      </c>
      <c r="G259" s="18"/>
    </row>
    <row r="260" spans="1:7" ht="15.75" thickBot="1">
      <c r="B260" s="4"/>
      <c r="C260" s="19"/>
      <c r="D260" s="19"/>
      <c r="E260" s="20"/>
      <c r="F260" s="21"/>
      <c r="G260" s="18"/>
    </row>
    <row r="261" spans="1:7" ht="18.75" thickBot="1">
      <c r="B261" s="4"/>
      <c r="C261" s="22" t="s">
        <v>10</v>
      </c>
      <c r="D261" s="23"/>
      <c r="E261" s="24"/>
      <c r="F261" s="25" t="s">
        <v>11</v>
      </c>
      <c r="G261" s="18"/>
    </row>
    <row r="262" spans="1:7">
      <c r="B262" s="4"/>
      <c r="C262" s="26" t="s">
        <v>12</v>
      </c>
      <c r="D262" s="26"/>
      <c r="E262" s="27">
        <v>21024.997990909131</v>
      </c>
      <c r="F262" s="28">
        <v>21024.997990909131</v>
      </c>
      <c r="G262" s="29"/>
    </row>
    <row r="263" spans="1:7">
      <c r="B263" s="30">
        <v>143</v>
      </c>
      <c r="C263" s="31" t="s">
        <v>13</v>
      </c>
      <c r="D263" s="31"/>
      <c r="E263" s="27">
        <v>6995.1100000000006</v>
      </c>
      <c r="F263" s="32">
        <v>6995.1100000000006</v>
      </c>
      <c r="G263" s="33"/>
    </row>
    <row r="264" spans="1:7">
      <c r="B264" s="30"/>
      <c r="C264" s="34" t="s">
        <v>14</v>
      </c>
      <c r="D264" s="34"/>
      <c r="E264" s="27">
        <v>0</v>
      </c>
      <c r="F264" s="32">
        <v>0</v>
      </c>
      <c r="G264" s="33"/>
    </row>
    <row r="265" spans="1:7">
      <c r="B265" s="30"/>
      <c r="C265" s="34" t="s">
        <v>15</v>
      </c>
      <c r="D265" s="34"/>
      <c r="E265" s="27">
        <v>0</v>
      </c>
      <c r="F265" s="32">
        <v>0</v>
      </c>
      <c r="G265" s="33"/>
    </row>
    <row r="266" spans="1:7">
      <c r="B266" s="30"/>
      <c r="C266" s="34" t="s">
        <v>16</v>
      </c>
      <c r="D266" s="34"/>
      <c r="E266" s="27">
        <v>0</v>
      </c>
      <c r="F266" s="32">
        <v>0</v>
      </c>
      <c r="G266" s="33"/>
    </row>
    <row r="267" spans="1:7">
      <c r="B267" s="30"/>
      <c r="C267" s="34" t="s">
        <v>17</v>
      </c>
      <c r="D267" s="34"/>
      <c r="E267" s="27">
        <v>0</v>
      </c>
      <c r="F267" s="32">
        <v>0</v>
      </c>
      <c r="G267" s="33"/>
    </row>
    <row r="268" spans="1:7">
      <c r="B268" s="30"/>
      <c r="C268" s="35" t="s">
        <v>18</v>
      </c>
      <c r="D268" s="35"/>
      <c r="E268" s="36">
        <v>28020.107990909131</v>
      </c>
      <c r="F268" s="37">
        <v>28020.107990909131</v>
      </c>
      <c r="G268" s="38"/>
    </row>
    <row r="269" spans="1:7" ht="15.75" thickBot="1">
      <c r="B269" s="30"/>
      <c r="C269" s="39"/>
      <c r="D269" s="39"/>
      <c r="E269" s="40"/>
      <c r="F269" s="41"/>
      <c r="G269" s="38"/>
    </row>
    <row r="270" spans="1:7" ht="18.75" thickBot="1">
      <c r="B270" s="30"/>
      <c r="C270" s="22" t="s">
        <v>19</v>
      </c>
      <c r="D270" s="23"/>
      <c r="E270" s="42"/>
      <c r="F270" s="43"/>
      <c r="G270" s="38"/>
    </row>
    <row r="271" spans="1:7">
      <c r="B271" s="44">
        <v>121</v>
      </c>
      <c r="C271" s="39" t="s">
        <v>20</v>
      </c>
      <c r="D271" s="39"/>
      <c r="E271" s="45"/>
      <c r="F271" s="46"/>
      <c r="G271" s="47"/>
    </row>
    <row r="272" spans="1:7">
      <c r="B272" s="44"/>
      <c r="C272" s="48" t="s">
        <v>21</v>
      </c>
      <c r="D272" s="48"/>
      <c r="E272" s="49">
        <v>0</v>
      </c>
      <c r="F272" s="50">
        <v>0</v>
      </c>
      <c r="G272" s="47"/>
    </row>
    <row r="273" spans="2:7">
      <c r="B273" s="44"/>
      <c r="C273" s="48" t="s">
        <v>22</v>
      </c>
      <c r="D273" s="48"/>
      <c r="E273" s="49">
        <v>0</v>
      </c>
      <c r="F273" s="50">
        <v>0</v>
      </c>
      <c r="G273" s="47"/>
    </row>
    <row r="274" spans="2:7">
      <c r="B274" s="51"/>
      <c r="C274" s="48" t="s">
        <v>23</v>
      </c>
      <c r="D274" s="48"/>
      <c r="E274" s="49">
        <v>0</v>
      </c>
      <c r="F274" s="50">
        <v>0</v>
      </c>
      <c r="G274" s="52"/>
    </row>
    <row r="275" spans="2:7">
      <c r="B275" s="51"/>
      <c r="C275" s="48" t="s">
        <v>24</v>
      </c>
      <c r="D275" s="48"/>
      <c r="E275" s="49">
        <v>1243.6128000000001</v>
      </c>
      <c r="F275" s="50">
        <v>1243.6128000000001</v>
      </c>
      <c r="G275" s="52"/>
    </row>
    <row r="276" spans="2:7">
      <c r="B276" s="44"/>
      <c r="C276" s="48" t="s">
        <v>25</v>
      </c>
      <c r="D276" s="48"/>
      <c r="E276" s="49">
        <v>0</v>
      </c>
      <c r="F276" s="50">
        <v>0</v>
      </c>
      <c r="G276" s="52"/>
    </row>
    <row r="277" spans="2:7">
      <c r="B277" s="44"/>
      <c r="C277" s="53" t="s">
        <v>26</v>
      </c>
      <c r="D277" s="53"/>
      <c r="E277" s="36">
        <v>1243.6128000000001</v>
      </c>
      <c r="F277" s="54">
        <v>1243.6128000000001</v>
      </c>
      <c r="G277" s="52"/>
    </row>
    <row r="278" spans="2:7">
      <c r="B278" s="44">
        <v>122</v>
      </c>
      <c r="C278" s="39" t="s">
        <v>27</v>
      </c>
      <c r="D278" s="39"/>
      <c r="E278" s="36"/>
      <c r="F278" s="50"/>
      <c r="G278" s="55"/>
    </row>
    <row r="279" spans="2:7">
      <c r="B279" s="44"/>
      <c r="C279" s="48" t="s">
        <v>28</v>
      </c>
      <c r="D279" s="48"/>
      <c r="E279" s="49">
        <v>0</v>
      </c>
      <c r="F279" s="50">
        <v>0</v>
      </c>
      <c r="G279" s="52"/>
    </row>
    <row r="280" spans="2:7">
      <c r="B280" s="44"/>
      <c r="C280" s="48" t="s">
        <v>29</v>
      </c>
      <c r="D280" s="48"/>
      <c r="E280" s="49">
        <v>0</v>
      </c>
      <c r="F280" s="50">
        <v>0</v>
      </c>
      <c r="G280" s="52"/>
    </row>
    <row r="281" spans="2:7">
      <c r="B281" s="44"/>
      <c r="C281" s="48" t="s">
        <v>30</v>
      </c>
      <c r="D281" s="48"/>
      <c r="E281" s="49">
        <v>0</v>
      </c>
      <c r="F281" s="50">
        <v>0</v>
      </c>
      <c r="G281" s="52"/>
    </row>
    <row r="282" spans="2:7">
      <c r="B282" s="44"/>
      <c r="C282" s="48" t="s">
        <v>31</v>
      </c>
      <c r="D282" s="48"/>
      <c r="E282" s="49">
        <v>0</v>
      </c>
      <c r="F282" s="50">
        <v>0</v>
      </c>
      <c r="G282" s="52"/>
    </row>
    <row r="283" spans="2:7">
      <c r="B283" s="44"/>
      <c r="C283" s="48" t="s">
        <v>32</v>
      </c>
      <c r="D283" s="48"/>
      <c r="E283" s="49">
        <v>414.53760000000005</v>
      </c>
      <c r="F283" s="50">
        <v>414.53760000000005</v>
      </c>
      <c r="G283" s="52"/>
    </row>
    <row r="284" spans="2:7">
      <c r="B284" s="44"/>
      <c r="C284" s="48" t="s">
        <v>33</v>
      </c>
      <c r="D284" s="48"/>
      <c r="E284" s="49">
        <v>0</v>
      </c>
      <c r="F284" s="50">
        <v>0</v>
      </c>
      <c r="G284" s="52"/>
    </row>
    <row r="285" spans="2:7">
      <c r="B285" s="44"/>
      <c r="C285" s="48" t="s">
        <v>34</v>
      </c>
      <c r="D285" s="48"/>
      <c r="E285" s="49">
        <v>0</v>
      </c>
      <c r="F285" s="50">
        <v>0</v>
      </c>
      <c r="G285" s="52"/>
    </row>
    <row r="286" spans="2:7">
      <c r="B286" s="44"/>
      <c r="C286" s="48" t="s">
        <v>35</v>
      </c>
      <c r="D286" s="48"/>
      <c r="E286" s="49">
        <v>0</v>
      </c>
      <c r="F286" s="50">
        <v>0</v>
      </c>
      <c r="G286" s="52"/>
    </row>
    <row r="287" spans="2:7">
      <c r="B287" s="44"/>
      <c r="C287" s="53" t="s">
        <v>26</v>
      </c>
      <c r="D287" s="53"/>
      <c r="E287" s="36">
        <v>414.53760000000005</v>
      </c>
      <c r="F287" s="54">
        <v>414.53760000000005</v>
      </c>
      <c r="G287" s="52"/>
    </row>
    <row r="288" spans="2:7">
      <c r="B288" s="44">
        <v>123</v>
      </c>
      <c r="C288" s="39" t="s">
        <v>36</v>
      </c>
      <c r="D288" s="39"/>
      <c r="E288" s="56"/>
      <c r="F288" s="57"/>
      <c r="G288" s="52"/>
    </row>
    <row r="289" spans="2:7">
      <c r="B289" s="44"/>
      <c r="C289" s="48" t="s">
        <v>37</v>
      </c>
      <c r="D289" s="48"/>
      <c r="E289" s="49">
        <v>339.16712727272693</v>
      </c>
      <c r="F289" s="50">
        <v>339.16712727272693</v>
      </c>
      <c r="G289" s="52"/>
    </row>
    <row r="290" spans="2:7">
      <c r="B290" s="44"/>
      <c r="C290" s="48" t="s">
        <v>38</v>
      </c>
      <c r="D290" s="48"/>
      <c r="E290" s="49">
        <v>2788.7074909090884</v>
      </c>
      <c r="F290" s="50">
        <v>2788.7074909090884</v>
      </c>
      <c r="G290" s="52"/>
    </row>
    <row r="291" spans="2:7">
      <c r="B291" s="44"/>
      <c r="C291" s="48" t="s">
        <v>39</v>
      </c>
      <c r="D291" s="48"/>
      <c r="E291" s="49">
        <v>339.16712727272693</v>
      </c>
      <c r="F291" s="50">
        <v>339.16712727272693</v>
      </c>
      <c r="G291" s="52"/>
    </row>
    <row r="292" spans="2:7">
      <c r="B292" s="44"/>
      <c r="C292" s="48" t="s">
        <v>40</v>
      </c>
      <c r="D292" s="48"/>
      <c r="E292" s="49">
        <v>0</v>
      </c>
      <c r="F292" s="50">
        <v>0</v>
      </c>
      <c r="G292" s="52"/>
    </row>
    <row r="293" spans="2:7">
      <c r="B293" s="44"/>
      <c r="C293" s="48" t="s">
        <v>41</v>
      </c>
      <c r="D293" s="48"/>
      <c r="E293" s="49">
        <v>0</v>
      </c>
      <c r="F293" s="50">
        <v>0</v>
      </c>
      <c r="G293" s="52"/>
    </row>
    <row r="294" spans="2:7">
      <c r="B294" s="44"/>
      <c r="C294" s="48" t="s">
        <v>42</v>
      </c>
      <c r="D294" s="48"/>
      <c r="E294" s="49">
        <v>678.33425454545386</v>
      </c>
      <c r="F294" s="50">
        <v>678.33425454545386</v>
      </c>
      <c r="G294" s="52"/>
    </row>
    <row r="295" spans="2:7">
      <c r="B295" s="44"/>
      <c r="C295" s="53" t="s">
        <v>26</v>
      </c>
      <c r="D295" s="53"/>
      <c r="E295" s="36">
        <v>4145.3759999999966</v>
      </c>
      <c r="F295" s="54">
        <v>4145.3759999999966</v>
      </c>
      <c r="G295" s="52"/>
    </row>
    <row r="296" spans="2:7">
      <c r="B296" s="44">
        <v>124</v>
      </c>
      <c r="C296" s="39" t="s">
        <v>43</v>
      </c>
      <c r="D296" s="39"/>
      <c r="E296" s="56"/>
      <c r="F296" s="57"/>
      <c r="G296" s="52"/>
    </row>
    <row r="297" spans="2:7">
      <c r="B297" s="44"/>
      <c r="C297" s="48" t="s">
        <v>44</v>
      </c>
      <c r="D297" s="48"/>
      <c r="E297" s="49">
        <v>0</v>
      </c>
      <c r="F297" s="50">
        <v>0</v>
      </c>
      <c r="G297" s="52"/>
    </row>
    <row r="298" spans="2:7">
      <c r="B298" s="44"/>
      <c r="C298" s="48" t="s">
        <v>45</v>
      </c>
      <c r="D298" s="48"/>
      <c r="E298" s="49">
        <v>3212.6664000000001</v>
      </c>
      <c r="F298" s="50">
        <v>3212.6664000000001</v>
      </c>
      <c r="G298" s="52"/>
    </row>
    <row r="299" spans="2:7">
      <c r="B299" s="44"/>
      <c r="C299" s="48" t="s">
        <v>46</v>
      </c>
      <c r="D299" s="48"/>
      <c r="E299" s="49">
        <v>0</v>
      </c>
      <c r="F299" s="50">
        <v>0</v>
      </c>
      <c r="G299" s="52"/>
    </row>
    <row r="300" spans="2:7">
      <c r="B300" s="44"/>
      <c r="C300" s="53" t="s">
        <v>26</v>
      </c>
      <c r="D300" s="53"/>
      <c r="E300" s="36">
        <v>3212.6664000000001</v>
      </c>
      <c r="F300" s="54">
        <v>3212.6664000000001</v>
      </c>
      <c r="G300" s="52"/>
    </row>
    <row r="301" spans="2:7">
      <c r="B301" s="44">
        <v>125</v>
      </c>
      <c r="C301" s="39" t="s">
        <v>47</v>
      </c>
      <c r="D301" s="39"/>
      <c r="E301" s="36"/>
      <c r="F301" s="50"/>
      <c r="G301" s="52"/>
    </row>
    <row r="302" spans="2:7">
      <c r="B302" s="44"/>
      <c r="C302" s="48" t="s">
        <v>48</v>
      </c>
      <c r="D302" s="48"/>
      <c r="E302" s="58">
        <v>0</v>
      </c>
      <c r="F302" s="50">
        <v>0</v>
      </c>
      <c r="G302" s="52"/>
    </row>
    <row r="303" spans="2:7">
      <c r="B303" s="44"/>
      <c r="C303" s="48" t="s">
        <v>49</v>
      </c>
      <c r="D303" s="48"/>
      <c r="E303" s="58">
        <v>0</v>
      </c>
      <c r="F303" s="50">
        <v>0</v>
      </c>
      <c r="G303" s="52"/>
    </row>
    <row r="304" spans="2:7">
      <c r="B304" s="44"/>
      <c r="C304" s="48" t="s">
        <v>50</v>
      </c>
      <c r="D304" s="48"/>
      <c r="E304" s="58">
        <v>1347.2472000000002</v>
      </c>
      <c r="F304" s="50">
        <v>1347.2472000000002</v>
      </c>
      <c r="G304" s="52"/>
    </row>
    <row r="305" spans="2:7">
      <c r="B305" s="44"/>
      <c r="C305" s="48" t="s">
        <v>51</v>
      </c>
      <c r="D305" s="48"/>
      <c r="E305" s="58">
        <v>0</v>
      </c>
      <c r="F305" s="50">
        <v>0</v>
      </c>
      <c r="G305" s="52"/>
    </row>
    <row r="306" spans="2:7">
      <c r="B306" s="44"/>
      <c r="C306" s="53" t="s">
        <v>26</v>
      </c>
      <c r="D306" s="53"/>
      <c r="E306" s="56">
        <v>1347.2472000000002</v>
      </c>
      <c r="F306" s="54">
        <v>1347.2472000000002</v>
      </c>
      <c r="G306" s="52"/>
    </row>
    <row r="307" spans="2:7">
      <c r="B307" s="44">
        <v>126</v>
      </c>
      <c r="C307" s="39" t="s">
        <v>52</v>
      </c>
      <c r="D307" s="39"/>
      <c r="E307" s="56"/>
      <c r="F307" s="50"/>
      <c r="G307" s="52"/>
    </row>
    <row r="308" spans="2:7">
      <c r="B308" s="44"/>
      <c r="C308" s="48" t="s">
        <v>53</v>
      </c>
      <c r="D308" s="48"/>
      <c r="E308" s="49">
        <v>0</v>
      </c>
      <c r="F308" s="50">
        <v>0</v>
      </c>
      <c r="G308" s="52"/>
    </row>
    <row r="309" spans="2:7">
      <c r="B309" s="44"/>
      <c r="C309" s="48" t="s">
        <v>54</v>
      </c>
      <c r="D309" s="48"/>
      <c r="E309" s="49">
        <v>0</v>
      </c>
      <c r="F309" s="50"/>
      <c r="G309" s="52"/>
    </row>
    <row r="310" spans="2:7">
      <c r="B310" s="44"/>
      <c r="C310" s="48" t="s">
        <v>55</v>
      </c>
      <c r="D310" s="48"/>
      <c r="E310" s="49">
        <v>0</v>
      </c>
      <c r="F310" s="50"/>
      <c r="G310" s="52"/>
    </row>
    <row r="311" spans="2:7">
      <c r="B311" s="44"/>
      <c r="C311" s="48" t="s">
        <v>56</v>
      </c>
      <c r="D311" s="48"/>
      <c r="E311" s="49">
        <v>0</v>
      </c>
      <c r="F311" s="57"/>
      <c r="G311" s="52"/>
    </row>
    <row r="312" spans="2:7">
      <c r="B312" s="44"/>
      <c r="C312" s="53" t="s">
        <v>26</v>
      </c>
      <c r="D312" s="53"/>
      <c r="E312" s="56">
        <v>0</v>
      </c>
      <c r="F312" s="54">
        <v>0</v>
      </c>
      <c r="G312" s="52"/>
    </row>
    <row r="313" spans="2:7">
      <c r="B313" s="44">
        <v>127</v>
      </c>
      <c r="C313" s="39" t="s">
        <v>57</v>
      </c>
      <c r="D313" s="39"/>
      <c r="E313" s="56"/>
      <c r="F313" s="54"/>
      <c r="G313" s="52"/>
    </row>
    <row r="314" spans="2:7">
      <c r="B314" s="44"/>
      <c r="C314" s="48" t="s">
        <v>58</v>
      </c>
      <c r="D314" s="48"/>
      <c r="E314" s="49">
        <v>0</v>
      </c>
      <c r="F314" s="50">
        <v>0</v>
      </c>
      <c r="G314" s="52"/>
    </row>
    <row r="315" spans="2:7">
      <c r="B315" s="44"/>
      <c r="C315" s="48" t="s">
        <v>59</v>
      </c>
      <c r="D315" s="48"/>
      <c r="E315" s="49">
        <v>0</v>
      </c>
      <c r="F315" s="50">
        <v>0</v>
      </c>
      <c r="G315" s="52"/>
    </row>
    <row r="316" spans="2:7">
      <c r="B316" s="44"/>
      <c r="C316" s="48" t="s">
        <v>60</v>
      </c>
      <c r="D316" s="48"/>
      <c r="E316" s="49">
        <v>0</v>
      </c>
      <c r="F316" s="50">
        <v>0</v>
      </c>
      <c r="G316" s="52"/>
    </row>
    <row r="317" spans="2:7">
      <c r="B317" s="44"/>
      <c r="C317" s="59" t="s">
        <v>61</v>
      </c>
      <c r="D317" s="59"/>
      <c r="E317" s="49">
        <v>0</v>
      </c>
      <c r="F317" s="50">
        <v>0</v>
      </c>
      <c r="G317" s="52"/>
    </row>
    <row r="318" spans="2:7">
      <c r="B318" s="44"/>
      <c r="C318" s="53" t="s">
        <v>26</v>
      </c>
      <c r="D318" s="53"/>
      <c r="E318" s="56">
        <v>0</v>
      </c>
      <c r="F318" s="54">
        <v>0</v>
      </c>
      <c r="G318" s="52"/>
    </row>
    <row r="319" spans="2:7">
      <c r="B319" s="44">
        <v>128</v>
      </c>
      <c r="C319" s="39" t="s">
        <v>62</v>
      </c>
      <c r="D319" s="39"/>
      <c r="E319" s="56"/>
      <c r="F319" s="54"/>
      <c r="G319" s="52"/>
    </row>
    <row r="320" spans="2:7">
      <c r="B320" s="44"/>
      <c r="C320" s="48" t="s">
        <v>63</v>
      </c>
      <c r="D320" s="48"/>
      <c r="E320" s="49">
        <v>0</v>
      </c>
      <c r="F320" s="50">
        <v>0</v>
      </c>
      <c r="G320" s="52"/>
    </row>
    <row r="321" spans="2:7">
      <c r="B321" s="44"/>
      <c r="C321" s="48" t="s">
        <v>64</v>
      </c>
      <c r="D321" s="48"/>
      <c r="E321" s="49">
        <v>0</v>
      </c>
      <c r="F321" s="50">
        <v>0</v>
      </c>
      <c r="G321" s="52"/>
    </row>
    <row r="322" spans="2:7">
      <c r="B322" s="44"/>
      <c r="C322" s="48" t="s">
        <v>65</v>
      </c>
      <c r="D322" s="48"/>
      <c r="E322" s="49">
        <v>0</v>
      </c>
      <c r="F322" s="50">
        <v>0</v>
      </c>
      <c r="G322" s="52"/>
    </row>
    <row r="323" spans="2:7">
      <c r="B323" s="44"/>
      <c r="C323" s="48" t="s">
        <v>66</v>
      </c>
      <c r="D323" s="48"/>
      <c r="E323" s="49">
        <v>0</v>
      </c>
      <c r="F323" s="50">
        <v>0</v>
      </c>
      <c r="G323" s="52"/>
    </row>
    <row r="324" spans="2:7">
      <c r="B324" s="44"/>
      <c r="C324" s="48" t="s">
        <v>67</v>
      </c>
      <c r="D324" s="48"/>
      <c r="E324" s="49">
        <v>0</v>
      </c>
      <c r="F324" s="50">
        <v>0</v>
      </c>
      <c r="G324" s="52"/>
    </row>
    <row r="325" spans="2:7">
      <c r="B325" s="44"/>
      <c r="C325" s="53" t="s">
        <v>26</v>
      </c>
      <c r="D325" s="53"/>
      <c r="E325" s="56">
        <v>0</v>
      </c>
      <c r="F325" s="54">
        <v>0</v>
      </c>
      <c r="G325" s="52"/>
    </row>
    <row r="326" spans="2:7">
      <c r="B326" s="44">
        <v>135</v>
      </c>
      <c r="C326" s="39" t="s">
        <v>68</v>
      </c>
      <c r="D326" s="39"/>
      <c r="E326" s="56"/>
      <c r="F326" s="50"/>
      <c r="G326" s="52"/>
    </row>
    <row r="327" spans="2:7">
      <c r="B327" s="44"/>
      <c r="C327" s="48" t="s">
        <v>69</v>
      </c>
      <c r="D327" s="48"/>
      <c r="E327" s="49">
        <v>0</v>
      </c>
      <c r="F327" s="50">
        <v>0</v>
      </c>
      <c r="G327" s="52"/>
    </row>
    <row r="328" spans="2:7">
      <c r="B328" s="44"/>
      <c r="C328" s="48" t="s">
        <v>70</v>
      </c>
      <c r="D328" s="48"/>
      <c r="E328" s="49">
        <v>0</v>
      </c>
      <c r="F328" s="50">
        <v>0</v>
      </c>
      <c r="G328" s="52"/>
    </row>
    <row r="329" spans="2:7">
      <c r="B329" s="44"/>
      <c r="C329" s="48" t="s">
        <v>71</v>
      </c>
      <c r="D329" s="48"/>
      <c r="E329" s="49">
        <v>0</v>
      </c>
      <c r="F329" s="50">
        <v>0</v>
      </c>
      <c r="G329" s="52"/>
    </row>
    <row r="330" spans="2:7">
      <c r="B330" s="44"/>
      <c r="C330" s="48" t="s">
        <v>72</v>
      </c>
      <c r="D330" s="48"/>
      <c r="E330" s="49">
        <v>0</v>
      </c>
      <c r="F330" s="50">
        <v>0</v>
      </c>
      <c r="G330" s="52"/>
    </row>
    <row r="331" spans="2:7">
      <c r="B331" s="44"/>
      <c r="C331" s="48" t="s">
        <v>73</v>
      </c>
      <c r="D331" s="48"/>
      <c r="E331" s="49">
        <v>0</v>
      </c>
      <c r="F331" s="50">
        <v>0</v>
      </c>
      <c r="G331" s="52"/>
    </row>
    <row r="332" spans="2:7">
      <c r="B332" s="44"/>
      <c r="C332" s="48" t="s">
        <v>74</v>
      </c>
      <c r="D332" s="48"/>
      <c r="E332" s="49">
        <v>0</v>
      </c>
      <c r="F332" s="50">
        <v>0</v>
      </c>
      <c r="G332" s="52"/>
    </row>
    <row r="333" spans="2:7">
      <c r="B333" s="44"/>
      <c r="C333" s="48" t="s">
        <v>75</v>
      </c>
      <c r="D333" s="48"/>
      <c r="E333" s="49">
        <v>0</v>
      </c>
      <c r="F333" s="50">
        <v>0</v>
      </c>
      <c r="G333" s="52"/>
    </row>
    <row r="334" spans="2:7">
      <c r="B334" s="44"/>
      <c r="C334" s="48" t="s">
        <v>76</v>
      </c>
      <c r="D334" s="48"/>
      <c r="E334" s="49">
        <v>0</v>
      </c>
      <c r="F334" s="50">
        <v>0</v>
      </c>
      <c r="G334" s="52"/>
    </row>
    <row r="335" spans="2:7">
      <c r="B335" s="44"/>
      <c r="C335" s="48" t="s">
        <v>77</v>
      </c>
      <c r="D335" s="48"/>
      <c r="E335" s="49">
        <v>0</v>
      </c>
      <c r="F335" s="50">
        <v>0</v>
      </c>
      <c r="G335" s="52"/>
    </row>
    <row r="336" spans="2:7">
      <c r="B336" s="44"/>
      <c r="C336" s="53" t="s">
        <v>26</v>
      </c>
      <c r="D336" s="53"/>
      <c r="E336" s="56">
        <v>0</v>
      </c>
      <c r="F336" s="54">
        <v>0</v>
      </c>
      <c r="G336" s="52"/>
    </row>
    <row r="337" spans="2:7">
      <c r="B337" s="44">
        <v>136</v>
      </c>
      <c r="C337" s="39" t="s">
        <v>78</v>
      </c>
      <c r="D337" s="39"/>
      <c r="E337" s="56"/>
      <c r="F337" s="50"/>
      <c r="G337" s="52"/>
    </row>
    <row r="338" spans="2:7">
      <c r="B338" s="44"/>
      <c r="C338" s="48" t="s">
        <v>79</v>
      </c>
      <c r="D338" s="48"/>
      <c r="E338" s="49">
        <v>0</v>
      </c>
      <c r="F338" s="50">
        <v>0</v>
      </c>
      <c r="G338" s="52"/>
    </row>
    <row r="339" spans="2:7">
      <c r="B339" s="44"/>
      <c r="C339" s="48" t="s">
        <v>80</v>
      </c>
      <c r="D339" s="48"/>
      <c r="E339" s="49">
        <v>0</v>
      </c>
      <c r="F339" s="50">
        <v>0</v>
      </c>
      <c r="G339" s="52"/>
    </row>
    <row r="340" spans="2:7">
      <c r="B340" s="44"/>
      <c r="C340" s="48" t="s">
        <v>81</v>
      </c>
      <c r="D340" s="48"/>
      <c r="E340" s="49">
        <v>0</v>
      </c>
      <c r="F340" s="50">
        <v>0</v>
      </c>
      <c r="G340" s="52"/>
    </row>
    <row r="341" spans="2:7">
      <c r="B341" s="44"/>
      <c r="C341" s="48" t="s">
        <v>82</v>
      </c>
      <c r="D341" s="48"/>
      <c r="E341" s="49">
        <v>0</v>
      </c>
      <c r="F341" s="50">
        <v>0</v>
      </c>
      <c r="G341" s="52"/>
    </row>
    <row r="342" spans="2:7">
      <c r="B342" s="44"/>
      <c r="C342" s="48" t="s">
        <v>83</v>
      </c>
      <c r="D342" s="48"/>
      <c r="E342" s="49">
        <v>0</v>
      </c>
      <c r="F342" s="50">
        <v>0</v>
      </c>
      <c r="G342" s="52"/>
    </row>
    <row r="343" spans="2:7">
      <c r="B343" s="44"/>
      <c r="C343" s="48" t="s">
        <v>84</v>
      </c>
      <c r="D343" s="48"/>
      <c r="E343" s="49">
        <v>0</v>
      </c>
      <c r="F343" s="50">
        <v>0</v>
      </c>
      <c r="G343" s="52"/>
    </row>
    <row r="344" spans="2:7">
      <c r="B344" s="44"/>
      <c r="C344" s="53" t="s">
        <v>26</v>
      </c>
      <c r="D344" s="53"/>
      <c r="E344" s="56">
        <v>0</v>
      </c>
      <c r="F344" s="54">
        <v>0</v>
      </c>
      <c r="G344" s="52"/>
    </row>
    <row r="345" spans="2:7">
      <c r="B345" s="44">
        <v>142</v>
      </c>
      <c r="C345" s="39" t="s">
        <v>85</v>
      </c>
      <c r="D345" s="39"/>
      <c r="E345" s="56"/>
      <c r="F345" s="50"/>
      <c r="G345" s="52"/>
    </row>
    <row r="346" spans="2:7">
      <c r="B346" s="44"/>
      <c r="C346" s="48" t="s">
        <v>86</v>
      </c>
      <c r="D346" s="48"/>
      <c r="E346" s="49">
        <v>0</v>
      </c>
      <c r="F346" s="50">
        <v>0</v>
      </c>
      <c r="G346" s="52"/>
    </row>
    <row r="347" spans="2:7">
      <c r="B347" s="44"/>
      <c r="C347" s="48" t="s">
        <v>87</v>
      </c>
      <c r="D347" s="48"/>
      <c r="E347" s="49">
        <v>0</v>
      </c>
      <c r="F347" s="50">
        <v>0</v>
      </c>
      <c r="G347" s="52"/>
    </row>
    <row r="348" spans="2:7">
      <c r="B348" s="44"/>
      <c r="C348" s="53" t="s">
        <v>26</v>
      </c>
      <c r="D348" s="53"/>
      <c r="E348" s="56">
        <v>0</v>
      </c>
      <c r="F348" s="54">
        <v>0</v>
      </c>
      <c r="G348" s="52"/>
    </row>
    <row r="349" spans="2:7">
      <c r="B349" s="44">
        <v>144</v>
      </c>
      <c r="C349" s="39" t="s">
        <v>88</v>
      </c>
      <c r="D349" s="39"/>
      <c r="E349" s="49">
        <v>0</v>
      </c>
      <c r="F349" s="54">
        <v>0</v>
      </c>
      <c r="G349" s="52"/>
    </row>
    <row r="350" spans="2:7">
      <c r="B350" s="44">
        <v>221</v>
      </c>
      <c r="C350" s="39" t="s">
        <v>89</v>
      </c>
      <c r="D350" s="39"/>
      <c r="E350" s="49">
        <v>0</v>
      </c>
      <c r="F350" s="54">
        <v>0</v>
      </c>
      <c r="G350" s="52"/>
    </row>
    <row r="351" spans="2:7">
      <c r="B351" s="44">
        <v>222</v>
      </c>
      <c r="C351" s="39" t="s">
        <v>90</v>
      </c>
      <c r="D351" s="39"/>
      <c r="E351" s="49">
        <v>0</v>
      </c>
      <c r="F351" s="54">
        <v>0</v>
      </c>
      <c r="G351" s="52"/>
    </row>
    <row r="352" spans="2:7">
      <c r="B352" s="44">
        <v>224</v>
      </c>
      <c r="C352" s="39" t="s">
        <v>91</v>
      </c>
      <c r="D352" s="39"/>
      <c r="E352" s="49">
        <v>0</v>
      </c>
      <c r="F352" s="54">
        <v>0</v>
      </c>
      <c r="G352" s="52"/>
    </row>
    <row r="353" spans="2:7">
      <c r="B353" s="44">
        <v>225</v>
      </c>
      <c r="C353" s="39" t="s">
        <v>92</v>
      </c>
      <c r="D353" s="39"/>
      <c r="E353" s="49">
        <v>0</v>
      </c>
      <c r="F353" s="54">
        <v>0</v>
      </c>
      <c r="G353" s="38"/>
    </row>
    <row r="354" spans="2:7">
      <c r="B354" s="44">
        <v>226</v>
      </c>
      <c r="C354" s="39" t="s">
        <v>93</v>
      </c>
      <c r="D354" s="39"/>
      <c r="E354" s="49">
        <v>0</v>
      </c>
      <c r="F354" s="54">
        <v>0</v>
      </c>
      <c r="G354" s="60"/>
    </row>
    <row r="355" spans="2:7" ht="15.75" thickBot="1">
      <c r="B355" s="61"/>
      <c r="C355" s="62" t="s">
        <v>94</v>
      </c>
      <c r="D355" s="62"/>
      <c r="E355" s="94">
        <v>0</v>
      </c>
      <c r="F355" s="63">
        <v>0</v>
      </c>
      <c r="G355" s="38"/>
    </row>
    <row r="356" spans="2:7">
      <c r="B356" s="64"/>
      <c r="C356" s="65" t="s">
        <v>95</v>
      </c>
      <c r="D356" s="66"/>
      <c r="E356" s="67">
        <v>10363.439999999997</v>
      </c>
      <c r="F356" s="68">
        <v>10363.439999999997</v>
      </c>
      <c r="G356" s="69"/>
    </row>
    <row r="357" spans="2:7" ht="15.75" thickBot="1">
      <c r="B357" s="64"/>
      <c r="C357" s="70"/>
      <c r="D357" s="71"/>
      <c r="E357" s="72"/>
      <c r="F357" s="73"/>
      <c r="G357" s="69"/>
    </row>
    <row r="358" spans="2:7" ht="15.75" thickBot="1">
      <c r="B358" s="64"/>
      <c r="C358" s="70" t="s">
        <v>96</v>
      </c>
      <c r="D358" s="71"/>
      <c r="E358" s="74">
        <v>17656.667990909133</v>
      </c>
      <c r="F358" s="75">
        <v>17656.667990909133</v>
      </c>
      <c r="G358" s="76"/>
    </row>
    <row r="359" spans="2:7" ht="8.25" customHeight="1" thickBot="1">
      <c r="B359" s="77"/>
      <c r="C359" s="81"/>
      <c r="D359" s="81"/>
      <c r="E359" s="78"/>
      <c r="F359" s="78"/>
      <c r="G359" s="79"/>
    </row>
    <row r="360" spans="2:7">
      <c r="B360" s="85"/>
      <c r="C360" s="84"/>
      <c r="D360" s="84"/>
      <c r="E360" s="85"/>
      <c r="F360" s="85"/>
      <c r="G360" s="85"/>
    </row>
  </sheetData>
  <mergeCells count="3">
    <mergeCell ref="C8:E8"/>
    <mergeCell ref="C128:E128"/>
    <mergeCell ref="C248:E248"/>
  </mergeCells>
  <dataValidations count="1">
    <dataValidation type="list" allowBlank="1" showInputMessage="1" showErrorMessage="1" sqref="C136 C16 C256" xr:uid="{EF717491-E0F4-40F4-B4DE-919BD5465981}">
      <formula1>FacList</formula1>
    </dataValidation>
  </dataValidations>
  <hyperlinks>
    <hyperlink ref="F12" r:id="rId1" xr:uid="{AAB39BEF-3190-4DA2-B76F-645992E03321}"/>
    <hyperlink ref="F132" r:id="rId2" xr:uid="{0FE2253A-0BA7-4A24-AAC2-34A295478E60}"/>
    <hyperlink ref="F252" r:id="rId3" xr:uid="{39961693-4EB4-4435-A95D-0E811B6666D7}"/>
  </hyperlink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BA45A-9F30-4987-B76B-F2B0F4E6C547}">
  <dimension ref="A1:G360"/>
  <sheetViews>
    <sheetView zoomScale="90" zoomScaleNormal="90" workbookViewId="0">
      <selection sqref="A1:XFD1048576"/>
    </sheetView>
  </sheetViews>
  <sheetFormatPr defaultColWidth="8.85546875" defaultRowHeight="15"/>
  <cols>
    <col min="1" max="1" width="1.140625" customWidth="1"/>
    <col min="2" max="2" width="27.42578125" customWidth="1"/>
    <col min="3" max="3" width="42.7109375" bestFit="1" customWidth="1"/>
    <col min="4" max="4" width="4" customWidth="1"/>
    <col min="5" max="5" width="25.42578125" customWidth="1"/>
    <col min="6" max="6" width="27.42578125" customWidth="1"/>
    <col min="7" max="7" width="4.7109375" customWidth="1"/>
  </cols>
  <sheetData>
    <row r="1" spans="1:7" ht="6" customHeight="1" thickBot="1"/>
    <row r="2" spans="1:7">
      <c r="B2" s="1"/>
      <c r="C2" s="2"/>
      <c r="D2" s="2"/>
      <c r="E2" s="2"/>
      <c r="F2" s="2"/>
      <c r="G2" s="3"/>
    </row>
    <row r="3" spans="1:7">
      <c r="B3" s="4"/>
      <c r="C3" s="5"/>
      <c r="D3" s="5"/>
      <c r="E3" s="5"/>
      <c r="F3" s="5"/>
      <c r="G3" s="6"/>
    </row>
    <row r="4" spans="1:7">
      <c r="B4" s="4"/>
      <c r="C4" s="5"/>
      <c r="D4" s="5"/>
      <c r="E4" s="5"/>
      <c r="F4" s="5"/>
      <c r="G4" s="6"/>
    </row>
    <row r="5" spans="1:7">
      <c r="B5" s="4"/>
      <c r="C5" s="5"/>
      <c r="D5" s="5"/>
      <c r="E5" s="5"/>
      <c r="F5" s="5"/>
      <c r="G5" s="6"/>
    </row>
    <row r="6" spans="1:7">
      <c r="B6" s="4"/>
      <c r="C6" s="5"/>
      <c r="D6" s="5"/>
      <c r="E6" s="5"/>
      <c r="F6" s="5"/>
      <c r="G6" s="6"/>
    </row>
    <row r="7" spans="1:7" ht="16.5" customHeight="1">
      <c r="B7" s="4"/>
      <c r="C7" s="5"/>
      <c r="D7" s="5"/>
      <c r="E7" s="5"/>
      <c r="F7" s="5"/>
      <c r="G7" s="6"/>
    </row>
    <row r="8" spans="1:7" ht="22.5" customHeight="1" thickBot="1">
      <c r="B8" s="4"/>
      <c r="C8" s="95" t="s">
        <v>0</v>
      </c>
      <c r="D8" s="95"/>
      <c r="E8" s="95"/>
      <c r="F8" s="5"/>
      <c r="G8" s="6"/>
    </row>
    <row r="9" spans="1:7" ht="21" thickTop="1">
      <c r="B9" s="4"/>
      <c r="C9" s="7"/>
      <c r="D9" s="7"/>
      <c r="E9" s="5"/>
      <c r="F9" s="5"/>
      <c r="G9" s="6"/>
    </row>
    <row r="10" spans="1:7">
      <c r="B10" s="8" t="s">
        <v>1</v>
      </c>
      <c r="C10" s="9" t="s">
        <v>97</v>
      </c>
      <c r="D10" s="5"/>
      <c r="E10" s="10" t="s">
        <v>2</v>
      </c>
      <c r="F10" s="9" t="s">
        <v>98</v>
      </c>
      <c r="G10" s="6"/>
    </row>
    <row r="11" spans="1:7" ht="3.75" customHeight="1">
      <c r="A11" s="80"/>
      <c r="B11" s="5"/>
      <c r="C11" s="5"/>
      <c r="D11" s="5"/>
      <c r="E11" s="11"/>
      <c r="F11" s="5"/>
      <c r="G11" s="6"/>
    </row>
    <row r="12" spans="1:7">
      <c r="A12" s="80"/>
      <c r="B12" s="12" t="s">
        <v>3</v>
      </c>
      <c r="C12" s="9" t="s">
        <v>99</v>
      </c>
      <c r="D12" s="5"/>
      <c r="E12" s="10" t="s">
        <v>4</v>
      </c>
      <c r="F12" s="82" t="s">
        <v>100</v>
      </c>
      <c r="G12" s="6"/>
    </row>
    <row r="13" spans="1:7" ht="3.75" customHeight="1">
      <c r="A13" s="80"/>
      <c r="B13" s="5"/>
      <c r="C13" s="5"/>
      <c r="D13" s="5"/>
      <c r="E13" s="11"/>
      <c r="F13" s="5"/>
      <c r="G13" s="6"/>
    </row>
    <row r="14" spans="1:7">
      <c r="A14" s="80"/>
      <c r="B14" s="10" t="s">
        <v>5</v>
      </c>
      <c r="C14" s="9" t="s">
        <v>101</v>
      </c>
      <c r="D14" s="5"/>
      <c r="E14" s="10" t="s">
        <v>6</v>
      </c>
      <c r="F14" s="9" t="s">
        <v>107</v>
      </c>
      <c r="G14" s="6"/>
    </row>
    <row r="15" spans="1:7" ht="4.5" customHeight="1">
      <c r="A15" s="80"/>
      <c r="B15" s="13"/>
      <c r="C15" s="5"/>
      <c r="D15" s="5"/>
      <c r="E15" s="11"/>
      <c r="F15" s="5"/>
      <c r="G15" s="6"/>
    </row>
    <row r="16" spans="1:7">
      <c r="A16" s="80"/>
      <c r="B16" s="10" t="s">
        <v>7</v>
      </c>
      <c r="C16" s="9" t="s">
        <v>111</v>
      </c>
      <c r="D16" s="5"/>
      <c r="E16" s="11"/>
      <c r="F16" s="5"/>
      <c r="G16" s="6"/>
    </row>
    <row r="17" spans="1:7" ht="3.75" customHeight="1">
      <c r="A17" s="80"/>
      <c r="B17" s="5"/>
      <c r="C17" s="5"/>
      <c r="D17" s="5"/>
      <c r="E17" s="11"/>
      <c r="F17" s="5"/>
      <c r="G17" s="6"/>
    </row>
    <row r="18" spans="1:7">
      <c r="B18" s="14" t="s">
        <v>8</v>
      </c>
      <c r="C18" s="15" t="s">
        <v>103</v>
      </c>
      <c r="D18" s="5"/>
      <c r="E18" s="86" t="s">
        <v>109</v>
      </c>
      <c r="F18" s="87">
        <v>45292</v>
      </c>
      <c r="G18" s="6"/>
    </row>
    <row r="19" spans="1:7">
      <c r="B19" s="16" t="s">
        <v>9</v>
      </c>
      <c r="C19" s="17" t="s">
        <v>130</v>
      </c>
      <c r="D19" s="5"/>
      <c r="E19" s="88" t="s">
        <v>110</v>
      </c>
      <c r="F19" s="89">
        <v>45322</v>
      </c>
      <c r="G19" s="18"/>
    </row>
    <row r="20" spans="1:7" ht="15.75" thickBot="1">
      <c r="B20" s="4"/>
      <c r="C20" s="19"/>
      <c r="D20" s="19"/>
      <c r="E20" s="20"/>
      <c r="F20" s="21"/>
      <c r="G20" s="18"/>
    </row>
    <row r="21" spans="1:7" ht="18.75" thickBot="1">
      <c r="B21" s="4"/>
      <c r="C21" s="22" t="s">
        <v>10</v>
      </c>
      <c r="D21" s="23"/>
      <c r="E21" s="24"/>
      <c r="F21" s="25" t="s">
        <v>11</v>
      </c>
      <c r="G21" s="18"/>
    </row>
    <row r="22" spans="1:7">
      <c r="B22" s="4"/>
      <c r="C22" s="26" t="s">
        <v>12</v>
      </c>
      <c r="D22" s="26"/>
      <c r="E22" s="27">
        <v>101443.61874363654</v>
      </c>
      <c r="F22" s="28">
        <v>101443.61874363654</v>
      </c>
      <c r="G22" s="29"/>
    </row>
    <row r="23" spans="1:7">
      <c r="B23" s="30">
        <v>143</v>
      </c>
      <c r="C23" s="31" t="s">
        <v>13</v>
      </c>
      <c r="D23" s="31"/>
      <c r="E23" s="27">
        <v>43369.682000000001</v>
      </c>
      <c r="F23" s="32">
        <v>43369.682000000001</v>
      </c>
      <c r="G23" s="33"/>
    </row>
    <row r="24" spans="1:7">
      <c r="B24" s="30"/>
      <c r="C24" s="34" t="s">
        <v>14</v>
      </c>
      <c r="D24" s="34"/>
      <c r="E24" s="27">
        <v>0</v>
      </c>
      <c r="F24" s="32">
        <v>0</v>
      </c>
      <c r="G24" s="33"/>
    </row>
    <row r="25" spans="1:7">
      <c r="B25" s="30"/>
      <c r="C25" s="34" t="s">
        <v>15</v>
      </c>
      <c r="D25" s="34"/>
      <c r="E25" s="27">
        <v>0</v>
      </c>
      <c r="F25" s="32">
        <v>0</v>
      </c>
      <c r="G25" s="33"/>
    </row>
    <row r="26" spans="1:7">
      <c r="B26" s="30"/>
      <c r="C26" s="34" t="s">
        <v>16</v>
      </c>
      <c r="D26" s="34"/>
      <c r="E26" s="27">
        <v>0</v>
      </c>
      <c r="F26" s="32">
        <v>0</v>
      </c>
      <c r="G26" s="33"/>
    </row>
    <row r="27" spans="1:7">
      <c r="B27" s="30"/>
      <c r="C27" s="34" t="s">
        <v>17</v>
      </c>
      <c r="D27" s="34"/>
      <c r="E27" s="27">
        <v>0</v>
      </c>
      <c r="F27" s="32">
        <v>0</v>
      </c>
      <c r="G27" s="33"/>
    </row>
    <row r="28" spans="1:7">
      <c r="B28" s="30"/>
      <c r="C28" s="35" t="s">
        <v>18</v>
      </c>
      <c r="D28" s="35"/>
      <c r="E28" s="36">
        <v>144813.30074363656</v>
      </c>
      <c r="F28" s="37">
        <v>144813.30074363656</v>
      </c>
      <c r="G28" s="38"/>
    </row>
    <row r="29" spans="1:7" ht="15.75" thickBot="1">
      <c r="B29" s="30"/>
      <c r="C29" s="39"/>
      <c r="D29" s="39"/>
      <c r="E29" s="40"/>
      <c r="F29" s="41"/>
      <c r="G29" s="38"/>
    </row>
    <row r="30" spans="1:7" ht="18.75" thickBot="1">
      <c r="B30" s="30"/>
      <c r="C30" s="22" t="s">
        <v>19</v>
      </c>
      <c r="D30" s="23"/>
      <c r="E30" s="42"/>
      <c r="F30" s="43"/>
      <c r="G30" s="38"/>
    </row>
    <row r="31" spans="1:7">
      <c r="B31" s="44">
        <v>121</v>
      </c>
      <c r="C31" s="39" t="s">
        <v>20</v>
      </c>
      <c r="D31" s="39"/>
      <c r="E31" s="45"/>
      <c r="F31" s="46"/>
      <c r="G31" s="47"/>
    </row>
    <row r="32" spans="1:7">
      <c r="B32" s="44"/>
      <c r="C32" s="48" t="s">
        <v>21</v>
      </c>
      <c r="D32" s="48"/>
      <c r="E32" s="49">
        <v>2811.0830999999994</v>
      </c>
      <c r="F32" s="50">
        <v>2811.0830999999994</v>
      </c>
      <c r="G32" s="47"/>
    </row>
    <row r="33" spans="2:7">
      <c r="B33" s="44"/>
      <c r="C33" s="48" t="s">
        <v>22</v>
      </c>
      <c r="D33" s="48"/>
      <c r="E33" s="49">
        <v>2891.3997599999966</v>
      </c>
      <c r="F33" s="50">
        <v>2891.3997599999966</v>
      </c>
      <c r="G33" s="47"/>
    </row>
    <row r="34" spans="2:7">
      <c r="B34" s="51"/>
      <c r="C34" s="48" t="s">
        <v>23</v>
      </c>
      <c r="D34" s="48"/>
      <c r="E34" s="49">
        <v>3453.6163799999999</v>
      </c>
      <c r="F34" s="50">
        <v>3453.6163799999999</v>
      </c>
      <c r="G34" s="52"/>
    </row>
    <row r="35" spans="2:7">
      <c r="B35" s="51"/>
      <c r="C35" s="48" t="s">
        <v>24</v>
      </c>
      <c r="D35" s="48"/>
      <c r="E35" s="49">
        <v>2365.6907127272698</v>
      </c>
      <c r="F35" s="50">
        <v>2365.6907127272698</v>
      </c>
      <c r="G35" s="52"/>
    </row>
    <row r="36" spans="2:7">
      <c r="B36" s="44"/>
      <c r="C36" s="48" t="s">
        <v>25</v>
      </c>
      <c r="D36" s="48"/>
      <c r="E36" s="49">
        <v>0</v>
      </c>
      <c r="F36" s="50">
        <v>0</v>
      </c>
      <c r="G36" s="52"/>
    </row>
    <row r="37" spans="2:7">
      <c r="B37" s="44"/>
      <c r="C37" s="53" t="s">
        <v>26</v>
      </c>
      <c r="D37" s="53"/>
      <c r="E37" s="36">
        <v>11521.789952727266</v>
      </c>
      <c r="F37" s="54">
        <v>11521.789952727266</v>
      </c>
      <c r="G37" s="52"/>
    </row>
    <row r="38" spans="2:7">
      <c r="B38" s="44">
        <v>122</v>
      </c>
      <c r="C38" s="39" t="s">
        <v>27</v>
      </c>
      <c r="D38" s="39"/>
      <c r="E38" s="36"/>
      <c r="F38" s="50"/>
      <c r="G38" s="55"/>
    </row>
    <row r="39" spans="2:7">
      <c r="B39" s="44"/>
      <c r="C39" s="48" t="s">
        <v>28</v>
      </c>
      <c r="D39" s="48"/>
      <c r="E39" s="49">
        <v>1365.3832200000002</v>
      </c>
      <c r="F39" s="50">
        <v>1365.3832200000002</v>
      </c>
      <c r="G39" s="52"/>
    </row>
    <row r="40" spans="2:7">
      <c r="B40" s="44"/>
      <c r="C40" s="48" t="s">
        <v>29</v>
      </c>
      <c r="D40" s="48"/>
      <c r="E40" s="49">
        <v>0</v>
      </c>
      <c r="F40" s="50">
        <v>0</v>
      </c>
      <c r="G40" s="52"/>
    </row>
    <row r="41" spans="2:7">
      <c r="B41" s="44"/>
      <c r="C41" s="48" t="s">
        <v>30</v>
      </c>
      <c r="D41" s="48"/>
      <c r="E41" s="49">
        <v>1810.7756072727266</v>
      </c>
      <c r="F41" s="50">
        <v>1810.7756072727266</v>
      </c>
      <c r="G41" s="52"/>
    </row>
    <row r="42" spans="2:7">
      <c r="B42" s="44"/>
      <c r="C42" s="48" t="s">
        <v>31</v>
      </c>
      <c r="D42" s="48"/>
      <c r="E42" s="49">
        <v>321.26664</v>
      </c>
      <c r="F42" s="50">
        <v>321.26664</v>
      </c>
      <c r="G42" s="52"/>
    </row>
    <row r="43" spans="2:7">
      <c r="B43" s="44"/>
      <c r="C43" s="48" t="s">
        <v>32</v>
      </c>
      <c r="D43" s="48"/>
      <c r="E43" s="49">
        <v>1285.06656</v>
      </c>
      <c r="F43" s="50">
        <v>1285.06656</v>
      </c>
      <c r="G43" s="52"/>
    </row>
    <row r="44" spans="2:7">
      <c r="B44" s="44"/>
      <c r="C44" s="48" t="s">
        <v>33</v>
      </c>
      <c r="D44" s="48"/>
      <c r="E44" s="49">
        <v>0</v>
      </c>
      <c r="F44" s="50">
        <v>0</v>
      </c>
      <c r="G44" s="52"/>
    </row>
    <row r="45" spans="2:7">
      <c r="B45" s="44"/>
      <c r="C45" s="48" t="s">
        <v>34</v>
      </c>
      <c r="D45" s="48"/>
      <c r="E45" s="49">
        <v>0</v>
      </c>
      <c r="F45" s="50">
        <v>0</v>
      </c>
      <c r="G45" s="52"/>
    </row>
    <row r="46" spans="2:7">
      <c r="B46" s="44"/>
      <c r="C46" s="48" t="s">
        <v>35</v>
      </c>
      <c r="D46" s="48"/>
      <c r="E46" s="49">
        <v>0</v>
      </c>
      <c r="F46" s="50">
        <v>0</v>
      </c>
      <c r="G46" s="52"/>
    </row>
    <row r="47" spans="2:7">
      <c r="B47" s="44"/>
      <c r="C47" s="53" t="s">
        <v>26</v>
      </c>
      <c r="D47" s="53"/>
      <c r="E47" s="36">
        <v>4782.4920272727268</v>
      </c>
      <c r="F47" s="54">
        <v>4782.4920272727268</v>
      </c>
      <c r="G47" s="52"/>
    </row>
    <row r="48" spans="2:7">
      <c r="B48" s="44">
        <v>123</v>
      </c>
      <c r="C48" s="39" t="s">
        <v>36</v>
      </c>
      <c r="D48" s="39"/>
      <c r="E48" s="56"/>
      <c r="F48" s="57"/>
      <c r="G48" s="52"/>
    </row>
    <row r="49" spans="2:7">
      <c r="B49" s="44"/>
      <c r="C49" s="48" t="s">
        <v>37</v>
      </c>
      <c r="D49" s="48"/>
      <c r="E49" s="49">
        <v>1168.2423272727269</v>
      </c>
      <c r="F49" s="50">
        <v>1168.2423272727269</v>
      </c>
      <c r="G49" s="52"/>
    </row>
    <row r="50" spans="2:7">
      <c r="B50" s="44"/>
      <c r="C50" s="48" t="s">
        <v>38</v>
      </c>
      <c r="D50" s="48"/>
      <c r="E50" s="49">
        <v>0</v>
      </c>
      <c r="F50" s="50">
        <v>0</v>
      </c>
      <c r="G50" s="52"/>
    </row>
    <row r="51" spans="2:7">
      <c r="B51" s="44"/>
      <c r="C51" s="48" t="s">
        <v>39</v>
      </c>
      <c r="D51" s="48"/>
      <c r="E51" s="49">
        <v>1372.6847345454537</v>
      </c>
      <c r="F51" s="50">
        <v>1372.6847345454537</v>
      </c>
      <c r="G51" s="52"/>
    </row>
    <row r="52" spans="2:7">
      <c r="B52" s="44"/>
      <c r="C52" s="48" t="s">
        <v>40</v>
      </c>
      <c r="D52" s="48"/>
      <c r="E52" s="49">
        <v>1051.4180945454534</v>
      </c>
      <c r="F52" s="50">
        <v>1051.4180945454534</v>
      </c>
      <c r="G52" s="52"/>
    </row>
    <row r="53" spans="2:7">
      <c r="B53" s="44"/>
      <c r="C53" s="48" t="s">
        <v>41</v>
      </c>
      <c r="D53" s="48"/>
      <c r="E53" s="49">
        <v>0</v>
      </c>
      <c r="F53" s="50">
        <v>0</v>
      </c>
      <c r="G53" s="52"/>
    </row>
    <row r="54" spans="2:7">
      <c r="B54" s="44"/>
      <c r="C54" s="48" t="s">
        <v>42</v>
      </c>
      <c r="D54" s="48"/>
      <c r="E54" s="49">
        <v>1847.2831799999999</v>
      </c>
      <c r="F54" s="50">
        <v>1847.2831799999999</v>
      </c>
      <c r="G54" s="52"/>
    </row>
    <row r="55" spans="2:7">
      <c r="B55" s="44"/>
      <c r="C55" s="53" t="s">
        <v>26</v>
      </c>
      <c r="D55" s="53"/>
      <c r="E55" s="36">
        <v>5439.6283363636339</v>
      </c>
      <c r="F55" s="54">
        <v>5439.6283363636339</v>
      </c>
      <c r="G55" s="52"/>
    </row>
    <row r="56" spans="2:7">
      <c r="B56" s="44">
        <v>124</v>
      </c>
      <c r="C56" s="39" t="s">
        <v>43</v>
      </c>
      <c r="D56" s="39"/>
      <c r="E56" s="56"/>
      <c r="F56" s="57"/>
      <c r="G56" s="52"/>
    </row>
    <row r="57" spans="2:7">
      <c r="B57" s="44"/>
      <c r="C57" s="48" t="s">
        <v>44</v>
      </c>
      <c r="D57" s="48"/>
      <c r="E57" s="49">
        <v>3475.5209236363607</v>
      </c>
      <c r="F57" s="50">
        <v>3475.5209236363607</v>
      </c>
      <c r="G57" s="52"/>
    </row>
    <row r="58" spans="2:7">
      <c r="B58" s="44"/>
      <c r="C58" s="48" t="s">
        <v>45</v>
      </c>
      <c r="D58" s="48"/>
      <c r="E58" s="49">
        <v>0</v>
      </c>
      <c r="F58" s="50">
        <v>0</v>
      </c>
      <c r="G58" s="52"/>
    </row>
    <row r="59" spans="2:7">
      <c r="B59" s="44"/>
      <c r="C59" s="48" t="s">
        <v>46</v>
      </c>
      <c r="D59" s="48"/>
      <c r="E59" s="49">
        <v>0</v>
      </c>
      <c r="F59" s="50">
        <v>0</v>
      </c>
      <c r="G59" s="52"/>
    </row>
    <row r="60" spans="2:7">
      <c r="B60" s="44"/>
      <c r="C60" s="53" t="s">
        <v>26</v>
      </c>
      <c r="D60" s="53"/>
      <c r="E60" s="36">
        <v>3475.5209236363607</v>
      </c>
      <c r="F60" s="54">
        <v>3475.5209236363607</v>
      </c>
      <c r="G60" s="52"/>
    </row>
    <row r="61" spans="2:7">
      <c r="B61" s="44">
        <v>125</v>
      </c>
      <c r="C61" s="39" t="s">
        <v>47</v>
      </c>
      <c r="D61" s="39"/>
      <c r="E61" s="36"/>
      <c r="F61" s="50"/>
      <c r="G61" s="52"/>
    </row>
    <row r="62" spans="2:7">
      <c r="B62" s="44"/>
      <c r="C62" s="48" t="s">
        <v>48</v>
      </c>
      <c r="D62" s="48"/>
      <c r="E62" s="58">
        <v>0</v>
      </c>
      <c r="F62" s="50">
        <v>0</v>
      </c>
      <c r="G62" s="52"/>
    </row>
    <row r="63" spans="2:7">
      <c r="B63" s="44"/>
      <c r="C63" s="48" t="s">
        <v>49</v>
      </c>
      <c r="D63" s="48"/>
      <c r="E63" s="58">
        <v>0</v>
      </c>
      <c r="F63" s="50">
        <v>0</v>
      </c>
      <c r="G63" s="52"/>
    </row>
    <row r="64" spans="2:7">
      <c r="B64" s="44"/>
      <c r="C64" s="48" t="s">
        <v>50</v>
      </c>
      <c r="D64" s="48"/>
      <c r="E64" s="58">
        <v>5622.1661999999997</v>
      </c>
      <c r="F64" s="50">
        <v>5622.1661999999997</v>
      </c>
      <c r="G64" s="52"/>
    </row>
    <row r="65" spans="2:7">
      <c r="B65" s="44"/>
      <c r="C65" s="48" t="s">
        <v>51</v>
      </c>
      <c r="D65" s="48"/>
      <c r="E65" s="58">
        <v>1285.06656</v>
      </c>
      <c r="F65" s="50">
        <v>1285.06656</v>
      </c>
      <c r="G65" s="52"/>
    </row>
    <row r="66" spans="2:7">
      <c r="B66" s="44"/>
      <c r="C66" s="53" t="s">
        <v>26</v>
      </c>
      <c r="D66" s="53"/>
      <c r="E66" s="56">
        <v>6907.2327599999999</v>
      </c>
      <c r="F66" s="54">
        <v>6907.2327599999999</v>
      </c>
      <c r="G66" s="52"/>
    </row>
    <row r="67" spans="2:7">
      <c r="B67" s="44">
        <v>126</v>
      </c>
      <c r="C67" s="39" t="s">
        <v>52</v>
      </c>
      <c r="D67" s="39"/>
      <c r="E67" s="56"/>
      <c r="F67" s="50"/>
      <c r="G67" s="52"/>
    </row>
    <row r="68" spans="2:7">
      <c r="B68" s="44"/>
      <c r="C68" s="48" t="s">
        <v>53</v>
      </c>
      <c r="D68" s="48"/>
      <c r="E68" s="49">
        <v>0</v>
      </c>
      <c r="F68" s="50">
        <v>0</v>
      </c>
      <c r="G68" s="52"/>
    </row>
    <row r="69" spans="2:7">
      <c r="B69" s="44"/>
      <c r="C69" s="48" t="s">
        <v>54</v>
      </c>
      <c r="D69" s="48"/>
      <c r="E69" s="49">
        <v>0</v>
      </c>
      <c r="F69" s="50"/>
      <c r="G69" s="52"/>
    </row>
    <row r="70" spans="2:7">
      <c r="B70" s="44"/>
      <c r="C70" s="48" t="s">
        <v>55</v>
      </c>
      <c r="D70" s="48"/>
      <c r="E70" s="49">
        <v>0</v>
      </c>
      <c r="F70" s="50"/>
      <c r="G70" s="52"/>
    </row>
    <row r="71" spans="2:7">
      <c r="B71" s="44"/>
      <c r="C71" s="48" t="s">
        <v>56</v>
      </c>
      <c r="D71" s="48"/>
      <c r="E71" s="49">
        <v>0</v>
      </c>
      <c r="F71" s="57"/>
      <c r="G71" s="52"/>
    </row>
    <row r="72" spans="2:7">
      <c r="B72" s="44"/>
      <c r="C72" s="53" t="s">
        <v>26</v>
      </c>
      <c r="D72" s="53"/>
      <c r="E72" s="56">
        <v>0</v>
      </c>
      <c r="F72" s="54">
        <v>0</v>
      </c>
      <c r="G72" s="52"/>
    </row>
    <row r="73" spans="2:7">
      <c r="B73" s="44">
        <v>127</v>
      </c>
      <c r="C73" s="39" t="s">
        <v>57</v>
      </c>
      <c r="D73" s="39"/>
      <c r="E73" s="56"/>
      <c r="F73" s="54"/>
      <c r="G73" s="52"/>
    </row>
    <row r="74" spans="2:7">
      <c r="B74" s="44"/>
      <c r="C74" s="48" t="s">
        <v>58</v>
      </c>
      <c r="D74" s="48"/>
      <c r="E74" s="49">
        <v>0</v>
      </c>
      <c r="F74" s="50">
        <v>0</v>
      </c>
      <c r="G74" s="52"/>
    </row>
    <row r="75" spans="2:7">
      <c r="B75" s="44"/>
      <c r="C75" s="48" t="s">
        <v>59</v>
      </c>
      <c r="D75" s="48"/>
      <c r="E75" s="49">
        <v>0</v>
      </c>
      <c r="F75" s="50">
        <v>0</v>
      </c>
      <c r="G75" s="52"/>
    </row>
    <row r="76" spans="2:7">
      <c r="B76" s="44"/>
      <c r="C76" s="48" t="s">
        <v>60</v>
      </c>
      <c r="D76" s="48"/>
      <c r="E76" s="49">
        <v>0</v>
      </c>
      <c r="F76" s="50">
        <v>0</v>
      </c>
      <c r="G76" s="52"/>
    </row>
    <row r="77" spans="2:7">
      <c r="B77" s="44"/>
      <c r="C77" s="59" t="s">
        <v>61</v>
      </c>
      <c r="D77" s="59"/>
      <c r="E77" s="49">
        <v>0</v>
      </c>
      <c r="F77" s="50">
        <v>0</v>
      </c>
      <c r="G77" s="52"/>
    </row>
    <row r="78" spans="2:7">
      <c r="B78" s="44"/>
      <c r="C78" s="53" t="s">
        <v>26</v>
      </c>
      <c r="D78" s="53"/>
      <c r="E78" s="56">
        <v>0</v>
      </c>
      <c r="F78" s="54">
        <v>0</v>
      </c>
      <c r="G78" s="52"/>
    </row>
    <row r="79" spans="2:7">
      <c r="B79" s="44">
        <v>128</v>
      </c>
      <c r="C79" s="39" t="s">
        <v>62</v>
      </c>
      <c r="D79" s="39"/>
      <c r="E79" s="56"/>
      <c r="F79" s="54"/>
      <c r="G79" s="52"/>
    </row>
    <row r="80" spans="2:7">
      <c r="B80" s="44"/>
      <c r="C80" s="48" t="s">
        <v>63</v>
      </c>
      <c r="D80" s="48"/>
      <c r="E80" s="49">
        <v>0</v>
      </c>
      <c r="F80" s="50">
        <v>0</v>
      </c>
      <c r="G80" s="52"/>
    </row>
    <row r="81" spans="2:7">
      <c r="B81" s="44"/>
      <c r="C81" s="48" t="s">
        <v>64</v>
      </c>
      <c r="D81" s="48"/>
      <c r="E81" s="49">
        <v>0</v>
      </c>
      <c r="F81" s="50">
        <v>0</v>
      </c>
      <c r="G81" s="52"/>
    </row>
    <row r="82" spans="2:7">
      <c r="B82" s="44"/>
      <c r="C82" s="48" t="s">
        <v>65</v>
      </c>
      <c r="D82" s="48"/>
      <c r="E82" s="49">
        <v>0</v>
      </c>
      <c r="F82" s="50">
        <v>0</v>
      </c>
      <c r="G82" s="52"/>
    </row>
    <row r="83" spans="2:7">
      <c r="B83" s="44"/>
      <c r="C83" s="48" t="s">
        <v>66</v>
      </c>
      <c r="D83" s="48"/>
      <c r="E83" s="49">
        <v>0</v>
      </c>
      <c r="F83" s="50">
        <v>0</v>
      </c>
      <c r="G83" s="52"/>
    </row>
    <row r="84" spans="2:7">
      <c r="B84" s="44"/>
      <c r="C84" s="48" t="s">
        <v>67</v>
      </c>
      <c r="D84" s="48"/>
      <c r="E84" s="49">
        <v>0</v>
      </c>
      <c r="F84" s="50">
        <v>0</v>
      </c>
      <c r="G84" s="52"/>
    </row>
    <row r="85" spans="2:7">
      <c r="B85" s="44"/>
      <c r="C85" s="53" t="s">
        <v>26</v>
      </c>
      <c r="D85" s="53"/>
      <c r="E85" s="56">
        <v>0</v>
      </c>
      <c r="F85" s="54">
        <v>0</v>
      </c>
      <c r="G85" s="52"/>
    </row>
    <row r="86" spans="2:7">
      <c r="B86" s="44">
        <v>135</v>
      </c>
      <c r="C86" s="39" t="s">
        <v>68</v>
      </c>
      <c r="D86" s="39"/>
      <c r="E86" s="56"/>
      <c r="F86" s="50"/>
      <c r="G86" s="52"/>
    </row>
    <row r="87" spans="2:7">
      <c r="B87" s="44"/>
      <c r="C87" s="48" t="s">
        <v>69</v>
      </c>
      <c r="D87" s="48"/>
      <c r="E87" s="49">
        <v>0</v>
      </c>
      <c r="F87" s="50">
        <v>0</v>
      </c>
      <c r="G87" s="52"/>
    </row>
    <row r="88" spans="2:7">
      <c r="B88" s="44"/>
      <c r="C88" s="48" t="s">
        <v>70</v>
      </c>
      <c r="D88" s="48"/>
      <c r="E88" s="49">
        <v>0</v>
      </c>
      <c r="F88" s="50">
        <v>0</v>
      </c>
      <c r="G88" s="52"/>
    </row>
    <row r="89" spans="2:7">
      <c r="B89" s="44"/>
      <c r="C89" s="48" t="s">
        <v>71</v>
      </c>
      <c r="D89" s="48"/>
      <c r="E89" s="49">
        <v>0</v>
      </c>
      <c r="F89" s="50">
        <v>0</v>
      </c>
      <c r="G89" s="52"/>
    </row>
    <row r="90" spans="2:7">
      <c r="B90" s="44"/>
      <c r="C90" s="48" t="s">
        <v>72</v>
      </c>
      <c r="D90" s="48"/>
      <c r="E90" s="49">
        <v>0</v>
      </c>
      <c r="F90" s="50">
        <v>0</v>
      </c>
      <c r="G90" s="52"/>
    </row>
    <row r="91" spans="2:7">
      <c r="B91" s="44"/>
      <c r="C91" s="48" t="s">
        <v>73</v>
      </c>
      <c r="D91" s="48"/>
      <c r="E91" s="49">
        <v>0</v>
      </c>
      <c r="F91" s="50">
        <v>0</v>
      </c>
      <c r="G91" s="52"/>
    </row>
    <row r="92" spans="2:7">
      <c r="B92" s="44"/>
      <c r="C92" s="48" t="s">
        <v>74</v>
      </c>
      <c r="D92" s="48"/>
      <c r="E92" s="49">
        <v>0</v>
      </c>
      <c r="F92" s="50">
        <v>0</v>
      </c>
      <c r="G92" s="52"/>
    </row>
    <row r="93" spans="2:7">
      <c r="B93" s="44"/>
      <c r="C93" s="48" t="s">
        <v>75</v>
      </c>
      <c r="D93" s="48"/>
      <c r="E93" s="49">
        <v>0</v>
      </c>
      <c r="F93" s="50">
        <v>0</v>
      </c>
      <c r="G93" s="52"/>
    </row>
    <row r="94" spans="2:7">
      <c r="B94" s="44"/>
      <c r="C94" s="48" t="s">
        <v>76</v>
      </c>
      <c r="D94" s="48"/>
      <c r="E94" s="49">
        <v>0</v>
      </c>
      <c r="F94" s="50">
        <v>0</v>
      </c>
      <c r="G94" s="52"/>
    </row>
    <row r="95" spans="2:7">
      <c r="B95" s="44"/>
      <c r="C95" s="48" t="s">
        <v>77</v>
      </c>
      <c r="D95" s="48"/>
      <c r="E95" s="49">
        <v>0</v>
      </c>
      <c r="F95" s="50">
        <v>0</v>
      </c>
      <c r="G95" s="52"/>
    </row>
    <row r="96" spans="2:7">
      <c r="B96" s="44"/>
      <c r="C96" s="53" t="s">
        <v>26</v>
      </c>
      <c r="D96" s="53"/>
      <c r="E96" s="56">
        <v>0</v>
      </c>
      <c r="F96" s="54">
        <v>0</v>
      </c>
      <c r="G96" s="52"/>
    </row>
    <row r="97" spans="2:7">
      <c r="B97" s="44">
        <v>136</v>
      </c>
      <c r="C97" s="39" t="s">
        <v>78</v>
      </c>
      <c r="D97" s="39"/>
      <c r="E97" s="56"/>
      <c r="F97" s="50"/>
      <c r="G97" s="52"/>
    </row>
    <row r="98" spans="2:7">
      <c r="B98" s="44"/>
      <c r="C98" s="48" t="s">
        <v>79</v>
      </c>
      <c r="D98" s="48"/>
      <c r="E98" s="49">
        <v>0</v>
      </c>
      <c r="F98" s="50">
        <v>0</v>
      </c>
      <c r="G98" s="52"/>
    </row>
    <row r="99" spans="2:7">
      <c r="B99" s="44"/>
      <c r="C99" s="48" t="s">
        <v>80</v>
      </c>
      <c r="D99" s="48"/>
      <c r="E99" s="49">
        <v>0</v>
      </c>
      <c r="F99" s="50">
        <v>0</v>
      </c>
      <c r="G99" s="52"/>
    </row>
    <row r="100" spans="2:7">
      <c r="B100" s="44"/>
      <c r="C100" s="48" t="s">
        <v>81</v>
      </c>
      <c r="D100" s="48"/>
      <c r="E100" s="49">
        <v>0</v>
      </c>
      <c r="F100" s="50">
        <v>0</v>
      </c>
      <c r="G100" s="52"/>
    </row>
    <row r="101" spans="2:7">
      <c r="B101" s="44"/>
      <c r="C101" s="48" t="s">
        <v>82</v>
      </c>
      <c r="D101" s="48"/>
      <c r="E101" s="49">
        <v>0</v>
      </c>
      <c r="F101" s="50">
        <v>0</v>
      </c>
      <c r="G101" s="52"/>
    </row>
    <row r="102" spans="2:7">
      <c r="B102" s="44"/>
      <c r="C102" s="48" t="s">
        <v>83</v>
      </c>
      <c r="D102" s="48"/>
      <c r="E102" s="49">
        <v>0</v>
      </c>
      <c r="F102" s="50">
        <v>0</v>
      </c>
      <c r="G102" s="52"/>
    </row>
    <row r="103" spans="2:7">
      <c r="B103" s="44"/>
      <c r="C103" s="48" t="s">
        <v>84</v>
      </c>
      <c r="D103" s="48"/>
      <c r="E103" s="49">
        <v>0</v>
      </c>
      <c r="F103" s="50">
        <v>0</v>
      </c>
      <c r="G103" s="52"/>
    </row>
    <row r="104" spans="2:7">
      <c r="B104" s="44"/>
      <c r="C104" s="53" t="s">
        <v>26</v>
      </c>
      <c r="D104" s="53"/>
      <c r="E104" s="56">
        <v>0</v>
      </c>
      <c r="F104" s="54">
        <v>0</v>
      </c>
      <c r="G104" s="52"/>
    </row>
    <row r="105" spans="2:7">
      <c r="B105" s="44">
        <v>142</v>
      </c>
      <c r="C105" s="39" t="s">
        <v>85</v>
      </c>
      <c r="D105" s="39"/>
      <c r="E105" s="56"/>
      <c r="F105" s="50"/>
      <c r="G105" s="52"/>
    </row>
    <row r="106" spans="2:7">
      <c r="B106" s="44"/>
      <c r="C106" s="48" t="s">
        <v>86</v>
      </c>
      <c r="D106" s="48"/>
      <c r="E106" s="49">
        <v>0</v>
      </c>
      <c r="F106" s="50">
        <v>0</v>
      </c>
      <c r="G106" s="52"/>
    </row>
    <row r="107" spans="2:7">
      <c r="B107" s="44"/>
      <c r="C107" s="48" t="s">
        <v>87</v>
      </c>
      <c r="D107" s="48"/>
      <c r="E107" s="49">
        <v>0</v>
      </c>
      <c r="F107" s="50">
        <v>0</v>
      </c>
      <c r="G107" s="52"/>
    </row>
    <row r="108" spans="2:7">
      <c r="B108" s="44"/>
      <c r="C108" s="53" t="s">
        <v>26</v>
      </c>
      <c r="D108" s="53"/>
      <c r="E108" s="56">
        <v>0</v>
      </c>
      <c r="F108" s="54">
        <v>0</v>
      </c>
      <c r="G108" s="52"/>
    </row>
    <row r="109" spans="2:7">
      <c r="B109" s="44">
        <v>144</v>
      </c>
      <c r="C109" s="39" t="s">
        <v>88</v>
      </c>
      <c r="D109" s="39"/>
      <c r="E109" s="49">
        <v>0</v>
      </c>
      <c r="F109" s="54">
        <v>0</v>
      </c>
      <c r="G109" s="52"/>
    </row>
    <row r="110" spans="2:7">
      <c r="B110" s="44">
        <v>221</v>
      </c>
      <c r="C110" s="39" t="s">
        <v>89</v>
      </c>
      <c r="D110" s="39"/>
      <c r="E110" s="49">
        <v>0</v>
      </c>
      <c r="F110" s="54">
        <v>0</v>
      </c>
      <c r="G110" s="52"/>
    </row>
    <row r="111" spans="2:7">
      <c r="B111" s="44">
        <v>222</v>
      </c>
      <c r="C111" s="39" t="s">
        <v>90</v>
      </c>
      <c r="D111" s="39"/>
      <c r="E111" s="49">
        <v>0</v>
      </c>
      <c r="F111" s="54">
        <v>0</v>
      </c>
      <c r="G111" s="52"/>
    </row>
    <row r="112" spans="2:7">
      <c r="B112" s="44">
        <v>224</v>
      </c>
      <c r="C112" s="39" t="s">
        <v>91</v>
      </c>
      <c r="D112" s="39"/>
      <c r="E112" s="49">
        <v>0</v>
      </c>
      <c r="F112" s="54">
        <v>0</v>
      </c>
      <c r="G112" s="52"/>
    </row>
    <row r="113" spans="2:7">
      <c r="B113" s="44">
        <v>225</v>
      </c>
      <c r="C113" s="39" t="s">
        <v>92</v>
      </c>
      <c r="D113" s="39"/>
      <c r="E113" s="49">
        <v>0</v>
      </c>
      <c r="F113" s="54">
        <v>0</v>
      </c>
      <c r="G113" s="38"/>
    </row>
    <row r="114" spans="2:7">
      <c r="B114" s="44">
        <v>226</v>
      </c>
      <c r="C114" s="39" t="s">
        <v>93</v>
      </c>
      <c r="D114" s="39"/>
      <c r="E114" s="49">
        <v>0</v>
      </c>
      <c r="F114" s="54">
        <v>0</v>
      </c>
      <c r="G114" s="60"/>
    </row>
    <row r="115" spans="2:7" ht="15.75" thickBot="1">
      <c r="B115" s="61"/>
      <c r="C115" s="62" t="s">
        <v>94</v>
      </c>
      <c r="D115" s="62"/>
      <c r="E115" s="90">
        <v>0</v>
      </c>
      <c r="F115" s="63">
        <v>0</v>
      </c>
      <c r="G115" s="38"/>
    </row>
    <row r="116" spans="2:7">
      <c r="B116" s="64"/>
      <c r="C116" s="65" t="s">
        <v>95</v>
      </c>
      <c r="D116" s="66"/>
      <c r="E116" s="91">
        <v>32126.663999999982</v>
      </c>
      <c r="F116" s="68">
        <v>32126.663999999982</v>
      </c>
      <c r="G116" s="69"/>
    </row>
    <row r="117" spans="2:7" ht="15.75" thickBot="1">
      <c r="B117" s="64"/>
      <c r="C117" s="70"/>
      <c r="D117" s="71"/>
      <c r="E117" s="92"/>
      <c r="F117" s="73"/>
      <c r="G117" s="69"/>
    </row>
    <row r="118" spans="2:7" ht="15.75" thickBot="1">
      <c r="B118" s="64"/>
      <c r="C118" s="70" t="s">
        <v>96</v>
      </c>
      <c r="D118" s="71"/>
      <c r="E118" s="93">
        <v>112686.63674363657</v>
      </c>
      <c r="F118" s="75">
        <v>112686.63674363657</v>
      </c>
      <c r="G118" s="76"/>
    </row>
    <row r="119" spans="2:7" ht="8.25" customHeight="1" thickBot="1">
      <c r="B119" s="77"/>
      <c r="C119" s="81"/>
      <c r="D119" s="81"/>
      <c r="E119" s="78"/>
      <c r="F119" s="78"/>
      <c r="G119" s="79"/>
    </row>
    <row r="120" spans="2:7">
      <c r="B120" s="83"/>
      <c r="C120" s="84"/>
      <c r="D120" s="84"/>
      <c r="E120" s="85"/>
      <c r="F120" s="83"/>
      <c r="G120" s="85"/>
    </row>
    <row r="121" spans="2:7" ht="6" customHeight="1" thickBot="1"/>
    <row r="122" spans="2:7">
      <c r="B122" s="1"/>
      <c r="C122" s="2"/>
      <c r="D122" s="2"/>
      <c r="E122" s="2"/>
      <c r="F122" s="2"/>
      <c r="G122" s="3"/>
    </row>
    <row r="123" spans="2:7">
      <c r="B123" s="4"/>
      <c r="C123" s="5"/>
      <c r="D123" s="5"/>
      <c r="E123" s="5"/>
      <c r="F123" s="5"/>
      <c r="G123" s="6"/>
    </row>
    <row r="124" spans="2:7">
      <c r="B124" s="4"/>
      <c r="C124" s="5"/>
      <c r="D124" s="5"/>
      <c r="E124" s="5"/>
      <c r="F124" s="5"/>
      <c r="G124" s="6"/>
    </row>
    <row r="125" spans="2:7">
      <c r="B125" s="4"/>
      <c r="C125" s="5"/>
      <c r="D125" s="5"/>
      <c r="E125" s="5"/>
      <c r="F125" s="5"/>
      <c r="G125" s="6"/>
    </row>
    <row r="126" spans="2:7">
      <c r="B126" s="4"/>
      <c r="C126" s="5"/>
      <c r="D126" s="5"/>
      <c r="E126" s="5"/>
      <c r="F126" s="5"/>
      <c r="G126" s="6"/>
    </row>
    <row r="127" spans="2:7" ht="16.5" customHeight="1">
      <c r="B127" s="4"/>
      <c r="C127" s="5"/>
      <c r="D127" s="5"/>
      <c r="E127" s="5"/>
      <c r="F127" s="5"/>
      <c r="G127" s="6"/>
    </row>
    <row r="128" spans="2:7" ht="22.5" customHeight="1" thickBot="1">
      <c r="B128" s="4"/>
      <c r="C128" s="95" t="s">
        <v>0</v>
      </c>
      <c r="D128" s="95"/>
      <c r="E128" s="95"/>
      <c r="F128" s="5"/>
      <c r="G128" s="6"/>
    </row>
    <row r="129" spans="1:7" ht="21" thickTop="1">
      <c r="B129" s="4"/>
      <c r="C129" s="7"/>
      <c r="D129" s="7"/>
      <c r="E129" s="5"/>
      <c r="F129" s="5"/>
      <c r="G129" s="6"/>
    </row>
    <row r="130" spans="1:7">
      <c r="B130" s="8" t="s">
        <v>1</v>
      </c>
      <c r="C130" s="9" t="s">
        <v>97</v>
      </c>
      <c r="D130" s="5"/>
      <c r="E130" s="10" t="s">
        <v>2</v>
      </c>
      <c r="F130" s="9" t="s">
        <v>98</v>
      </c>
      <c r="G130" s="6"/>
    </row>
    <row r="131" spans="1:7" ht="3.75" customHeight="1">
      <c r="A131" s="80"/>
      <c r="B131" s="5"/>
      <c r="C131" s="5"/>
      <c r="D131" s="5"/>
      <c r="E131" s="11"/>
      <c r="F131" s="5"/>
      <c r="G131" s="6"/>
    </row>
    <row r="132" spans="1:7">
      <c r="A132" s="80"/>
      <c r="B132" s="12" t="s">
        <v>3</v>
      </c>
      <c r="C132" s="9" t="s">
        <v>99</v>
      </c>
      <c r="D132" s="5"/>
      <c r="E132" s="10" t="s">
        <v>4</v>
      </c>
      <c r="F132" s="82" t="s">
        <v>100</v>
      </c>
      <c r="G132" s="6"/>
    </row>
    <row r="133" spans="1:7" ht="3.75" customHeight="1">
      <c r="A133" s="80"/>
      <c r="B133" s="5"/>
      <c r="C133" s="5"/>
      <c r="D133" s="5"/>
      <c r="E133" s="11"/>
      <c r="F133" s="5"/>
      <c r="G133" s="6"/>
    </row>
    <row r="134" spans="1:7">
      <c r="A134" s="80"/>
      <c r="B134" s="10" t="s">
        <v>5</v>
      </c>
      <c r="C134" s="9" t="s">
        <v>101</v>
      </c>
      <c r="D134" s="5"/>
      <c r="E134" s="10" t="s">
        <v>6</v>
      </c>
      <c r="F134" s="9" t="s">
        <v>107</v>
      </c>
      <c r="G134" s="6"/>
    </row>
    <row r="135" spans="1:7" ht="4.5" customHeight="1">
      <c r="A135" s="80"/>
      <c r="B135" s="13"/>
      <c r="C135" s="5"/>
      <c r="D135" s="5"/>
      <c r="E135" s="11"/>
      <c r="F135" s="5"/>
      <c r="G135" s="6"/>
    </row>
    <row r="136" spans="1:7">
      <c r="A136" s="80"/>
      <c r="B136" s="10" t="s">
        <v>7</v>
      </c>
      <c r="C136" s="9" t="s">
        <v>111</v>
      </c>
      <c r="D136" s="5"/>
      <c r="E136" s="11"/>
      <c r="F136" s="5"/>
      <c r="G136" s="6"/>
    </row>
    <row r="137" spans="1:7" ht="3.75" customHeight="1">
      <c r="A137" s="80"/>
      <c r="B137" s="5"/>
      <c r="C137" s="5"/>
      <c r="D137" s="5"/>
      <c r="E137" s="11"/>
      <c r="F137" s="5"/>
      <c r="G137" s="6"/>
    </row>
    <row r="138" spans="1:7">
      <c r="B138" s="14" t="s">
        <v>8</v>
      </c>
      <c r="C138" s="15" t="s">
        <v>104</v>
      </c>
      <c r="D138" s="5"/>
      <c r="E138" s="86" t="s">
        <v>109</v>
      </c>
      <c r="F138" s="87">
        <v>45323</v>
      </c>
      <c r="G138" s="6"/>
    </row>
    <row r="139" spans="1:7">
      <c r="B139" s="16" t="s">
        <v>9</v>
      </c>
      <c r="C139" s="17" t="s">
        <v>130</v>
      </c>
      <c r="D139" s="5"/>
      <c r="E139" s="88" t="s">
        <v>110</v>
      </c>
      <c r="F139" s="89">
        <v>45351</v>
      </c>
      <c r="G139" s="18"/>
    </row>
    <row r="140" spans="1:7" ht="15.75" thickBot="1">
      <c r="B140" s="4"/>
      <c r="C140" s="19"/>
      <c r="D140" s="19"/>
      <c r="E140" s="20"/>
      <c r="F140" s="21"/>
      <c r="G140" s="18"/>
    </row>
    <row r="141" spans="1:7" ht="18.75" thickBot="1">
      <c r="B141" s="4"/>
      <c r="C141" s="22" t="s">
        <v>10</v>
      </c>
      <c r="D141" s="23"/>
      <c r="E141" s="24"/>
      <c r="F141" s="25" t="s">
        <v>11</v>
      </c>
      <c r="G141" s="18"/>
    </row>
    <row r="142" spans="1:7">
      <c r="B142" s="4"/>
      <c r="C142" s="26" t="s">
        <v>12</v>
      </c>
      <c r="D142" s="26"/>
      <c r="E142" s="27">
        <v>112686.63674363657</v>
      </c>
      <c r="F142" s="28">
        <v>112686.63674363657</v>
      </c>
      <c r="G142" s="29"/>
    </row>
    <row r="143" spans="1:7">
      <c r="B143" s="30">
        <v>143</v>
      </c>
      <c r="C143" s="31" t="s">
        <v>13</v>
      </c>
      <c r="D143" s="31"/>
      <c r="E143" s="27">
        <v>43369.682000000001</v>
      </c>
      <c r="F143" s="32">
        <v>43369.682000000001</v>
      </c>
      <c r="G143" s="33"/>
    </row>
    <row r="144" spans="1:7">
      <c r="B144" s="30"/>
      <c r="C144" s="34" t="s">
        <v>14</v>
      </c>
      <c r="D144" s="34"/>
      <c r="E144" s="27">
        <v>0</v>
      </c>
      <c r="F144" s="32">
        <v>0</v>
      </c>
      <c r="G144" s="33"/>
    </row>
    <row r="145" spans="2:7">
      <c r="B145" s="30"/>
      <c r="C145" s="34" t="s">
        <v>15</v>
      </c>
      <c r="D145" s="34"/>
      <c r="E145" s="27">
        <v>0</v>
      </c>
      <c r="F145" s="32">
        <v>0</v>
      </c>
      <c r="G145" s="33"/>
    </row>
    <row r="146" spans="2:7">
      <c r="B146" s="30"/>
      <c r="C146" s="34" t="s">
        <v>16</v>
      </c>
      <c r="D146" s="34"/>
      <c r="E146" s="27">
        <v>0</v>
      </c>
      <c r="F146" s="32">
        <v>0</v>
      </c>
      <c r="G146" s="33"/>
    </row>
    <row r="147" spans="2:7">
      <c r="B147" s="30"/>
      <c r="C147" s="34" t="s">
        <v>17</v>
      </c>
      <c r="D147" s="34"/>
      <c r="E147" s="27">
        <v>0</v>
      </c>
      <c r="F147" s="32">
        <v>0</v>
      </c>
      <c r="G147" s="33"/>
    </row>
    <row r="148" spans="2:7">
      <c r="B148" s="30"/>
      <c r="C148" s="35" t="s">
        <v>18</v>
      </c>
      <c r="D148" s="35"/>
      <c r="E148" s="36">
        <v>156056.31874363657</v>
      </c>
      <c r="F148" s="37">
        <v>156056.31874363657</v>
      </c>
      <c r="G148" s="38"/>
    </row>
    <row r="149" spans="2:7" ht="15.75" thickBot="1">
      <c r="B149" s="30"/>
      <c r="C149" s="39"/>
      <c r="D149" s="39"/>
      <c r="E149" s="40"/>
      <c r="F149" s="41"/>
      <c r="G149" s="38"/>
    </row>
    <row r="150" spans="2:7" ht="18.75" thickBot="1">
      <c r="B150" s="30"/>
      <c r="C150" s="22" t="s">
        <v>19</v>
      </c>
      <c r="D150" s="23"/>
      <c r="E150" s="42"/>
      <c r="F150" s="43"/>
      <c r="G150" s="38"/>
    </row>
    <row r="151" spans="2:7">
      <c r="B151" s="44">
        <v>121</v>
      </c>
      <c r="C151" s="39" t="s">
        <v>20</v>
      </c>
      <c r="D151" s="39"/>
      <c r="E151" s="45"/>
      <c r="F151" s="46"/>
      <c r="G151" s="47"/>
    </row>
    <row r="152" spans="2:7">
      <c r="B152" s="44"/>
      <c r="C152" s="48" t="s">
        <v>21</v>
      </c>
      <c r="D152" s="48"/>
      <c r="E152" s="49">
        <v>0</v>
      </c>
      <c r="F152" s="50">
        <v>0</v>
      </c>
      <c r="G152" s="47"/>
    </row>
    <row r="153" spans="2:7">
      <c r="B153" s="44"/>
      <c r="C153" s="48" t="s">
        <v>22</v>
      </c>
      <c r="D153" s="48"/>
      <c r="E153" s="49">
        <v>0</v>
      </c>
      <c r="F153" s="50">
        <v>0</v>
      </c>
      <c r="G153" s="47"/>
    </row>
    <row r="154" spans="2:7">
      <c r="B154" s="51"/>
      <c r="C154" s="48" t="s">
        <v>23</v>
      </c>
      <c r="D154" s="48"/>
      <c r="E154" s="49">
        <v>0</v>
      </c>
      <c r="F154" s="50">
        <v>0</v>
      </c>
      <c r="G154" s="52"/>
    </row>
    <row r="155" spans="2:7">
      <c r="B155" s="51"/>
      <c r="C155" s="48" t="s">
        <v>24</v>
      </c>
      <c r="D155" s="48"/>
      <c r="E155" s="49">
        <v>0</v>
      </c>
      <c r="F155" s="50">
        <v>0</v>
      </c>
      <c r="G155" s="52"/>
    </row>
    <row r="156" spans="2:7">
      <c r="B156" s="44"/>
      <c r="C156" s="48" t="s">
        <v>25</v>
      </c>
      <c r="D156" s="48"/>
      <c r="E156" s="49">
        <v>0</v>
      </c>
      <c r="F156" s="50">
        <v>0</v>
      </c>
      <c r="G156" s="52"/>
    </row>
    <row r="157" spans="2:7">
      <c r="B157" s="44"/>
      <c r="C157" s="53" t="s">
        <v>26</v>
      </c>
      <c r="D157" s="53"/>
      <c r="E157" s="36">
        <v>0</v>
      </c>
      <c r="F157" s="54">
        <v>0</v>
      </c>
      <c r="G157" s="52"/>
    </row>
    <row r="158" spans="2:7">
      <c r="B158" s="44">
        <v>122</v>
      </c>
      <c r="C158" s="39" t="s">
        <v>27</v>
      </c>
      <c r="D158" s="39"/>
      <c r="E158" s="36"/>
      <c r="F158" s="50"/>
      <c r="G158" s="55"/>
    </row>
    <row r="159" spans="2:7">
      <c r="B159" s="44"/>
      <c r="C159" s="48" t="s">
        <v>28</v>
      </c>
      <c r="D159" s="48"/>
      <c r="E159" s="49">
        <v>0</v>
      </c>
      <c r="F159" s="50">
        <v>0</v>
      </c>
      <c r="G159" s="52"/>
    </row>
    <row r="160" spans="2:7">
      <c r="B160" s="44"/>
      <c r="C160" s="48" t="s">
        <v>29</v>
      </c>
      <c r="D160" s="48"/>
      <c r="E160" s="49">
        <v>0</v>
      </c>
      <c r="F160" s="50">
        <v>0</v>
      </c>
      <c r="G160" s="52"/>
    </row>
    <row r="161" spans="2:7">
      <c r="B161" s="44"/>
      <c r="C161" s="48" t="s">
        <v>30</v>
      </c>
      <c r="D161" s="48"/>
      <c r="E161" s="49">
        <v>0</v>
      </c>
      <c r="F161" s="50">
        <v>0</v>
      </c>
      <c r="G161" s="52"/>
    </row>
    <row r="162" spans="2:7">
      <c r="B162" s="44"/>
      <c r="C162" s="48" t="s">
        <v>31</v>
      </c>
      <c r="D162" s="48"/>
      <c r="E162" s="49">
        <v>0</v>
      </c>
      <c r="F162" s="50">
        <v>0</v>
      </c>
      <c r="G162" s="52"/>
    </row>
    <row r="163" spans="2:7">
      <c r="B163" s="44"/>
      <c r="C163" s="48" t="s">
        <v>32</v>
      </c>
      <c r="D163" s="48"/>
      <c r="E163" s="49">
        <v>841.13447563636259</v>
      </c>
      <c r="F163" s="50">
        <v>841.13447563636259</v>
      </c>
      <c r="G163" s="52"/>
    </row>
    <row r="164" spans="2:7">
      <c r="B164" s="44"/>
      <c r="C164" s="48" t="s">
        <v>33</v>
      </c>
      <c r="D164" s="48"/>
      <c r="E164" s="49">
        <v>0</v>
      </c>
      <c r="F164" s="50">
        <v>0</v>
      </c>
      <c r="G164" s="52"/>
    </row>
    <row r="165" spans="2:7">
      <c r="B165" s="44"/>
      <c r="C165" s="48" t="s">
        <v>34</v>
      </c>
      <c r="D165" s="48"/>
      <c r="E165" s="49">
        <v>0</v>
      </c>
      <c r="F165" s="50">
        <v>0</v>
      </c>
      <c r="G165" s="52"/>
    </row>
    <row r="166" spans="2:7">
      <c r="B166" s="44"/>
      <c r="C166" s="48" t="s">
        <v>35</v>
      </c>
      <c r="D166" s="48"/>
      <c r="E166" s="49">
        <v>0</v>
      </c>
      <c r="F166" s="50">
        <v>0</v>
      </c>
      <c r="G166" s="52"/>
    </row>
    <row r="167" spans="2:7">
      <c r="B167" s="44"/>
      <c r="C167" s="53" t="s">
        <v>26</v>
      </c>
      <c r="D167" s="53"/>
      <c r="E167" s="36">
        <v>841.13447563636259</v>
      </c>
      <c r="F167" s="54">
        <v>841.13447563636259</v>
      </c>
      <c r="G167" s="52"/>
    </row>
    <row r="168" spans="2:7">
      <c r="B168" s="44">
        <v>123</v>
      </c>
      <c r="C168" s="39" t="s">
        <v>36</v>
      </c>
      <c r="D168" s="39"/>
      <c r="E168" s="56"/>
      <c r="F168" s="57"/>
      <c r="G168" s="52"/>
    </row>
    <row r="169" spans="2:7">
      <c r="B169" s="44"/>
      <c r="C169" s="48" t="s">
        <v>37</v>
      </c>
      <c r="D169" s="48"/>
      <c r="E169" s="49">
        <v>841.13447563636259</v>
      </c>
      <c r="F169" s="50">
        <v>841.13447563636259</v>
      </c>
      <c r="G169" s="52"/>
    </row>
    <row r="170" spans="2:7">
      <c r="B170" s="44"/>
      <c r="C170" s="48" t="s">
        <v>38</v>
      </c>
      <c r="D170" s="48"/>
      <c r="E170" s="49">
        <v>0</v>
      </c>
      <c r="F170" s="50">
        <v>0</v>
      </c>
      <c r="G170" s="52"/>
    </row>
    <row r="171" spans="2:7">
      <c r="B171" s="44"/>
      <c r="C171" s="48" t="s">
        <v>39</v>
      </c>
      <c r="D171" s="48"/>
      <c r="E171" s="49">
        <v>7289.8321221818123</v>
      </c>
      <c r="F171" s="50">
        <v>7289.8321221818123</v>
      </c>
      <c r="G171" s="52"/>
    </row>
    <row r="172" spans="2:7">
      <c r="B172" s="44"/>
      <c r="C172" s="48" t="s">
        <v>40</v>
      </c>
      <c r="D172" s="48"/>
      <c r="E172" s="49">
        <v>0</v>
      </c>
      <c r="F172" s="50">
        <v>0</v>
      </c>
      <c r="G172" s="52"/>
    </row>
    <row r="173" spans="2:7">
      <c r="B173" s="44"/>
      <c r="C173" s="48" t="s">
        <v>41</v>
      </c>
      <c r="D173" s="48"/>
      <c r="E173" s="49">
        <v>0</v>
      </c>
      <c r="F173" s="50">
        <v>0</v>
      </c>
      <c r="G173" s="52"/>
    </row>
    <row r="174" spans="2:7">
      <c r="B174" s="44"/>
      <c r="C174" s="48" t="s">
        <v>42</v>
      </c>
      <c r="D174" s="48"/>
      <c r="E174" s="49">
        <v>1682.2689512727252</v>
      </c>
      <c r="F174" s="50">
        <v>1682.2689512727252</v>
      </c>
      <c r="G174" s="52"/>
    </row>
    <row r="175" spans="2:7">
      <c r="B175" s="44"/>
      <c r="C175" s="53" t="s">
        <v>26</v>
      </c>
      <c r="D175" s="53"/>
      <c r="E175" s="36">
        <v>9813.2355490908994</v>
      </c>
      <c r="F175" s="54">
        <v>9813.2355490908994</v>
      </c>
      <c r="G175" s="52"/>
    </row>
    <row r="176" spans="2:7">
      <c r="B176" s="44">
        <v>124</v>
      </c>
      <c r="C176" s="39" t="s">
        <v>43</v>
      </c>
      <c r="D176" s="39"/>
      <c r="E176" s="56"/>
      <c r="F176" s="57"/>
      <c r="G176" s="52"/>
    </row>
    <row r="177" spans="2:7">
      <c r="B177" s="44"/>
      <c r="C177" s="48" t="s">
        <v>44</v>
      </c>
      <c r="D177" s="48"/>
      <c r="E177" s="49">
        <v>1285.0665599999998</v>
      </c>
      <c r="F177" s="50">
        <v>1285.0665599999998</v>
      </c>
      <c r="G177" s="52"/>
    </row>
    <row r="178" spans="2:7">
      <c r="B178" s="44"/>
      <c r="C178" s="48" t="s">
        <v>45</v>
      </c>
      <c r="D178" s="48"/>
      <c r="E178" s="49">
        <v>0</v>
      </c>
      <c r="F178" s="50">
        <v>0</v>
      </c>
      <c r="G178" s="52"/>
    </row>
    <row r="179" spans="2:7">
      <c r="B179" s="44"/>
      <c r="C179" s="48" t="s">
        <v>46</v>
      </c>
      <c r="D179" s="48"/>
      <c r="E179" s="49">
        <v>0</v>
      </c>
      <c r="F179" s="50">
        <v>0</v>
      </c>
      <c r="G179" s="52"/>
    </row>
    <row r="180" spans="2:7">
      <c r="B180" s="44"/>
      <c r="C180" s="53" t="s">
        <v>26</v>
      </c>
      <c r="D180" s="53"/>
      <c r="E180" s="36">
        <v>1285.0665599999998</v>
      </c>
      <c r="F180" s="54">
        <v>1285.0665599999998</v>
      </c>
      <c r="G180" s="52"/>
    </row>
    <row r="181" spans="2:7">
      <c r="B181" s="44">
        <v>125</v>
      </c>
      <c r="C181" s="39" t="s">
        <v>47</v>
      </c>
      <c r="D181" s="39"/>
      <c r="E181" s="36"/>
      <c r="F181" s="50"/>
      <c r="G181" s="52"/>
    </row>
    <row r="182" spans="2:7">
      <c r="B182" s="44"/>
      <c r="C182" s="48" t="s">
        <v>48</v>
      </c>
      <c r="D182" s="48"/>
      <c r="E182" s="58">
        <v>0</v>
      </c>
      <c r="F182" s="50">
        <v>0</v>
      </c>
      <c r="G182" s="52"/>
    </row>
    <row r="183" spans="2:7">
      <c r="B183" s="44"/>
      <c r="C183" s="48" t="s">
        <v>49</v>
      </c>
      <c r="D183" s="48"/>
      <c r="E183" s="58">
        <v>0</v>
      </c>
      <c r="F183" s="50">
        <v>0</v>
      </c>
      <c r="G183" s="52"/>
    </row>
    <row r="184" spans="2:7">
      <c r="B184" s="44"/>
      <c r="C184" s="48" t="s">
        <v>50</v>
      </c>
      <c r="D184" s="48"/>
      <c r="E184" s="58">
        <v>1028.0532479999999</v>
      </c>
      <c r="F184" s="50">
        <v>1028.0532479999999</v>
      </c>
      <c r="G184" s="52"/>
    </row>
    <row r="185" spans="2:7">
      <c r="B185" s="44"/>
      <c r="C185" s="48" t="s">
        <v>51</v>
      </c>
      <c r="D185" s="48"/>
      <c r="E185" s="58">
        <v>0</v>
      </c>
      <c r="F185" s="50">
        <v>0</v>
      </c>
      <c r="G185" s="52"/>
    </row>
    <row r="186" spans="2:7">
      <c r="B186" s="44"/>
      <c r="C186" s="53" t="s">
        <v>26</v>
      </c>
      <c r="D186" s="53"/>
      <c r="E186" s="56">
        <v>1028.0532479999999</v>
      </c>
      <c r="F186" s="54">
        <v>1028.0532479999999</v>
      </c>
      <c r="G186" s="52"/>
    </row>
    <row r="187" spans="2:7">
      <c r="B187" s="44">
        <v>126</v>
      </c>
      <c r="C187" s="39" t="s">
        <v>52</v>
      </c>
      <c r="D187" s="39"/>
      <c r="E187" s="56"/>
      <c r="F187" s="50"/>
      <c r="G187" s="52"/>
    </row>
    <row r="188" spans="2:7">
      <c r="B188" s="44"/>
      <c r="C188" s="48" t="s">
        <v>53</v>
      </c>
      <c r="D188" s="48"/>
      <c r="E188" s="49">
        <v>0</v>
      </c>
      <c r="F188" s="50">
        <v>0</v>
      </c>
      <c r="G188" s="52"/>
    </row>
    <row r="189" spans="2:7">
      <c r="B189" s="44"/>
      <c r="C189" s="48" t="s">
        <v>54</v>
      </c>
      <c r="D189" s="48"/>
      <c r="E189" s="49">
        <v>0</v>
      </c>
      <c r="F189" s="50"/>
      <c r="G189" s="52"/>
    </row>
    <row r="190" spans="2:7">
      <c r="B190" s="44"/>
      <c r="C190" s="48" t="s">
        <v>55</v>
      </c>
      <c r="D190" s="48"/>
      <c r="E190" s="49">
        <v>0</v>
      </c>
      <c r="F190" s="50"/>
      <c r="G190" s="52"/>
    </row>
    <row r="191" spans="2:7">
      <c r="B191" s="44"/>
      <c r="C191" s="48" t="s">
        <v>56</v>
      </c>
      <c r="D191" s="48"/>
      <c r="E191" s="49">
        <v>0</v>
      </c>
      <c r="F191" s="57"/>
      <c r="G191" s="52"/>
    </row>
    <row r="192" spans="2:7">
      <c r="B192" s="44"/>
      <c r="C192" s="53" t="s">
        <v>26</v>
      </c>
      <c r="D192" s="53"/>
      <c r="E192" s="56">
        <v>0</v>
      </c>
      <c r="F192" s="54">
        <v>0</v>
      </c>
      <c r="G192" s="52"/>
    </row>
    <row r="193" spans="2:7">
      <c r="B193" s="44">
        <v>127</v>
      </c>
      <c r="C193" s="39" t="s">
        <v>57</v>
      </c>
      <c r="D193" s="39"/>
      <c r="E193" s="56"/>
      <c r="F193" s="54"/>
      <c r="G193" s="52"/>
    </row>
    <row r="194" spans="2:7">
      <c r="B194" s="44"/>
      <c r="C194" s="48" t="s">
        <v>58</v>
      </c>
      <c r="D194" s="48"/>
      <c r="E194" s="49">
        <v>0</v>
      </c>
      <c r="F194" s="50">
        <v>0</v>
      </c>
      <c r="G194" s="52"/>
    </row>
    <row r="195" spans="2:7">
      <c r="B195" s="44"/>
      <c r="C195" s="48" t="s">
        <v>59</v>
      </c>
      <c r="D195" s="48"/>
      <c r="E195" s="49">
        <v>0</v>
      </c>
      <c r="F195" s="50">
        <v>0</v>
      </c>
      <c r="G195" s="52"/>
    </row>
    <row r="196" spans="2:7">
      <c r="B196" s="44"/>
      <c r="C196" s="48" t="s">
        <v>60</v>
      </c>
      <c r="D196" s="48"/>
      <c r="E196" s="49">
        <v>0</v>
      </c>
      <c r="F196" s="50">
        <v>0</v>
      </c>
      <c r="G196" s="52"/>
    </row>
    <row r="197" spans="2:7">
      <c r="B197" s="44"/>
      <c r="C197" s="59" t="s">
        <v>61</v>
      </c>
      <c r="D197" s="59"/>
      <c r="E197" s="49">
        <v>0</v>
      </c>
      <c r="F197" s="50">
        <v>0</v>
      </c>
      <c r="G197" s="52"/>
    </row>
    <row r="198" spans="2:7">
      <c r="B198" s="44"/>
      <c r="C198" s="53" t="s">
        <v>26</v>
      </c>
      <c r="D198" s="53"/>
      <c r="E198" s="56">
        <v>0</v>
      </c>
      <c r="F198" s="54">
        <v>0</v>
      </c>
      <c r="G198" s="52"/>
    </row>
    <row r="199" spans="2:7">
      <c r="B199" s="44">
        <v>128</v>
      </c>
      <c r="C199" s="39" t="s">
        <v>62</v>
      </c>
      <c r="D199" s="39"/>
      <c r="E199" s="56"/>
      <c r="F199" s="54"/>
      <c r="G199" s="52"/>
    </row>
    <row r="200" spans="2:7">
      <c r="B200" s="44"/>
      <c r="C200" s="48" t="s">
        <v>63</v>
      </c>
      <c r="D200" s="48"/>
      <c r="E200" s="49">
        <v>0</v>
      </c>
      <c r="F200" s="50">
        <v>0</v>
      </c>
      <c r="G200" s="52"/>
    </row>
    <row r="201" spans="2:7">
      <c r="B201" s="44"/>
      <c r="C201" s="48" t="s">
        <v>64</v>
      </c>
      <c r="D201" s="48"/>
      <c r="E201" s="49">
        <v>0</v>
      </c>
      <c r="F201" s="50">
        <v>0</v>
      </c>
      <c r="G201" s="52"/>
    </row>
    <row r="202" spans="2:7">
      <c r="B202" s="44"/>
      <c r="C202" s="48" t="s">
        <v>65</v>
      </c>
      <c r="D202" s="48"/>
      <c r="E202" s="49">
        <v>3084.1597439999996</v>
      </c>
      <c r="F202" s="50">
        <v>3084.1597439999996</v>
      </c>
      <c r="G202" s="52"/>
    </row>
    <row r="203" spans="2:7">
      <c r="B203" s="44"/>
      <c r="C203" s="48" t="s">
        <v>66</v>
      </c>
      <c r="D203" s="48"/>
      <c r="E203" s="49">
        <v>0</v>
      </c>
      <c r="F203" s="50">
        <v>0</v>
      </c>
      <c r="G203" s="52"/>
    </row>
    <row r="204" spans="2:7">
      <c r="B204" s="44"/>
      <c r="C204" s="48" t="s">
        <v>67</v>
      </c>
      <c r="D204" s="48"/>
      <c r="E204" s="49">
        <v>0</v>
      </c>
      <c r="F204" s="50">
        <v>0</v>
      </c>
      <c r="G204" s="52"/>
    </row>
    <row r="205" spans="2:7">
      <c r="B205" s="44"/>
      <c r="C205" s="53" t="s">
        <v>26</v>
      </c>
      <c r="D205" s="53"/>
      <c r="E205" s="56">
        <v>3084.1597439999996</v>
      </c>
      <c r="F205" s="54">
        <v>3084.1597439999996</v>
      </c>
      <c r="G205" s="52"/>
    </row>
    <row r="206" spans="2:7">
      <c r="B206" s="44">
        <v>135</v>
      </c>
      <c r="C206" s="39" t="s">
        <v>68</v>
      </c>
      <c r="D206" s="39"/>
      <c r="E206" s="56"/>
      <c r="F206" s="50"/>
      <c r="G206" s="52"/>
    </row>
    <row r="207" spans="2:7">
      <c r="B207" s="44"/>
      <c r="C207" s="48" t="s">
        <v>69</v>
      </c>
      <c r="D207" s="48"/>
      <c r="E207" s="49">
        <v>0</v>
      </c>
      <c r="F207" s="50">
        <v>0</v>
      </c>
      <c r="G207" s="52"/>
    </row>
    <row r="208" spans="2:7">
      <c r="B208" s="44"/>
      <c r="C208" s="48" t="s">
        <v>70</v>
      </c>
      <c r="D208" s="48"/>
      <c r="E208" s="49">
        <v>0</v>
      </c>
      <c r="F208" s="50">
        <v>0</v>
      </c>
      <c r="G208" s="52"/>
    </row>
    <row r="209" spans="2:7">
      <c r="B209" s="44"/>
      <c r="C209" s="48" t="s">
        <v>71</v>
      </c>
      <c r="D209" s="48"/>
      <c r="E209" s="49">
        <v>0</v>
      </c>
      <c r="F209" s="50">
        <v>0</v>
      </c>
      <c r="G209" s="52"/>
    </row>
    <row r="210" spans="2:7">
      <c r="B210" s="44"/>
      <c r="C210" s="48" t="s">
        <v>72</v>
      </c>
      <c r="D210" s="48"/>
      <c r="E210" s="49">
        <v>0</v>
      </c>
      <c r="F210" s="50">
        <v>0</v>
      </c>
      <c r="G210" s="52"/>
    </row>
    <row r="211" spans="2:7">
      <c r="B211" s="44"/>
      <c r="C211" s="48" t="s">
        <v>73</v>
      </c>
      <c r="D211" s="48"/>
      <c r="E211" s="49">
        <v>1682.2689512727252</v>
      </c>
      <c r="F211" s="50">
        <v>1682.2689512727252</v>
      </c>
      <c r="G211" s="52"/>
    </row>
    <row r="212" spans="2:7">
      <c r="B212" s="44"/>
      <c r="C212" s="48" t="s">
        <v>74</v>
      </c>
      <c r="D212" s="48"/>
      <c r="E212" s="49">
        <v>0</v>
      </c>
      <c r="F212" s="50">
        <v>0</v>
      </c>
      <c r="G212" s="52"/>
    </row>
    <row r="213" spans="2:7">
      <c r="B213" s="44"/>
      <c r="C213" s="48" t="s">
        <v>75</v>
      </c>
      <c r="D213" s="48"/>
      <c r="E213" s="49">
        <v>7967.4126719999986</v>
      </c>
      <c r="F213" s="50">
        <v>7967.4126719999986</v>
      </c>
      <c r="G213" s="52"/>
    </row>
    <row r="214" spans="2:7">
      <c r="B214" s="44"/>
      <c r="C214" s="48" t="s">
        <v>76</v>
      </c>
      <c r="D214" s="48"/>
      <c r="E214" s="49">
        <v>0</v>
      </c>
      <c r="F214" s="50">
        <v>0</v>
      </c>
      <c r="G214" s="52"/>
    </row>
    <row r="215" spans="2:7">
      <c r="B215" s="44"/>
      <c r="C215" s="48" t="s">
        <v>77</v>
      </c>
      <c r="D215" s="48"/>
      <c r="E215" s="49">
        <v>0</v>
      </c>
      <c r="F215" s="50">
        <v>0</v>
      </c>
      <c r="G215" s="52"/>
    </row>
    <row r="216" spans="2:7">
      <c r="B216" s="44"/>
      <c r="C216" s="53" t="s">
        <v>26</v>
      </c>
      <c r="D216" s="53"/>
      <c r="E216" s="56">
        <v>9649.6816232727233</v>
      </c>
      <c r="F216" s="54">
        <v>9649.6816232727233</v>
      </c>
      <c r="G216" s="52"/>
    </row>
    <row r="217" spans="2:7">
      <c r="B217" s="44">
        <v>136</v>
      </c>
      <c r="C217" s="39" t="s">
        <v>78</v>
      </c>
      <c r="D217" s="39"/>
      <c r="E217" s="56"/>
      <c r="F217" s="50"/>
      <c r="G217" s="52"/>
    </row>
    <row r="218" spans="2:7">
      <c r="B218" s="44"/>
      <c r="C218" s="48" t="s">
        <v>79</v>
      </c>
      <c r="D218" s="48"/>
      <c r="E218" s="49">
        <v>0</v>
      </c>
      <c r="F218" s="50">
        <v>0</v>
      </c>
      <c r="G218" s="52"/>
    </row>
    <row r="219" spans="2:7">
      <c r="B219" s="44"/>
      <c r="C219" s="48" t="s">
        <v>80</v>
      </c>
      <c r="D219" s="48"/>
      <c r="E219" s="49">
        <v>0</v>
      </c>
      <c r="F219" s="50">
        <v>0</v>
      </c>
      <c r="G219" s="52"/>
    </row>
    <row r="220" spans="2:7">
      <c r="B220" s="44"/>
      <c r="C220" s="48" t="s">
        <v>81</v>
      </c>
      <c r="D220" s="48"/>
      <c r="E220" s="49">
        <v>0</v>
      </c>
      <c r="F220" s="50">
        <v>0</v>
      </c>
      <c r="G220" s="52"/>
    </row>
    <row r="221" spans="2:7">
      <c r="B221" s="44"/>
      <c r="C221" s="48" t="s">
        <v>82</v>
      </c>
      <c r="D221" s="48"/>
      <c r="E221" s="49">
        <v>0</v>
      </c>
      <c r="F221" s="50">
        <v>0</v>
      </c>
      <c r="G221" s="52"/>
    </row>
    <row r="222" spans="2:7">
      <c r="B222" s="44"/>
      <c r="C222" s="48" t="s">
        <v>83</v>
      </c>
      <c r="D222" s="48"/>
      <c r="E222" s="49">
        <v>0</v>
      </c>
      <c r="F222" s="50">
        <v>0</v>
      </c>
      <c r="G222" s="52"/>
    </row>
    <row r="223" spans="2:7">
      <c r="B223" s="44"/>
      <c r="C223" s="48" t="s">
        <v>84</v>
      </c>
      <c r="D223" s="48"/>
      <c r="E223" s="49">
        <v>0</v>
      </c>
      <c r="F223" s="50">
        <v>0</v>
      </c>
      <c r="G223" s="52"/>
    </row>
    <row r="224" spans="2:7">
      <c r="B224" s="44"/>
      <c r="C224" s="53" t="s">
        <v>26</v>
      </c>
      <c r="D224" s="53"/>
      <c r="E224" s="56">
        <v>0</v>
      </c>
      <c r="F224" s="54">
        <v>0</v>
      </c>
      <c r="G224" s="52"/>
    </row>
    <row r="225" spans="2:7">
      <c r="B225" s="44">
        <v>142</v>
      </c>
      <c r="C225" s="39" t="s">
        <v>85</v>
      </c>
      <c r="D225" s="39"/>
      <c r="E225" s="56"/>
      <c r="F225" s="50"/>
      <c r="G225" s="52"/>
    </row>
    <row r="226" spans="2:7">
      <c r="B226" s="44"/>
      <c r="C226" s="48" t="s">
        <v>86</v>
      </c>
      <c r="D226" s="48"/>
      <c r="E226" s="49">
        <v>0</v>
      </c>
      <c r="F226" s="50">
        <v>0</v>
      </c>
      <c r="G226" s="52"/>
    </row>
    <row r="227" spans="2:7">
      <c r="B227" s="44"/>
      <c r="C227" s="48" t="s">
        <v>87</v>
      </c>
      <c r="D227" s="48"/>
      <c r="E227" s="49">
        <v>0</v>
      </c>
      <c r="F227" s="50">
        <v>0</v>
      </c>
      <c r="G227" s="52"/>
    </row>
    <row r="228" spans="2:7">
      <c r="B228" s="44"/>
      <c r="C228" s="53" t="s">
        <v>26</v>
      </c>
      <c r="D228" s="53"/>
      <c r="E228" s="56">
        <v>0</v>
      </c>
      <c r="F228" s="54">
        <v>0</v>
      </c>
      <c r="G228" s="52"/>
    </row>
    <row r="229" spans="2:7">
      <c r="B229" s="44">
        <v>144</v>
      </c>
      <c r="C229" s="39" t="s">
        <v>88</v>
      </c>
      <c r="D229" s="39"/>
      <c r="E229" s="49">
        <v>0</v>
      </c>
      <c r="F229" s="54">
        <v>0</v>
      </c>
      <c r="G229" s="52"/>
    </row>
    <row r="230" spans="2:7">
      <c r="B230" s="44">
        <v>221</v>
      </c>
      <c r="C230" s="39" t="s">
        <v>89</v>
      </c>
      <c r="D230" s="39"/>
      <c r="E230" s="49">
        <v>0</v>
      </c>
      <c r="F230" s="54">
        <v>0</v>
      </c>
      <c r="G230" s="52"/>
    </row>
    <row r="231" spans="2:7">
      <c r="B231" s="44">
        <v>222</v>
      </c>
      <c r="C231" s="39" t="s">
        <v>90</v>
      </c>
      <c r="D231" s="39"/>
      <c r="E231" s="49">
        <v>0</v>
      </c>
      <c r="F231" s="54">
        <v>0</v>
      </c>
      <c r="G231" s="52"/>
    </row>
    <row r="232" spans="2:7">
      <c r="B232" s="44">
        <v>224</v>
      </c>
      <c r="C232" s="39" t="s">
        <v>91</v>
      </c>
      <c r="D232" s="39"/>
      <c r="E232" s="49">
        <v>0</v>
      </c>
      <c r="F232" s="54">
        <v>0</v>
      </c>
      <c r="G232" s="52"/>
    </row>
    <row r="233" spans="2:7">
      <c r="B233" s="44">
        <v>225</v>
      </c>
      <c r="C233" s="39" t="s">
        <v>92</v>
      </c>
      <c r="D233" s="39"/>
      <c r="E233" s="49">
        <v>0</v>
      </c>
      <c r="F233" s="54">
        <v>0</v>
      </c>
      <c r="G233" s="38"/>
    </row>
    <row r="234" spans="2:7">
      <c r="B234" s="44">
        <v>226</v>
      </c>
      <c r="C234" s="39" t="s">
        <v>93</v>
      </c>
      <c r="D234" s="39"/>
      <c r="E234" s="49">
        <v>0</v>
      </c>
      <c r="F234" s="54">
        <v>0</v>
      </c>
      <c r="G234" s="60"/>
    </row>
    <row r="235" spans="2:7" ht="15.75" thickBot="1">
      <c r="B235" s="61"/>
      <c r="C235" s="62" t="s">
        <v>94</v>
      </c>
      <c r="D235" s="62"/>
      <c r="E235" s="94">
        <v>0</v>
      </c>
      <c r="F235" s="63">
        <v>0</v>
      </c>
      <c r="G235" s="38"/>
    </row>
    <row r="236" spans="2:7">
      <c r="B236" s="64"/>
      <c r="C236" s="65" t="s">
        <v>95</v>
      </c>
      <c r="D236" s="66"/>
      <c r="E236" s="67">
        <v>25701.331199999986</v>
      </c>
      <c r="F236" s="68">
        <v>25701.331199999986</v>
      </c>
      <c r="G236" s="69"/>
    </row>
    <row r="237" spans="2:7" ht="15.75" thickBot="1">
      <c r="B237" s="64"/>
      <c r="C237" s="70"/>
      <c r="D237" s="71"/>
      <c r="E237" s="72"/>
      <c r="F237" s="73"/>
      <c r="G237" s="69"/>
    </row>
    <row r="238" spans="2:7" ht="15.75" thickBot="1">
      <c r="B238" s="64"/>
      <c r="C238" s="70" t="s">
        <v>96</v>
      </c>
      <c r="D238" s="71"/>
      <c r="E238" s="74">
        <v>130354.98754363658</v>
      </c>
      <c r="F238" s="75">
        <v>130354.98754363658</v>
      </c>
      <c r="G238" s="76"/>
    </row>
    <row r="239" spans="2:7" ht="8.25" customHeight="1" thickBot="1">
      <c r="B239" s="77"/>
      <c r="C239" s="81"/>
      <c r="D239" s="81"/>
      <c r="E239" s="78"/>
      <c r="F239" s="78"/>
      <c r="G239" s="79"/>
    </row>
    <row r="240" spans="2:7">
      <c r="B240" s="85"/>
      <c r="C240" s="84"/>
      <c r="D240" s="84"/>
      <c r="E240" s="85"/>
      <c r="F240" s="85"/>
      <c r="G240" s="85"/>
    </row>
    <row r="241" spans="1:7" ht="6" customHeight="1" thickBot="1"/>
    <row r="242" spans="1:7">
      <c r="B242" s="1"/>
      <c r="C242" s="2"/>
      <c r="D242" s="2"/>
      <c r="E242" s="2"/>
      <c r="F242" s="2"/>
      <c r="G242" s="3"/>
    </row>
    <row r="243" spans="1:7">
      <c r="B243" s="4"/>
      <c r="C243" s="5"/>
      <c r="D243" s="5"/>
      <c r="E243" s="5"/>
      <c r="F243" s="5"/>
      <c r="G243" s="6"/>
    </row>
    <row r="244" spans="1:7">
      <c r="B244" s="4"/>
      <c r="C244" s="5"/>
      <c r="D244" s="5"/>
      <c r="E244" s="5"/>
      <c r="F244" s="5"/>
      <c r="G244" s="6"/>
    </row>
    <row r="245" spans="1:7">
      <c r="B245" s="4"/>
      <c r="C245" s="5"/>
      <c r="D245" s="5"/>
      <c r="E245" s="5"/>
      <c r="F245" s="5"/>
      <c r="G245" s="6"/>
    </row>
    <row r="246" spans="1:7">
      <c r="B246" s="4"/>
      <c r="C246" s="5"/>
      <c r="D246" s="5"/>
      <c r="E246" s="5"/>
      <c r="F246" s="5"/>
      <c r="G246" s="6"/>
    </row>
    <row r="247" spans="1:7" ht="16.5" customHeight="1">
      <c r="B247" s="4"/>
      <c r="C247" s="5"/>
      <c r="D247" s="5"/>
      <c r="E247" s="5"/>
      <c r="F247" s="5"/>
      <c r="G247" s="6"/>
    </row>
    <row r="248" spans="1:7" ht="22.5" customHeight="1" thickBot="1">
      <c r="B248" s="4"/>
      <c r="C248" s="95" t="s">
        <v>0</v>
      </c>
      <c r="D248" s="95"/>
      <c r="E248" s="95"/>
      <c r="F248" s="5"/>
      <c r="G248" s="6"/>
    </row>
    <row r="249" spans="1:7" ht="21" thickTop="1">
      <c r="B249" s="4"/>
      <c r="C249" s="7"/>
      <c r="D249" s="7"/>
      <c r="E249" s="5"/>
      <c r="F249" s="5"/>
      <c r="G249" s="6"/>
    </row>
    <row r="250" spans="1:7">
      <c r="B250" s="8" t="s">
        <v>1</v>
      </c>
      <c r="C250" s="9" t="s">
        <v>97</v>
      </c>
      <c r="D250" s="5"/>
      <c r="E250" s="10" t="s">
        <v>2</v>
      </c>
      <c r="F250" s="9" t="s">
        <v>98</v>
      </c>
      <c r="G250" s="6"/>
    </row>
    <row r="251" spans="1:7" ht="3.75" customHeight="1">
      <c r="A251" s="80"/>
      <c r="B251" s="5"/>
      <c r="C251" s="5"/>
      <c r="D251" s="5"/>
      <c r="E251" s="11"/>
      <c r="F251" s="5"/>
      <c r="G251" s="6"/>
    </row>
    <row r="252" spans="1:7">
      <c r="A252" s="80"/>
      <c r="B252" s="12" t="s">
        <v>3</v>
      </c>
      <c r="C252" s="9" t="s">
        <v>99</v>
      </c>
      <c r="D252" s="5"/>
      <c r="E252" s="10" t="s">
        <v>4</v>
      </c>
      <c r="F252" s="82" t="s">
        <v>100</v>
      </c>
      <c r="G252" s="6"/>
    </row>
    <row r="253" spans="1:7" ht="3.75" customHeight="1">
      <c r="A253" s="80"/>
      <c r="B253" s="5"/>
      <c r="C253" s="5"/>
      <c r="D253" s="5"/>
      <c r="E253" s="11"/>
      <c r="F253" s="5"/>
      <c r="G253" s="6"/>
    </row>
    <row r="254" spans="1:7">
      <c r="A254" s="80"/>
      <c r="B254" s="10" t="s">
        <v>5</v>
      </c>
      <c r="C254" s="9" t="s">
        <v>101</v>
      </c>
      <c r="D254" s="5"/>
      <c r="E254" s="10" t="s">
        <v>6</v>
      </c>
      <c r="F254" s="9" t="s">
        <v>107</v>
      </c>
      <c r="G254" s="6"/>
    </row>
    <row r="255" spans="1:7" ht="4.5" customHeight="1">
      <c r="A255" s="80"/>
      <c r="B255" s="13"/>
      <c r="C255" s="5"/>
      <c r="D255" s="5"/>
      <c r="E255" s="11"/>
      <c r="F255" s="5"/>
      <c r="G255" s="6"/>
    </row>
    <row r="256" spans="1:7">
      <c r="A256" s="80"/>
      <c r="B256" s="10" t="s">
        <v>7</v>
      </c>
      <c r="C256" s="9" t="s">
        <v>111</v>
      </c>
      <c r="D256" s="5"/>
      <c r="E256" s="11"/>
      <c r="F256" s="5"/>
      <c r="G256" s="6"/>
    </row>
    <row r="257" spans="1:7" ht="3.75" customHeight="1">
      <c r="A257" s="80"/>
      <c r="B257" s="5"/>
      <c r="C257" s="5"/>
      <c r="D257" s="5"/>
      <c r="E257" s="11"/>
      <c r="F257" s="5"/>
      <c r="G257" s="6"/>
    </row>
    <row r="258" spans="1:7">
      <c r="B258" s="14" t="s">
        <v>8</v>
      </c>
      <c r="C258" s="15" t="s">
        <v>105</v>
      </c>
      <c r="D258" s="5"/>
      <c r="E258" s="86" t="s">
        <v>109</v>
      </c>
      <c r="F258" s="87">
        <v>45352</v>
      </c>
      <c r="G258" s="6"/>
    </row>
    <row r="259" spans="1:7">
      <c r="B259" s="16" t="s">
        <v>9</v>
      </c>
      <c r="C259" s="17" t="s">
        <v>130</v>
      </c>
      <c r="D259" s="5"/>
      <c r="E259" s="88" t="s">
        <v>110</v>
      </c>
      <c r="F259" s="89">
        <v>45382</v>
      </c>
      <c r="G259" s="18"/>
    </row>
    <row r="260" spans="1:7" ht="15.75" thickBot="1">
      <c r="B260" s="4"/>
      <c r="C260" s="19"/>
      <c r="D260" s="19"/>
      <c r="E260" s="20"/>
      <c r="F260" s="21"/>
      <c r="G260" s="18"/>
    </row>
    <row r="261" spans="1:7" ht="18.75" thickBot="1">
      <c r="B261" s="4"/>
      <c r="C261" s="22" t="s">
        <v>10</v>
      </c>
      <c r="D261" s="23"/>
      <c r="E261" s="24"/>
      <c r="F261" s="25" t="s">
        <v>11</v>
      </c>
      <c r="G261" s="18"/>
    </row>
    <row r="262" spans="1:7">
      <c r="B262" s="4"/>
      <c r="C262" s="26" t="s">
        <v>12</v>
      </c>
      <c r="D262" s="26"/>
      <c r="E262" s="27">
        <v>130354.98754363658</v>
      </c>
      <c r="F262" s="28">
        <v>130354.98754363658</v>
      </c>
      <c r="G262" s="29"/>
    </row>
    <row r="263" spans="1:7">
      <c r="B263" s="30">
        <v>143</v>
      </c>
      <c r="C263" s="31" t="s">
        <v>13</v>
      </c>
      <c r="D263" s="31"/>
      <c r="E263" s="27">
        <v>43369.682000000001</v>
      </c>
      <c r="F263" s="32">
        <v>43369.682000000001</v>
      </c>
      <c r="G263" s="33"/>
    </row>
    <row r="264" spans="1:7">
      <c r="B264" s="30"/>
      <c r="C264" s="34" t="s">
        <v>14</v>
      </c>
      <c r="D264" s="34"/>
      <c r="E264" s="27">
        <v>0</v>
      </c>
      <c r="F264" s="32">
        <v>0</v>
      </c>
      <c r="G264" s="33"/>
    </row>
    <row r="265" spans="1:7">
      <c r="B265" s="30"/>
      <c r="C265" s="34" t="s">
        <v>15</v>
      </c>
      <c r="D265" s="34"/>
      <c r="E265" s="27">
        <v>0</v>
      </c>
      <c r="F265" s="32">
        <v>0</v>
      </c>
      <c r="G265" s="33"/>
    </row>
    <row r="266" spans="1:7">
      <c r="B266" s="30"/>
      <c r="C266" s="34" t="s">
        <v>16</v>
      </c>
      <c r="D266" s="34"/>
      <c r="E266" s="27">
        <v>0</v>
      </c>
      <c r="F266" s="32">
        <v>0</v>
      </c>
      <c r="G266" s="33"/>
    </row>
    <row r="267" spans="1:7">
      <c r="B267" s="30"/>
      <c r="C267" s="34" t="s">
        <v>17</v>
      </c>
      <c r="D267" s="34"/>
      <c r="E267" s="27">
        <v>0</v>
      </c>
      <c r="F267" s="32">
        <v>0</v>
      </c>
      <c r="G267" s="33"/>
    </row>
    <row r="268" spans="1:7">
      <c r="B268" s="30"/>
      <c r="C268" s="35" t="s">
        <v>18</v>
      </c>
      <c r="D268" s="35"/>
      <c r="E268" s="36">
        <v>173724.66954363658</v>
      </c>
      <c r="F268" s="37">
        <v>173724.66954363658</v>
      </c>
      <c r="G268" s="38"/>
    </row>
    <row r="269" spans="1:7" ht="15.75" thickBot="1">
      <c r="B269" s="30"/>
      <c r="C269" s="39"/>
      <c r="D269" s="39"/>
      <c r="E269" s="40"/>
      <c r="F269" s="41"/>
      <c r="G269" s="38"/>
    </row>
    <row r="270" spans="1:7" ht="18.75" thickBot="1">
      <c r="B270" s="30"/>
      <c r="C270" s="22" t="s">
        <v>19</v>
      </c>
      <c r="D270" s="23"/>
      <c r="E270" s="42"/>
      <c r="F270" s="43"/>
      <c r="G270" s="38"/>
    </row>
    <row r="271" spans="1:7">
      <c r="B271" s="44">
        <v>121</v>
      </c>
      <c r="C271" s="39" t="s">
        <v>20</v>
      </c>
      <c r="D271" s="39"/>
      <c r="E271" s="45"/>
      <c r="F271" s="46"/>
      <c r="G271" s="47"/>
    </row>
    <row r="272" spans="1:7">
      <c r="B272" s="44"/>
      <c r="C272" s="48" t="s">
        <v>21</v>
      </c>
      <c r="D272" s="48"/>
      <c r="E272" s="49">
        <v>0</v>
      </c>
      <c r="F272" s="50">
        <v>0</v>
      </c>
      <c r="G272" s="47"/>
    </row>
    <row r="273" spans="2:7">
      <c r="B273" s="44"/>
      <c r="C273" s="48" t="s">
        <v>22</v>
      </c>
      <c r="D273" s="48"/>
      <c r="E273" s="49">
        <v>0</v>
      </c>
      <c r="F273" s="50">
        <v>0</v>
      </c>
      <c r="G273" s="47"/>
    </row>
    <row r="274" spans="2:7">
      <c r="B274" s="51"/>
      <c r="C274" s="48" t="s">
        <v>23</v>
      </c>
      <c r="D274" s="48"/>
      <c r="E274" s="49">
        <v>0</v>
      </c>
      <c r="F274" s="50">
        <v>0</v>
      </c>
      <c r="G274" s="52"/>
    </row>
    <row r="275" spans="2:7">
      <c r="B275" s="51"/>
      <c r="C275" s="48" t="s">
        <v>24</v>
      </c>
      <c r="D275" s="48"/>
      <c r="E275" s="49">
        <v>7710.3993600000003</v>
      </c>
      <c r="F275" s="50">
        <v>7710.3993600000003</v>
      </c>
      <c r="G275" s="52"/>
    </row>
    <row r="276" spans="2:7">
      <c r="B276" s="44"/>
      <c r="C276" s="48" t="s">
        <v>25</v>
      </c>
      <c r="D276" s="48"/>
      <c r="E276" s="49">
        <v>0</v>
      </c>
      <c r="F276" s="50">
        <v>0</v>
      </c>
      <c r="G276" s="52"/>
    </row>
    <row r="277" spans="2:7">
      <c r="B277" s="44"/>
      <c r="C277" s="53" t="s">
        <v>26</v>
      </c>
      <c r="D277" s="53"/>
      <c r="E277" s="36">
        <v>7710.3993600000003</v>
      </c>
      <c r="F277" s="54">
        <v>7710.3993600000003</v>
      </c>
      <c r="G277" s="52"/>
    </row>
    <row r="278" spans="2:7">
      <c r="B278" s="44">
        <v>122</v>
      </c>
      <c r="C278" s="39" t="s">
        <v>27</v>
      </c>
      <c r="D278" s="39"/>
      <c r="E278" s="36"/>
      <c r="F278" s="50"/>
      <c r="G278" s="55"/>
    </row>
    <row r="279" spans="2:7">
      <c r="B279" s="44"/>
      <c r="C279" s="48" t="s">
        <v>28</v>
      </c>
      <c r="D279" s="48"/>
      <c r="E279" s="49">
        <v>0</v>
      </c>
      <c r="F279" s="50">
        <v>0</v>
      </c>
      <c r="G279" s="52"/>
    </row>
    <row r="280" spans="2:7">
      <c r="B280" s="44"/>
      <c r="C280" s="48" t="s">
        <v>29</v>
      </c>
      <c r="D280" s="48"/>
      <c r="E280" s="49">
        <v>0</v>
      </c>
      <c r="F280" s="50">
        <v>0</v>
      </c>
      <c r="G280" s="52"/>
    </row>
    <row r="281" spans="2:7">
      <c r="B281" s="44"/>
      <c r="C281" s="48" t="s">
        <v>30</v>
      </c>
      <c r="D281" s="48"/>
      <c r="E281" s="49">
        <v>0</v>
      </c>
      <c r="F281" s="50">
        <v>0</v>
      </c>
      <c r="G281" s="52"/>
    </row>
    <row r="282" spans="2:7">
      <c r="B282" s="44"/>
      <c r="C282" s="48" t="s">
        <v>31</v>
      </c>
      <c r="D282" s="48"/>
      <c r="E282" s="49">
        <v>0</v>
      </c>
      <c r="F282" s="50">
        <v>0</v>
      </c>
      <c r="G282" s="52"/>
    </row>
    <row r="283" spans="2:7">
      <c r="B283" s="44"/>
      <c r="C283" s="48" t="s">
        <v>32</v>
      </c>
      <c r="D283" s="48"/>
      <c r="E283" s="49">
        <v>2570.13312</v>
      </c>
      <c r="F283" s="50">
        <v>2570.13312</v>
      </c>
      <c r="G283" s="52"/>
    </row>
    <row r="284" spans="2:7">
      <c r="B284" s="44"/>
      <c r="C284" s="48" t="s">
        <v>33</v>
      </c>
      <c r="D284" s="48"/>
      <c r="E284" s="49">
        <v>0</v>
      </c>
      <c r="F284" s="50">
        <v>0</v>
      </c>
      <c r="G284" s="52"/>
    </row>
    <row r="285" spans="2:7">
      <c r="B285" s="44"/>
      <c r="C285" s="48" t="s">
        <v>34</v>
      </c>
      <c r="D285" s="48"/>
      <c r="E285" s="49">
        <v>0</v>
      </c>
      <c r="F285" s="50">
        <v>0</v>
      </c>
      <c r="G285" s="52"/>
    </row>
    <row r="286" spans="2:7">
      <c r="B286" s="44"/>
      <c r="C286" s="48" t="s">
        <v>35</v>
      </c>
      <c r="D286" s="48"/>
      <c r="E286" s="49">
        <v>0</v>
      </c>
      <c r="F286" s="50">
        <v>0</v>
      </c>
      <c r="G286" s="52"/>
    </row>
    <row r="287" spans="2:7">
      <c r="B287" s="44"/>
      <c r="C287" s="53" t="s">
        <v>26</v>
      </c>
      <c r="D287" s="53"/>
      <c r="E287" s="36">
        <v>2570.13312</v>
      </c>
      <c r="F287" s="54">
        <v>2570.13312</v>
      </c>
      <c r="G287" s="52"/>
    </row>
    <row r="288" spans="2:7">
      <c r="B288" s="44">
        <v>123</v>
      </c>
      <c r="C288" s="39" t="s">
        <v>36</v>
      </c>
      <c r="D288" s="39"/>
      <c r="E288" s="56"/>
      <c r="F288" s="57"/>
      <c r="G288" s="52"/>
    </row>
    <row r="289" spans="2:7">
      <c r="B289" s="44"/>
      <c r="C289" s="48" t="s">
        <v>37</v>
      </c>
      <c r="D289" s="48"/>
      <c r="E289" s="49">
        <v>2102.8361890909068</v>
      </c>
      <c r="F289" s="50">
        <v>2102.8361890909068</v>
      </c>
      <c r="G289" s="52"/>
    </row>
    <row r="290" spans="2:7">
      <c r="B290" s="44"/>
      <c r="C290" s="48" t="s">
        <v>38</v>
      </c>
      <c r="D290" s="48"/>
      <c r="E290" s="49">
        <v>17289.986443636346</v>
      </c>
      <c r="F290" s="50">
        <v>17289.986443636346</v>
      </c>
      <c r="G290" s="52"/>
    </row>
    <row r="291" spans="2:7">
      <c r="B291" s="44"/>
      <c r="C291" s="48" t="s">
        <v>39</v>
      </c>
      <c r="D291" s="48"/>
      <c r="E291" s="49">
        <v>2102.8361890909068</v>
      </c>
      <c r="F291" s="50">
        <v>2102.8361890909068</v>
      </c>
      <c r="G291" s="52"/>
    </row>
    <row r="292" spans="2:7">
      <c r="B292" s="44"/>
      <c r="C292" s="48" t="s">
        <v>40</v>
      </c>
      <c r="D292" s="48"/>
      <c r="E292" s="49">
        <v>0</v>
      </c>
      <c r="F292" s="50">
        <v>0</v>
      </c>
      <c r="G292" s="52"/>
    </row>
    <row r="293" spans="2:7">
      <c r="B293" s="44"/>
      <c r="C293" s="48" t="s">
        <v>41</v>
      </c>
      <c r="D293" s="48"/>
      <c r="E293" s="49">
        <v>0</v>
      </c>
      <c r="F293" s="50">
        <v>0</v>
      </c>
      <c r="G293" s="52"/>
    </row>
    <row r="294" spans="2:7">
      <c r="B294" s="44"/>
      <c r="C294" s="48" t="s">
        <v>42</v>
      </c>
      <c r="D294" s="48"/>
      <c r="E294" s="49">
        <v>4205.6723781818137</v>
      </c>
      <c r="F294" s="50">
        <v>4205.6723781818137</v>
      </c>
      <c r="G294" s="52"/>
    </row>
    <row r="295" spans="2:7">
      <c r="B295" s="44"/>
      <c r="C295" s="53" t="s">
        <v>26</v>
      </c>
      <c r="D295" s="53"/>
      <c r="E295" s="36">
        <v>25701.331199999975</v>
      </c>
      <c r="F295" s="54">
        <v>25701.331199999975</v>
      </c>
      <c r="G295" s="52"/>
    </row>
    <row r="296" spans="2:7">
      <c r="B296" s="44">
        <v>124</v>
      </c>
      <c r="C296" s="39" t="s">
        <v>43</v>
      </c>
      <c r="D296" s="39"/>
      <c r="E296" s="56"/>
      <c r="F296" s="57"/>
      <c r="G296" s="52"/>
    </row>
    <row r="297" spans="2:7">
      <c r="B297" s="44"/>
      <c r="C297" s="48" t="s">
        <v>44</v>
      </c>
      <c r="D297" s="48"/>
      <c r="E297" s="49">
        <v>0</v>
      </c>
      <c r="F297" s="50">
        <v>0</v>
      </c>
      <c r="G297" s="52"/>
    </row>
    <row r="298" spans="2:7">
      <c r="B298" s="44"/>
      <c r="C298" s="48" t="s">
        <v>45</v>
      </c>
      <c r="D298" s="48"/>
      <c r="E298" s="49">
        <v>19918.531679999996</v>
      </c>
      <c r="F298" s="50">
        <v>19918.531679999996</v>
      </c>
      <c r="G298" s="52"/>
    </row>
    <row r="299" spans="2:7">
      <c r="B299" s="44"/>
      <c r="C299" s="48" t="s">
        <v>46</v>
      </c>
      <c r="D299" s="48"/>
      <c r="E299" s="49">
        <v>0</v>
      </c>
      <c r="F299" s="50">
        <v>0</v>
      </c>
      <c r="G299" s="52"/>
    </row>
    <row r="300" spans="2:7">
      <c r="B300" s="44"/>
      <c r="C300" s="53" t="s">
        <v>26</v>
      </c>
      <c r="D300" s="53"/>
      <c r="E300" s="36">
        <v>19918.531679999996</v>
      </c>
      <c r="F300" s="54">
        <v>19918.531679999996</v>
      </c>
      <c r="G300" s="52"/>
    </row>
    <row r="301" spans="2:7">
      <c r="B301" s="44">
        <v>125</v>
      </c>
      <c r="C301" s="39" t="s">
        <v>47</v>
      </c>
      <c r="D301" s="39"/>
      <c r="E301" s="36"/>
      <c r="F301" s="50"/>
      <c r="G301" s="52"/>
    </row>
    <row r="302" spans="2:7">
      <c r="B302" s="44"/>
      <c r="C302" s="48" t="s">
        <v>48</v>
      </c>
      <c r="D302" s="48"/>
      <c r="E302" s="58">
        <v>0</v>
      </c>
      <c r="F302" s="50">
        <v>0</v>
      </c>
      <c r="G302" s="52"/>
    </row>
    <row r="303" spans="2:7">
      <c r="B303" s="44"/>
      <c r="C303" s="48" t="s">
        <v>49</v>
      </c>
      <c r="D303" s="48"/>
      <c r="E303" s="58">
        <v>0</v>
      </c>
      <c r="F303" s="50">
        <v>0</v>
      </c>
      <c r="G303" s="52"/>
    </row>
    <row r="304" spans="2:7">
      <c r="B304" s="44"/>
      <c r="C304" s="48" t="s">
        <v>50</v>
      </c>
      <c r="D304" s="48"/>
      <c r="E304" s="58">
        <v>8352.9326400000009</v>
      </c>
      <c r="F304" s="50">
        <v>8352.9326400000009</v>
      </c>
      <c r="G304" s="52"/>
    </row>
    <row r="305" spans="2:7">
      <c r="B305" s="44"/>
      <c r="C305" s="48" t="s">
        <v>51</v>
      </c>
      <c r="D305" s="48"/>
      <c r="E305" s="58">
        <v>0</v>
      </c>
      <c r="F305" s="50">
        <v>0</v>
      </c>
      <c r="G305" s="52"/>
    </row>
    <row r="306" spans="2:7">
      <c r="B306" s="44"/>
      <c r="C306" s="53" t="s">
        <v>26</v>
      </c>
      <c r="D306" s="53"/>
      <c r="E306" s="56">
        <v>8352.9326400000009</v>
      </c>
      <c r="F306" s="54">
        <v>8352.9326400000009</v>
      </c>
      <c r="G306" s="52"/>
    </row>
    <row r="307" spans="2:7">
      <c r="B307" s="44">
        <v>126</v>
      </c>
      <c r="C307" s="39" t="s">
        <v>52</v>
      </c>
      <c r="D307" s="39"/>
      <c r="E307" s="56"/>
      <c r="F307" s="50"/>
      <c r="G307" s="52"/>
    </row>
    <row r="308" spans="2:7">
      <c r="B308" s="44"/>
      <c r="C308" s="48" t="s">
        <v>53</v>
      </c>
      <c r="D308" s="48"/>
      <c r="E308" s="49">
        <v>0</v>
      </c>
      <c r="F308" s="50">
        <v>0</v>
      </c>
      <c r="G308" s="52"/>
    </row>
    <row r="309" spans="2:7">
      <c r="B309" s="44"/>
      <c r="C309" s="48" t="s">
        <v>54</v>
      </c>
      <c r="D309" s="48"/>
      <c r="E309" s="49">
        <v>0</v>
      </c>
      <c r="F309" s="50"/>
      <c r="G309" s="52"/>
    </row>
    <row r="310" spans="2:7">
      <c r="B310" s="44"/>
      <c r="C310" s="48" t="s">
        <v>55</v>
      </c>
      <c r="D310" s="48"/>
      <c r="E310" s="49">
        <v>0</v>
      </c>
      <c r="F310" s="50"/>
      <c r="G310" s="52"/>
    </row>
    <row r="311" spans="2:7">
      <c r="B311" s="44"/>
      <c r="C311" s="48" t="s">
        <v>56</v>
      </c>
      <c r="D311" s="48"/>
      <c r="E311" s="49">
        <v>0</v>
      </c>
      <c r="F311" s="57"/>
      <c r="G311" s="52"/>
    </row>
    <row r="312" spans="2:7">
      <c r="B312" s="44"/>
      <c r="C312" s="53" t="s">
        <v>26</v>
      </c>
      <c r="D312" s="53"/>
      <c r="E312" s="56">
        <v>0</v>
      </c>
      <c r="F312" s="54">
        <v>0</v>
      </c>
      <c r="G312" s="52"/>
    </row>
    <row r="313" spans="2:7">
      <c r="B313" s="44">
        <v>127</v>
      </c>
      <c r="C313" s="39" t="s">
        <v>57</v>
      </c>
      <c r="D313" s="39"/>
      <c r="E313" s="56"/>
      <c r="F313" s="54"/>
      <c r="G313" s="52"/>
    </row>
    <row r="314" spans="2:7">
      <c r="B314" s="44"/>
      <c r="C314" s="48" t="s">
        <v>58</v>
      </c>
      <c r="D314" s="48"/>
      <c r="E314" s="49">
        <v>0</v>
      </c>
      <c r="F314" s="50">
        <v>0</v>
      </c>
      <c r="G314" s="52"/>
    </row>
    <row r="315" spans="2:7">
      <c r="B315" s="44"/>
      <c r="C315" s="48" t="s">
        <v>59</v>
      </c>
      <c r="D315" s="48"/>
      <c r="E315" s="49">
        <v>0</v>
      </c>
      <c r="F315" s="50">
        <v>0</v>
      </c>
      <c r="G315" s="52"/>
    </row>
    <row r="316" spans="2:7">
      <c r="B316" s="44"/>
      <c r="C316" s="48" t="s">
        <v>60</v>
      </c>
      <c r="D316" s="48"/>
      <c r="E316" s="49">
        <v>0</v>
      </c>
      <c r="F316" s="50">
        <v>0</v>
      </c>
      <c r="G316" s="52"/>
    </row>
    <row r="317" spans="2:7">
      <c r="B317" s="44"/>
      <c r="C317" s="59" t="s">
        <v>61</v>
      </c>
      <c r="D317" s="59"/>
      <c r="E317" s="49">
        <v>0</v>
      </c>
      <c r="F317" s="50">
        <v>0</v>
      </c>
      <c r="G317" s="52"/>
    </row>
    <row r="318" spans="2:7">
      <c r="B318" s="44"/>
      <c r="C318" s="53" t="s">
        <v>26</v>
      </c>
      <c r="D318" s="53"/>
      <c r="E318" s="56">
        <v>0</v>
      </c>
      <c r="F318" s="54">
        <v>0</v>
      </c>
      <c r="G318" s="52"/>
    </row>
    <row r="319" spans="2:7">
      <c r="B319" s="44">
        <v>128</v>
      </c>
      <c r="C319" s="39" t="s">
        <v>62</v>
      </c>
      <c r="D319" s="39"/>
      <c r="E319" s="56"/>
      <c r="F319" s="54"/>
      <c r="G319" s="52"/>
    </row>
    <row r="320" spans="2:7">
      <c r="B320" s="44"/>
      <c r="C320" s="48" t="s">
        <v>63</v>
      </c>
      <c r="D320" s="48"/>
      <c r="E320" s="49">
        <v>0</v>
      </c>
      <c r="F320" s="50">
        <v>0</v>
      </c>
      <c r="G320" s="52"/>
    </row>
    <row r="321" spans="2:7">
      <c r="B321" s="44"/>
      <c r="C321" s="48" t="s">
        <v>64</v>
      </c>
      <c r="D321" s="48"/>
      <c r="E321" s="49">
        <v>0</v>
      </c>
      <c r="F321" s="50">
        <v>0</v>
      </c>
      <c r="G321" s="52"/>
    </row>
    <row r="322" spans="2:7">
      <c r="B322" s="44"/>
      <c r="C322" s="48" t="s">
        <v>65</v>
      </c>
      <c r="D322" s="48"/>
      <c r="E322" s="49">
        <v>0</v>
      </c>
      <c r="F322" s="50">
        <v>0</v>
      </c>
      <c r="G322" s="52"/>
    </row>
    <row r="323" spans="2:7">
      <c r="B323" s="44"/>
      <c r="C323" s="48" t="s">
        <v>66</v>
      </c>
      <c r="D323" s="48"/>
      <c r="E323" s="49">
        <v>0</v>
      </c>
      <c r="F323" s="50">
        <v>0</v>
      </c>
      <c r="G323" s="52"/>
    </row>
    <row r="324" spans="2:7">
      <c r="B324" s="44"/>
      <c r="C324" s="48" t="s">
        <v>67</v>
      </c>
      <c r="D324" s="48"/>
      <c r="E324" s="49">
        <v>0</v>
      </c>
      <c r="F324" s="50">
        <v>0</v>
      </c>
      <c r="G324" s="52"/>
    </row>
    <row r="325" spans="2:7">
      <c r="B325" s="44"/>
      <c r="C325" s="53" t="s">
        <v>26</v>
      </c>
      <c r="D325" s="53"/>
      <c r="E325" s="56">
        <v>0</v>
      </c>
      <c r="F325" s="54">
        <v>0</v>
      </c>
      <c r="G325" s="52"/>
    </row>
    <row r="326" spans="2:7">
      <c r="B326" s="44">
        <v>135</v>
      </c>
      <c r="C326" s="39" t="s">
        <v>68</v>
      </c>
      <c r="D326" s="39"/>
      <c r="E326" s="56"/>
      <c r="F326" s="50"/>
      <c r="G326" s="52"/>
    </row>
    <row r="327" spans="2:7">
      <c r="B327" s="44"/>
      <c r="C327" s="48" t="s">
        <v>69</v>
      </c>
      <c r="D327" s="48"/>
      <c r="E327" s="49">
        <v>0</v>
      </c>
      <c r="F327" s="50">
        <v>0</v>
      </c>
      <c r="G327" s="52"/>
    </row>
    <row r="328" spans="2:7">
      <c r="B328" s="44"/>
      <c r="C328" s="48" t="s">
        <v>70</v>
      </c>
      <c r="D328" s="48"/>
      <c r="E328" s="49">
        <v>0</v>
      </c>
      <c r="F328" s="50">
        <v>0</v>
      </c>
      <c r="G328" s="52"/>
    </row>
    <row r="329" spans="2:7">
      <c r="B329" s="44"/>
      <c r="C329" s="48" t="s">
        <v>71</v>
      </c>
      <c r="D329" s="48"/>
      <c r="E329" s="49">
        <v>0</v>
      </c>
      <c r="F329" s="50">
        <v>0</v>
      </c>
      <c r="G329" s="52"/>
    </row>
    <row r="330" spans="2:7">
      <c r="B330" s="44"/>
      <c r="C330" s="48" t="s">
        <v>72</v>
      </c>
      <c r="D330" s="48"/>
      <c r="E330" s="49">
        <v>0</v>
      </c>
      <c r="F330" s="50">
        <v>0</v>
      </c>
      <c r="G330" s="52"/>
    </row>
    <row r="331" spans="2:7">
      <c r="B331" s="44"/>
      <c r="C331" s="48" t="s">
        <v>73</v>
      </c>
      <c r="D331" s="48"/>
      <c r="E331" s="49">
        <v>0</v>
      </c>
      <c r="F331" s="50">
        <v>0</v>
      </c>
      <c r="G331" s="52"/>
    </row>
    <row r="332" spans="2:7">
      <c r="B332" s="44"/>
      <c r="C332" s="48" t="s">
        <v>74</v>
      </c>
      <c r="D332" s="48"/>
      <c r="E332" s="49">
        <v>0</v>
      </c>
      <c r="F332" s="50">
        <v>0</v>
      </c>
      <c r="G332" s="52"/>
    </row>
    <row r="333" spans="2:7">
      <c r="B333" s="44"/>
      <c r="C333" s="48" t="s">
        <v>75</v>
      </c>
      <c r="D333" s="48"/>
      <c r="E333" s="49">
        <v>0</v>
      </c>
      <c r="F333" s="50">
        <v>0</v>
      </c>
      <c r="G333" s="52"/>
    </row>
    <row r="334" spans="2:7">
      <c r="B334" s="44"/>
      <c r="C334" s="48" t="s">
        <v>76</v>
      </c>
      <c r="D334" s="48"/>
      <c r="E334" s="49">
        <v>0</v>
      </c>
      <c r="F334" s="50">
        <v>0</v>
      </c>
      <c r="G334" s="52"/>
    </row>
    <row r="335" spans="2:7">
      <c r="B335" s="44"/>
      <c r="C335" s="48" t="s">
        <v>77</v>
      </c>
      <c r="D335" s="48"/>
      <c r="E335" s="49">
        <v>0</v>
      </c>
      <c r="F335" s="50">
        <v>0</v>
      </c>
      <c r="G335" s="52"/>
    </row>
    <row r="336" spans="2:7">
      <c r="B336" s="44"/>
      <c r="C336" s="53" t="s">
        <v>26</v>
      </c>
      <c r="D336" s="53"/>
      <c r="E336" s="56">
        <v>0</v>
      </c>
      <c r="F336" s="54">
        <v>0</v>
      </c>
      <c r="G336" s="52"/>
    </row>
    <row r="337" spans="2:7">
      <c r="B337" s="44">
        <v>136</v>
      </c>
      <c r="C337" s="39" t="s">
        <v>78</v>
      </c>
      <c r="D337" s="39"/>
      <c r="E337" s="56"/>
      <c r="F337" s="50"/>
      <c r="G337" s="52"/>
    </row>
    <row r="338" spans="2:7">
      <c r="B338" s="44"/>
      <c r="C338" s="48" t="s">
        <v>79</v>
      </c>
      <c r="D338" s="48"/>
      <c r="E338" s="49">
        <v>0</v>
      </c>
      <c r="F338" s="50">
        <v>0</v>
      </c>
      <c r="G338" s="52"/>
    </row>
    <row r="339" spans="2:7">
      <c r="B339" s="44"/>
      <c r="C339" s="48" t="s">
        <v>80</v>
      </c>
      <c r="D339" s="48"/>
      <c r="E339" s="49">
        <v>0</v>
      </c>
      <c r="F339" s="50">
        <v>0</v>
      </c>
      <c r="G339" s="52"/>
    </row>
    <row r="340" spans="2:7">
      <c r="B340" s="44"/>
      <c r="C340" s="48" t="s">
        <v>81</v>
      </c>
      <c r="D340" s="48"/>
      <c r="E340" s="49">
        <v>0</v>
      </c>
      <c r="F340" s="50">
        <v>0</v>
      </c>
      <c r="G340" s="52"/>
    </row>
    <row r="341" spans="2:7">
      <c r="B341" s="44"/>
      <c r="C341" s="48" t="s">
        <v>82</v>
      </c>
      <c r="D341" s="48"/>
      <c r="E341" s="49">
        <v>0</v>
      </c>
      <c r="F341" s="50">
        <v>0</v>
      </c>
      <c r="G341" s="52"/>
    </row>
    <row r="342" spans="2:7">
      <c r="B342" s="44"/>
      <c r="C342" s="48" t="s">
        <v>83</v>
      </c>
      <c r="D342" s="48"/>
      <c r="E342" s="49">
        <v>0</v>
      </c>
      <c r="F342" s="50">
        <v>0</v>
      </c>
      <c r="G342" s="52"/>
    </row>
    <row r="343" spans="2:7">
      <c r="B343" s="44"/>
      <c r="C343" s="48" t="s">
        <v>84</v>
      </c>
      <c r="D343" s="48"/>
      <c r="E343" s="49">
        <v>0</v>
      </c>
      <c r="F343" s="50">
        <v>0</v>
      </c>
      <c r="G343" s="52"/>
    </row>
    <row r="344" spans="2:7">
      <c r="B344" s="44"/>
      <c r="C344" s="53" t="s">
        <v>26</v>
      </c>
      <c r="D344" s="53"/>
      <c r="E344" s="56">
        <v>0</v>
      </c>
      <c r="F344" s="54">
        <v>0</v>
      </c>
      <c r="G344" s="52"/>
    </row>
    <row r="345" spans="2:7">
      <c r="B345" s="44">
        <v>142</v>
      </c>
      <c r="C345" s="39" t="s">
        <v>85</v>
      </c>
      <c r="D345" s="39"/>
      <c r="E345" s="56"/>
      <c r="F345" s="50"/>
      <c r="G345" s="52"/>
    </row>
    <row r="346" spans="2:7">
      <c r="B346" s="44"/>
      <c r="C346" s="48" t="s">
        <v>86</v>
      </c>
      <c r="D346" s="48"/>
      <c r="E346" s="49">
        <v>0</v>
      </c>
      <c r="F346" s="50">
        <v>0</v>
      </c>
      <c r="G346" s="52"/>
    </row>
    <row r="347" spans="2:7">
      <c r="B347" s="44"/>
      <c r="C347" s="48" t="s">
        <v>87</v>
      </c>
      <c r="D347" s="48"/>
      <c r="E347" s="49">
        <v>0</v>
      </c>
      <c r="F347" s="50">
        <v>0</v>
      </c>
      <c r="G347" s="52"/>
    </row>
    <row r="348" spans="2:7">
      <c r="B348" s="44"/>
      <c r="C348" s="53" t="s">
        <v>26</v>
      </c>
      <c r="D348" s="53"/>
      <c r="E348" s="56">
        <v>0</v>
      </c>
      <c r="F348" s="54">
        <v>0</v>
      </c>
      <c r="G348" s="52"/>
    </row>
    <row r="349" spans="2:7">
      <c r="B349" s="44">
        <v>144</v>
      </c>
      <c r="C349" s="39" t="s">
        <v>88</v>
      </c>
      <c r="D349" s="39"/>
      <c r="E349" s="49">
        <v>0</v>
      </c>
      <c r="F349" s="54">
        <v>0</v>
      </c>
      <c r="G349" s="52"/>
    </row>
    <row r="350" spans="2:7">
      <c r="B350" s="44">
        <v>221</v>
      </c>
      <c r="C350" s="39" t="s">
        <v>89</v>
      </c>
      <c r="D350" s="39"/>
      <c r="E350" s="49">
        <v>0</v>
      </c>
      <c r="F350" s="54">
        <v>0</v>
      </c>
      <c r="G350" s="52"/>
    </row>
    <row r="351" spans="2:7">
      <c r="B351" s="44">
        <v>222</v>
      </c>
      <c r="C351" s="39" t="s">
        <v>90</v>
      </c>
      <c r="D351" s="39"/>
      <c r="E351" s="49">
        <v>0</v>
      </c>
      <c r="F351" s="54">
        <v>0</v>
      </c>
      <c r="G351" s="52"/>
    </row>
    <row r="352" spans="2:7">
      <c r="B352" s="44">
        <v>224</v>
      </c>
      <c r="C352" s="39" t="s">
        <v>91</v>
      </c>
      <c r="D352" s="39"/>
      <c r="E352" s="49">
        <v>0</v>
      </c>
      <c r="F352" s="54">
        <v>0</v>
      </c>
      <c r="G352" s="52"/>
    </row>
    <row r="353" spans="2:7">
      <c r="B353" s="44">
        <v>225</v>
      </c>
      <c r="C353" s="39" t="s">
        <v>92</v>
      </c>
      <c r="D353" s="39"/>
      <c r="E353" s="49">
        <v>0</v>
      </c>
      <c r="F353" s="54">
        <v>0</v>
      </c>
      <c r="G353" s="38"/>
    </row>
    <row r="354" spans="2:7">
      <c r="B354" s="44">
        <v>226</v>
      </c>
      <c r="C354" s="39" t="s">
        <v>93</v>
      </c>
      <c r="D354" s="39"/>
      <c r="E354" s="49">
        <v>0</v>
      </c>
      <c r="F354" s="54">
        <v>0</v>
      </c>
      <c r="G354" s="60"/>
    </row>
    <row r="355" spans="2:7" ht="15.75" thickBot="1">
      <c r="B355" s="61"/>
      <c r="C355" s="62" t="s">
        <v>94</v>
      </c>
      <c r="D355" s="62"/>
      <c r="E355" s="94">
        <v>0</v>
      </c>
      <c r="F355" s="63">
        <v>0</v>
      </c>
      <c r="G355" s="38"/>
    </row>
    <row r="356" spans="2:7">
      <c r="B356" s="64"/>
      <c r="C356" s="65" t="s">
        <v>95</v>
      </c>
      <c r="D356" s="66"/>
      <c r="E356" s="67">
        <v>64253.327999999965</v>
      </c>
      <c r="F356" s="68">
        <v>64253.327999999965</v>
      </c>
      <c r="G356" s="69"/>
    </row>
    <row r="357" spans="2:7" ht="15.75" thickBot="1">
      <c r="B357" s="64"/>
      <c r="C357" s="70"/>
      <c r="D357" s="71"/>
      <c r="E357" s="72"/>
      <c r="F357" s="73"/>
      <c r="G357" s="69"/>
    </row>
    <row r="358" spans="2:7" ht="15.75" thickBot="1">
      <c r="B358" s="64"/>
      <c r="C358" s="70" t="s">
        <v>96</v>
      </c>
      <c r="D358" s="71"/>
      <c r="E358" s="74">
        <v>109471.34154363662</v>
      </c>
      <c r="F358" s="75">
        <v>109471.34154363662</v>
      </c>
      <c r="G358" s="76"/>
    </row>
    <row r="359" spans="2:7" ht="8.25" customHeight="1" thickBot="1">
      <c r="B359" s="77"/>
      <c r="C359" s="81"/>
      <c r="D359" s="81"/>
      <c r="E359" s="78"/>
      <c r="F359" s="78"/>
      <c r="G359" s="79"/>
    </row>
    <row r="360" spans="2:7">
      <c r="B360" s="85"/>
      <c r="C360" s="84"/>
      <c r="D360" s="84"/>
      <c r="E360" s="85"/>
      <c r="F360" s="85"/>
      <c r="G360" s="85"/>
    </row>
  </sheetData>
  <mergeCells count="3">
    <mergeCell ref="C8:E8"/>
    <mergeCell ref="C128:E128"/>
    <mergeCell ref="C248:E248"/>
  </mergeCells>
  <dataValidations count="1">
    <dataValidation type="list" allowBlank="1" showInputMessage="1" showErrorMessage="1" sqref="C136 C16 C256" xr:uid="{AD5D2700-EE4A-4C41-979C-E9E1E080C09D}">
      <formula1>FacList</formula1>
    </dataValidation>
  </dataValidations>
  <hyperlinks>
    <hyperlink ref="F12" r:id="rId1" xr:uid="{9FD346D1-0E14-41C4-A2AC-4B6BF3652205}"/>
    <hyperlink ref="F132" r:id="rId2" xr:uid="{2439E3AA-B490-479C-888B-D4FC3BDCACC5}"/>
    <hyperlink ref="F252" r:id="rId3" xr:uid="{B380F2B5-3BAE-4AEA-81B2-51793644E3BA}"/>
  </hyperlinks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84CE4-4E1F-4133-965B-E2EF3F9422C4}">
  <dimension ref="A1:G360"/>
  <sheetViews>
    <sheetView topLeftCell="E1" zoomScale="90" zoomScaleNormal="90" workbookViewId="0">
      <selection sqref="A1:XFD1048576"/>
    </sheetView>
  </sheetViews>
  <sheetFormatPr defaultColWidth="8.85546875" defaultRowHeight="15"/>
  <cols>
    <col min="1" max="1" width="1.140625" customWidth="1"/>
    <col min="2" max="2" width="27.42578125" customWidth="1"/>
    <col min="3" max="3" width="42.7109375" bestFit="1" customWidth="1"/>
    <col min="4" max="4" width="4" customWidth="1"/>
    <col min="5" max="5" width="25.42578125" customWidth="1"/>
    <col min="6" max="6" width="27.42578125" customWidth="1"/>
    <col min="7" max="7" width="4.7109375" customWidth="1"/>
  </cols>
  <sheetData>
    <row r="1" spans="1:7" ht="6" customHeight="1" thickBot="1"/>
    <row r="2" spans="1:7">
      <c r="B2" s="1"/>
      <c r="C2" s="2"/>
      <c r="D2" s="2"/>
      <c r="E2" s="2"/>
      <c r="F2" s="2"/>
      <c r="G2" s="3"/>
    </row>
    <row r="3" spans="1:7">
      <c r="B3" s="4"/>
      <c r="C3" s="5"/>
      <c r="D3" s="5"/>
      <c r="E3" s="5"/>
      <c r="F3" s="5"/>
      <c r="G3" s="6"/>
    </row>
    <row r="4" spans="1:7">
      <c r="B4" s="4"/>
      <c r="C4" s="5"/>
      <c r="D4" s="5"/>
      <c r="E4" s="5"/>
      <c r="F4" s="5"/>
      <c r="G4" s="6"/>
    </row>
    <row r="5" spans="1:7">
      <c r="B5" s="4"/>
      <c r="C5" s="5"/>
      <c r="D5" s="5"/>
      <c r="E5" s="5"/>
      <c r="F5" s="5"/>
      <c r="G5" s="6"/>
    </row>
    <row r="6" spans="1:7">
      <c r="B6" s="4"/>
      <c r="C6" s="5"/>
      <c r="D6" s="5"/>
      <c r="E6" s="5"/>
      <c r="F6" s="5"/>
      <c r="G6" s="6"/>
    </row>
    <row r="7" spans="1:7" ht="16.5" customHeight="1">
      <c r="B7" s="4"/>
      <c r="C7" s="5"/>
      <c r="D7" s="5"/>
      <c r="E7" s="5"/>
      <c r="F7" s="5"/>
      <c r="G7" s="6"/>
    </row>
    <row r="8" spans="1:7" ht="22.5" customHeight="1" thickBot="1">
      <c r="B8" s="4"/>
      <c r="C8" s="95" t="s">
        <v>0</v>
      </c>
      <c r="D8" s="95"/>
      <c r="E8" s="95"/>
      <c r="F8" s="5"/>
      <c r="G8" s="6"/>
    </row>
    <row r="9" spans="1:7" ht="21" thickTop="1">
      <c r="B9" s="4"/>
      <c r="C9" s="7"/>
      <c r="D9" s="7"/>
      <c r="E9" s="5"/>
      <c r="F9" s="5"/>
      <c r="G9" s="6"/>
    </row>
    <row r="10" spans="1:7">
      <c r="B10" s="8" t="s">
        <v>1</v>
      </c>
      <c r="C10" s="9" t="s">
        <v>97</v>
      </c>
      <c r="D10" s="5"/>
      <c r="E10" s="10" t="s">
        <v>2</v>
      </c>
      <c r="F10" s="9" t="s">
        <v>98</v>
      </c>
      <c r="G10" s="6"/>
    </row>
    <row r="11" spans="1:7" ht="3.75" customHeight="1">
      <c r="A11" s="80"/>
      <c r="B11" s="5"/>
      <c r="C11" s="5"/>
      <c r="D11" s="5"/>
      <c r="E11" s="11"/>
      <c r="F11" s="5"/>
      <c r="G11" s="6"/>
    </row>
    <row r="12" spans="1:7">
      <c r="A12" s="80"/>
      <c r="B12" s="12" t="s">
        <v>3</v>
      </c>
      <c r="C12" s="9" t="s">
        <v>99</v>
      </c>
      <c r="D12" s="5"/>
      <c r="E12" s="10" t="s">
        <v>4</v>
      </c>
      <c r="F12" s="82" t="s">
        <v>100</v>
      </c>
      <c r="G12" s="6"/>
    </row>
    <row r="13" spans="1:7" ht="3.75" customHeight="1">
      <c r="A13" s="80"/>
      <c r="B13" s="5"/>
      <c r="C13" s="5"/>
      <c r="D13" s="5"/>
      <c r="E13" s="11"/>
      <c r="F13" s="5"/>
      <c r="G13" s="6"/>
    </row>
    <row r="14" spans="1:7">
      <c r="A14" s="80"/>
      <c r="B14" s="10" t="s">
        <v>5</v>
      </c>
      <c r="C14" s="9" t="s">
        <v>101</v>
      </c>
      <c r="D14" s="5"/>
      <c r="E14" s="10" t="s">
        <v>6</v>
      </c>
      <c r="F14" s="9" t="s">
        <v>107</v>
      </c>
      <c r="G14" s="6"/>
    </row>
    <row r="15" spans="1:7" ht="4.5" customHeight="1">
      <c r="A15" s="80"/>
      <c r="B15" s="13"/>
      <c r="C15" s="5"/>
      <c r="D15" s="5"/>
      <c r="E15" s="11"/>
      <c r="F15" s="5"/>
      <c r="G15" s="6"/>
    </row>
    <row r="16" spans="1:7">
      <c r="A16" s="80"/>
      <c r="B16" s="10" t="s">
        <v>7</v>
      </c>
      <c r="C16" s="9" t="s">
        <v>113</v>
      </c>
      <c r="D16" s="5"/>
      <c r="E16" s="11"/>
      <c r="F16" s="5"/>
      <c r="G16" s="6"/>
    </row>
    <row r="17" spans="1:7" ht="3.75" customHeight="1">
      <c r="A17" s="80"/>
      <c r="B17" s="5"/>
      <c r="C17" s="5"/>
      <c r="D17" s="5"/>
      <c r="E17" s="11"/>
      <c r="F17" s="5"/>
      <c r="G17" s="6"/>
    </row>
    <row r="18" spans="1:7">
      <c r="B18" s="14" t="s">
        <v>8</v>
      </c>
      <c r="C18" s="15" t="s">
        <v>103</v>
      </c>
      <c r="D18" s="5"/>
      <c r="E18" s="86" t="s">
        <v>109</v>
      </c>
      <c r="F18" s="87">
        <v>45292</v>
      </c>
      <c r="G18" s="6"/>
    </row>
    <row r="19" spans="1:7">
      <c r="B19" s="16" t="s">
        <v>9</v>
      </c>
      <c r="C19" s="17" t="s">
        <v>130</v>
      </c>
      <c r="D19" s="5"/>
      <c r="E19" s="88" t="s">
        <v>110</v>
      </c>
      <c r="F19" s="89">
        <v>45322</v>
      </c>
      <c r="G19" s="18"/>
    </row>
    <row r="20" spans="1:7" ht="15.75" thickBot="1">
      <c r="B20" s="4"/>
      <c r="C20" s="19"/>
      <c r="D20" s="19"/>
      <c r="E20" s="20"/>
      <c r="F20" s="21"/>
      <c r="G20" s="18"/>
    </row>
    <row r="21" spans="1:7" ht="18.75" thickBot="1">
      <c r="B21" s="4"/>
      <c r="C21" s="22" t="s">
        <v>10</v>
      </c>
      <c r="D21" s="23"/>
      <c r="E21" s="24"/>
      <c r="F21" s="25" t="s">
        <v>11</v>
      </c>
      <c r="G21" s="18"/>
    </row>
    <row r="22" spans="1:7">
      <c r="B22" s="4"/>
      <c r="C22" s="26" t="s">
        <v>12</v>
      </c>
      <c r="D22" s="26"/>
      <c r="E22" s="27">
        <v>13089.499192727297</v>
      </c>
      <c r="F22" s="28">
        <v>13089.499192727297</v>
      </c>
      <c r="G22" s="29"/>
    </row>
    <row r="23" spans="1:7">
      <c r="B23" s="30">
        <v>143</v>
      </c>
      <c r="C23" s="31" t="s">
        <v>13</v>
      </c>
      <c r="D23" s="31"/>
      <c r="E23" s="27">
        <v>5596.0880000000006</v>
      </c>
      <c r="F23" s="32">
        <v>5596.0880000000006</v>
      </c>
      <c r="G23" s="33"/>
    </row>
    <row r="24" spans="1:7">
      <c r="B24" s="30"/>
      <c r="C24" s="34" t="s">
        <v>14</v>
      </c>
      <c r="D24" s="34"/>
      <c r="E24" s="27">
        <v>0</v>
      </c>
      <c r="F24" s="32">
        <v>0</v>
      </c>
      <c r="G24" s="33"/>
    </row>
    <row r="25" spans="1:7">
      <c r="B25" s="30"/>
      <c r="C25" s="34" t="s">
        <v>15</v>
      </c>
      <c r="D25" s="34"/>
      <c r="E25" s="27">
        <v>0</v>
      </c>
      <c r="F25" s="32">
        <v>0</v>
      </c>
      <c r="G25" s="33"/>
    </row>
    <row r="26" spans="1:7">
      <c r="B26" s="30"/>
      <c r="C26" s="34" t="s">
        <v>16</v>
      </c>
      <c r="D26" s="34"/>
      <c r="E26" s="27">
        <v>0</v>
      </c>
      <c r="F26" s="32">
        <v>0</v>
      </c>
      <c r="G26" s="33"/>
    </row>
    <row r="27" spans="1:7">
      <c r="B27" s="30"/>
      <c r="C27" s="34" t="s">
        <v>17</v>
      </c>
      <c r="D27" s="34"/>
      <c r="E27" s="27">
        <v>0</v>
      </c>
      <c r="F27" s="32">
        <v>0</v>
      </c>
      <c r="G27" s="33"/>
    </row>
    <row r="28" spans="1:7">
      <c r="B28" s="30"/>
      <c r="C28" s="35" t="s">
        <v>18</v>
      </c>
      <c r="D28" s="35"/>
      <c r="E28" s="36">
        <v>18685.587192727296</v>
      </c>
      <c r="F28" s="37">
        <v>18685.587192727296</v>
      </c>
      <c r="G28" s="38"/>
    </row>
    <row r="29" spans="1:7" ht="15.75" thickBot="1">
      <c r="B29" s="30"/>
      <c r="C29" s="39"/>
      <c r="D29" s="39"/>
      <c r="E29" s="40"/>
      <c r="F29" s="41"/>
      <c r="G29" s="38"/>
    </row>
    <row r="30" spans="1:7" ht="18.75" thickBot="1">
      <c r="B30" s="30"/>
      <c r="C30" s="22" t="s">
        <v>19</v>
      </c>
      <c r="D30" s="23"/>
      <c r="E30" s="42"/>
      <c r="F30" s="43"/>
      <c r="G30" s="38"/>
    </row>
    <row r="31" spans="1:7">
      <c r="B31" s="44">
        <v>121</v>
      </c>
      <c r="C31" s="39" t="s">
        <v>20</v>
      </c>
      <c r="D31" s="39"/>
      <c r="E31" s="45"/>
      <c r="F31" s="46"/>
      <c r="G31" s="47"/>
    </row>
    <row r="32" spans="1:7">
      <c r="B32" s="44"/>
      <c r="C32" s="48" t="s">
        <v>21</v>
      </c>
      <c r="D32" s="48"/>
      <c r="E32" s="49">
        <v>362.72039999999993</v>
      </c>
      <c r="F32" s="50">
        <v>362.72039999999993</v>
      </c>
      <c r="G32" s="47"/>
    </row>
    <row r="33" spans="2:7">
      <c r="B33" s="44"/>
      <c r="C33" s="48" t="s">
        <v>22</v>
      </c>
      <c r="D33" s="48"/>
      <c r="E33" s="49">
        <v>373.08383999999955</v>
      </c>
      <c r="F33" s="50">
        <v>373.08383999999955</v>
      </c>
      <c r="G33" s="47"/>
    </row>
    <row r="34" spans="2:7">
      <c r="B34" s="51"/>
      <c r="C34" s="48" t="s">
        <v>23</v>
      </c>
      <c r="D34" s="48"/>
      <c r="E34" s="49">
        <v>445.62792000000002</v>
      </c>
      <c r="F34" s="50">
        <v>445.62792000000002</v>
      </c>
      <c r="G34" s="52"/>
    </row>
    <row r="35" spans="2:7">
      <c r="B35" s="51"/>
      <c r="C35" s="48" t="s">
        <v>24</v>
      </c>
      <c r="D35" s="48"/>
      <c r="E35" s="49">
        <v>305.25041454545419</v>
      </c>
      <c r="F35" s="50">
        <v>305.25041454545419</v>
      </c>
      <c r="G35" s="52"/>
    </row>
    <row r="36" spans="2:7">
      <c r="B36" s="44"/>
      <c r="C36" s="48" t="s">
        <v>25</v>
      </c>
      <c r="D36" s="48"/>
      <c r="E36" s="49">
        <v>0</v>
      </c>
      <c r="F36" s="50">
        <v>0</v>
      </c>
      <c r="G36" s="52"/>
    </row>
    <row r="37" spans="2:7">
      <c r="B37" s="44"/>
      <c r="C37" s="53" t="s">
        <v>26</v>
      </c>
      <c r="D37" s="53"/>
      <c r="E37" s="36">
        <v>1486.6825745454535</v>
      </c>
      <c r="F37" s="54">
        <v>1486.6825745454535</v>
      </c>
      <c r="G37" s="52"/>
    </row>
    <row r="38" spans="2:7">
      <c r="B38" s="44">
        <v>122</v>
      </c>
      <c r="C38" s="39" t="s">
        <v>27</v>
      </c>
      <c r="D38" s="39"/>
      <c r="E38" s="36"/>
      <c r="F38" s="50"/>
      <c r="G38" s="55"/>
    </row>
    <row r="39" spans="2:7">
      <c r="B39" s="44"/>
      <c r="C39" s="48" t="s">
        <v>28</v>
      </c>
      <c r="D39" s="48"/>
      <c r="E39" s="49">
        <v>176.17848000000001</v>
      </c>
      <c r="F39" s="50">
        <v>176.17848000000001</v>
      </c>
      <c r="G39" s="52"/>
    </row>
    <row r="40" spans="2:7">
      <c r="B40" s="44"/>
      <c r="C40" s="48" t="s">
        <v>29</v>
      </c>
      <c r="D40" s="48"/>
      <c r="E40" s="49">
        <v>0</v>
      </c>
      <c r="F40" s="50">
        <v>0</v>
      </c>
      <c r="G40" s="52"/>
    </row>
    <row r="41" spans="2:7">
      <c r="B41" s="44"/>
      <c r="C41" s="48" t="s">
        <v>30</v>
      </c>
      <c r="D41" s="48"/>
      <c r="E41" s="49">
        <v>233.64846545454537</v>
      </c>
      <c r="F41" s="50">
        <v>233.64846545454537</v>
      </c>
      <c r="G41" s="52"/>
    </row>
    <row r="42" spans="2:7">
      <c r="B42" s="44"/>
      <c r="C42" s="48" t="s">
        <v>31</v>
      </c>
      <c r="D42" s="48"/>
      <c r="E42" s="49">
        <v>41.453760000000003</v>
      </c>
      <c r="F42" s="50">
        <v>41.453760000000003</v>
      </c>
      <c r="G42" s="52"/>
    </row>
    <row r="43" spans="2:7">
      <c r="B43" s="44"/>
      <c r="C43" s="48" t="s">
        <v>32</v>
      </c>
      <c r="D43" s="48"/>
      <c r="E43" s="49">
        <v>165.81504000000001</v>
      </c>
      <c r="F43" s="50">
        <v>165.81504000000001</v>
      </c>
      <c r="G43" s="52"/>
    </row>
    <row r="44" spans="2:7">
      <c r="B44" s="44"/>
      <c r="C44" s="48" t="s">
        <v>33</v>
      </c>
      <c r="D44" s="48"/>
      <c r="E44" s="49">
        <v>0</v>
      </c>
      <c r="F44" s="50">
        <v>0</v>
      </c>
      <c r="G44" s="52"/>
    </row>
    <row r="45" spans="2:7">
      <c r="B45" s="44"/>
      <c r="C45" s="48" t="s">
        <v>34</v>
      </c>
      <c r="D45" s="48"/>
      <c r="E45" s="49">
        <v>0</v>
      </c>
      <c r="F45" s="50">
        <v>0</v>
      </c>
      <c r="G45" s="52"/>
    </row>
    <row r="46" spans="2:7">
      <c r="B46" s="44"/>
      <c r="C46" s="48" t="s">
        <v>35</v>
      </c>
      <c r="D46" s="48"/>
      <c r="E46" s="49">
        <v>0</v>
      </c>
      <c r="F46" s="50">
        <v>0</v>
      </c>
      <c r="G46" s="52"/>
    </row>
    <row r="47" spans="2:7">
      <c r="B47" s="44"/>
      <c r="C47" s="53" t="s">
        <v>26</v>
      </c>
      <c r="D47" s="53"/>
      <c r="E47" s="36">
        <v>617.09574545454529</v>
      </c>
      <c r="F47" s="54">
        <v>617.09574545454529</v>
      </c>
      <c r="G47" s="52"/>
    </row>
    <row r="48" spans="2:7">
      <c r="B48" s="44">
        <v>123</v>
      </c>
      <c r="C48" s="39" t="s">
        <v>36</v>
      </c>
      <c r="D48" s="39"/>
      <c r="E48" s="56"/>
      <c r="F48" s="57"/>
      <c r="G48" s="52"/>
    </row>
    <row r="49" spans="2:7">
      <c r="B49" s="44"/>
      <c r="C49" s="48" t="s">
        <v>37</v>
      </c>
      <c r="D49" s="48"/>
      <c r="E49" s="49">
        <v>150.7409454545454</v>
      </c>
      <c r="F49" s="50">
        <v>150.7409454545454</v>
      </c>
      <c r="G49" s="52"/>
    </row>
    <row r="50" spans="2:7">
      <c r="B50" s="44"/>
      <c r="C50" s="48" t="s">
        <v>38</v>
      </c>
      <c r="D50" s="48"/>
      <c r="E50" s="49">
        <v>0</v>
      </c>
      <c r="F50" s="50">
        <v>0</v>
      </c>
      <c r="G50" s="52"/>
    </row>
    <row r="51" spans="2:7">
      <c r="B51" s="44"/>
      <c r="C51" s="48" t="s">
        <v>39</v>
      </c>
      <c r="D51" s="48"/>
      <c r="E51" s="49">
        <v>177.1206109090908</v>
      </c>
      <c r="F51" s="50">
        <v>177.1206109090908</v>
      </c>
      <c r="G51" s="52"/>
    </row>
    <row r="52" spans="2:7">
      <c r="B52" s="44"/>
      <c r="C52" s="48" t="s">
        <v>40</v>
      </c>
      <c r="D52" s="48"/>
      <c r="E52" s="49">
        <v>135.66685090909078</v>
      </c>
      <c r="F52" s="50">
        <v>135.66685090909078</v>
      </c>
      <c r="G52" s="52"/>
    </row>
    <row r="53" spans="2:7">
      <c r="B53" s="44"/>
      <c r="C53" s="48" t="s">
        <v>41</v>
      </c>
      <c r="D53" s="48"/>
      <c r="E53" s="49">
        <v>0</v>
      </c>
      <c r="F53" s="50">
        <v>0</v>
      </c>
      <c r="G53" s="52"/>
    </row>
    <row r="54" spans="2:7">
      <c r="B54" s="44"/>
      <c r="C54" s="48" t="s">
        <v>42</v>
      </c>
      <c r="D54" s="48"/>
      <c r="E54" s="49">
        <v>238.35912000000002</v>
      </c>
      <c r="F54" s="50">
        <v>238.35912000000002</v>
      </c>
      <c r="G54" s="52"/>
    </row>
    <row r="55" spans="2:7">
      <c r="B55" s="44"/>
      <c r="C55" s="53" t="s">
        <v>26</v>
      </c>
      <c r="D55" s="53"/>
      <c r="E55" s="36">
        <v>701.88752727272697</v>
      </c>
      <c r="F55" s="54">
        <v>701.88752727272697</v>
      </c>
      <c r="G55" s="52"/>
    </row>
    <row r="56" spans="2:7">
      <c r="B56" s="44">
        <v>124</v>
      </c>
      <c r="C56" s="39" t="s">
        <v>43</v>
      </c>
      <c r="D56" s="39"/>
      <c r="E56" s="56"/>
      <c r="F56" s="57"/>
      <c r="G56" s="52"/>
    </row>
    <row r="57" spans="2:7">
      <c r="B57" s="44"/>
      <c r="C57" s="48" t="s">
        <v>44</v>
      </c>
      <c r="D57" s="48"/>
      <c r="E57" s="49">
        <v>448.45431272727234</v>
      </c>
      <c r="F57" s="50">
        <v>448.45431272727234</v>
      </c>
      <c r="G57" s="52"/>
    </row>
    <row r="58" spans="2:7">
      <c r="B58" s="44"/>
      <c r="C58" s="48" t="s">
        <v>45</v>
      </c>
      <c r="D58" s="48"/>
      <c r="E58" s="49">
        <v>0</v>
      </c>
      <c r="F58" s="50">
        <v>0</v>
      </c>
      <c r="G58" s="52"/>
    </row>
    <row r="59" spans="2:7">
      <c r="B59" s="44"/>
      <c r="C59" s="48" t="s">
        <v>46</v>
      </c>
      <c r="D59" s="48"/>
      <c r="E59" s="49">
        <v>0</v>
      </c>
      <c r="F59" s="50">
        <v>0</v>
      </c>
      <c r="G59" s="52"/>
    </row>
    <row r="60" spans="2:7">
      <c r="B60" s="44"/>
      <c r="C60" s="53" t="s">
        <v>26</v>
      </c>
      <c r="D60" s="53"/>
      <c r="E60" s="36">
        <v>448.45431272727234</v>
      </c>
      <c r="F60" s="54">
        <v>448.45431272727234</v>
      </c>
      <c r="G60" s="52"/>
    </row>
    <row r="61" spans="2:7">
      <c r="B61" s="44">
        <v>125</v>
      </c>
      <c r="C61" s="39" t="s">
        <v>47</v>
      </c>
      <c r="D61" s="39"/>
      <c r="E61" s="36"/>
      <c r="F61" s="50"/>
      <c r="G61" s="52"/>
    </row>
    <row r="62" spans="2:7">
      <c r="B62" s="44"/>
      <c r="C62" s="48" t="s">
        <v>48</v>
      </c>
      <c r="D62" s="48"/>
      <c r="E62" s="58">
        <v>0</v>
      </c>
      <c r="F62" s="50">
        <v>0</v>
      </c>
      <c r="G62" s="52"/>
    </row>
    <row r="63" spans="2:7">
      <c r="B63" s="44"/>
      <c r="C63" s="48" t="s">
        <v>49</v>
      </c>
      <c r="D63" s="48"/>
      <c r="E63" s="58">
        <v>0</v>
      </c>
      <c r="F63" s="50">
        <v>0</v>
      </c>
      <c r="G63" s="52"/>
    </row>
    <row r="64" spans="2:7">
      <c r="B64" s="44"/>
      <c r="C64" s="48" t="s">
        <v>50</v>
      </c>
      <c r="D64" s="48"/>
      <c r="E64" s="58">
        <v>725.44080000000008</v>
      </c>
      <c r="F64" s="50">
        <v>725.44080000000008</v>
      </c>
      <c r="G64" s="52"/>
    </row>
    <row r="65" spans="2:7">
      <c r="B65" s="44"/>
      <c r="C65" s="48" t="s">
        <v>51</v>
      </c>
      <c r="D65" s="48"/>
      <c r="E65" s="58">
        <v>165.81504000000001</v>
      </c>
      <c r="F65" s="50">
        <v>165.81504000000001</v>
      </c>
      <c r="G65" s="52"/>
    </row>
    <row r="66" spans="2:7">
      <c r="B66" s="44"/>
      <c r="C66" s="53" t="s">
        <v>26</v>
      </c>
      <c r="D66" s="53"/>
      <c r="E66" s="56">
        <v>891.25584000000003</v>
      </c>
      <c r="F66" s="54">
        <v>891.25584000000003</v>
      </c>
      <c r="G66" s="52"/>
    </row>
    <row r="67" spans="2:7">
      <c r="B67" s="44">
        <v>126</v>
      </c>
      <c r="C67" s="39" t="s">
        <v>52</v>
      </c>
      <c r="D67" s="39"/>
      <c r="E67" s="56"/>
      <c r="F67" s="50"/>
      <c r="G67" s="52"/>
    </row>
    <row r="68" spans="2:7">
      <c r="B68" s="44"/>
      <c r="C68" s="48" t="s">
        <v>53</v>
      </c>
      <c r="D68" s="48"/>
      <c r="E68" s="49">
        <v>0</v>
      </c>
      <c r="F68" s="50">
        <v>0</v>
      </c>
      <c r="G68" s="52"/>
    </row>
    <row r="69" spans="2:7">
      <c r="B69" s="44"/>
      <c r="C69" s="48" t="s">
        <v>54</v>
      </c>
      <c r="D69" s="48"/>
      <c r="E69" s="49">
        <v>0</v>
      </c>
      <c r="F69" s="50"/>
      <c r="G69" s="52"/>
    </row>
    <row r="70" spans="2:7">
      <c r="B70" s="44"/>
      <c r="C70" s="48" t="s">
        <v>55</v>
      </c>
      <c r="D70" s="48"/>
      <c r="E70" s="49">
        <v>0</v>
      </c>
      <c r="F70" s="50"/>
      <c r="G70" s="52"/>
    </row>
    <row r="71" spans="2:7">
      <c r="B71" s="44"/>
      <c r="C71" s="48" t="s">
        <v>56</v>
      </c>
      <c r="D71" s="48"/>
      <c r="E71" s="49">
        <v>0</v>
      </c>
      <c r="F71" s="57"/>
      <c r="G71" s="52"/>
    </row>
    <row r="72" spans="2:7">
      <c r="B72" s="44"/>
      <c r="C72" s="53" t="s">
        <v>26</v>
      </c>
      <c r="D72" s="53"/>
      <c r="E72" s="56">
        <v>0</v>
      </c>
      <c r="F72" s="54">
        <v>0</v>
      </c>
      <c r="G72" s="52"/>
    </row>
    <row r="73" spans="2:7">
      <c r="B73" s="44">
        <v>127</v>
      </c>
      <c r="C73" s="39" t="s">
        <v>57</v>
      </c>
      <c r="D73" s="39"/>
      <c r="E73" s="56"/>
      <c r="F73" s="54"/>
      <c r="G73" s="52"/>
    </row>
    <row r="74" spans="2:7">
      <c r="B74" s="44"/>
      <c r="C74" s="48" t="s">
        <v>58</v>
      </c>
      <c r="D74" s="48"/>
      <c r="E74" s="49">
        <v>0</v>
      </c>
      <c r="F74" s="50">
        <v>0</v>
      </c>
      <c r="G74" s="52"/>
    </row>
    <row r="75" spans="2:7">
      <c r="B75" s="44"/>
      <c r="C75" s="48" t="s">
        <v>59</v>
      </c>
      <c r="D75" s="48"/>
      <c r="E75" s="49">
        <v>0</v>
      </c>
      <c r="F75" s="50">
        <v>0</v>
      </c>
      <c r="G75" s="52"/>
    </row>
    <row r="76" spans="2:7">
      <c r="B76" s="44"/>
      <c r="C76" s="48" t="s">
        <v>60</v>
      </c>
      <c r="D76" s="48"/>
      <c r="E76" s="49">
        <v>0</v>
      </c>
      <c r="F76" s="50">
        <v>0</v>
      </c>
      <c r="G76" s="52"/>
    </row>
    <row r="77" spans="2:7">
      <c r="B77" s="44"/>
      <c r="C77" s="59" t="s">
        <v>61</v>
      </c>
      <c r="D77" s="59"/>
      <c r="E77" s="49">
        <v>0</v>
      </c>
      <c r="F77" s="50">
        <v>0</v>
      </c>
      <c r="G77" s="52"/>
    </row>
    <row r="78" spans="2:7">
      <c r="B78" s="44"/>
      <c r="C78" s="53" t="s">
        <v>26</v>
      </c>
      <c r="D78" s="53"/>
      <c r="E78" s="56">
        <v>0</v>
      </c>
      <c r="F78" s="54">
        <v>0</v>
      </c>
      <c r="G78" s="52"/>
    </row>
    <row r="79" spans="2:7">
      <c r="B79" s="44">
        <v>128</v>
      </c>
      <c r="C79" s="39" t="s">
        <v>62</v>
      </c>
      <c r="D79" s="39"/>
      <c r="E79" s="56"/>
      <c r="F79" s="54"/>
      <c r="G79" s="52"/>
    </row>
    <row r="80" spans="2:7">
      <c r="B80" s="44"/>
      <c r="C80" s="48" t="s">
        <v>63</v>
      </c>
      <c r="D80" s="48"/>
      <c r="E80" s="49">
        <v>0</v>
      </c>
      <c r="F80" s="50">
        <v>0</v>
      </c>
      <c r="G80" s="52"/>
    </row>
    <row r="81" spans="2:7">
      <c r="B81" s="44"/>
      <c r="C81" s="48" t="s">
        <v>64</v>
      </c>
      <c r="D81" s="48"/>
      <c r="E81" s="49">
        <v>0</v>
      </c>
      <c r="F81" s="50">
        <v>0</v>
      </c>
      <c r="G81" s="52"/>
    </row>
    <row r="82" spans="2:7">
      <c r="B82" s="44"/>
      <c r="C82" s="48" t="s">
        <v>65</v>
      </c>
      <c r="D82" s="48"/>
      <c r="E82" s="49">
        <v>0</v>
      </c>
      <c r="F82" s="50">
        <v>0</v>
      </c>
      <c r="G82" s="52"/>
    </row>
    <row r="83" spans="2:7">
      <c r="B83" s="44"/>
      <c r="C83" s="48" t="s">
        <v>66</v>
      </c>
      <c r="D83" s="48"/>
      <c r="E83" s="49">
        <v>0</v>
      </c>
      <c r="F83" s="50">
        <v>0</v>
      </c>
      <c r="G83" s="52"/>
    </row>
    <row r="84" spans="2:7">
      <c r="B84" s="44"/>
      <c r="C84" s="48" t="s">
        <v>67</v>
      </c>
      <c r="D84" s="48"/>
      <c r="E84" s="49">
        <v>0</v>
      </c>
      <c r="F84" s="50">
        <v>0</v>
      </c>
      <c r="G84" s="52"/>
    </row>
    <row r="85" spans="2:7">
      <c r="B85" s="44"/>
      <c r="C85" s="53" t="s">
        <v>26</v>
      </c>
      <c r="D85" s="53"/>
      <c r="E85" s="56">
        <v>0</v>
      </c>
      <c r="F85" s="54">
        <v>0</v>
      </c>
      <c r="G85" s="52"/>
    </row>
    <row r="86" spans="2:7">
      <c r="B86" s="44">
        <v>135</v>
      </c>
      <c r="C86" s="39" t="s">
        <v>68</v>
      </c>
      <c r="D86" s="39"/>
      <c r="E86" s="56"/>
      <c r="F86" s="50"/>
      <c r="G86" s="52"/>
    </row>
    <row r="87" spans="2:7">
      <c r="B87" s="44"/>
      <c r="C87" s="48" t="s">
        <v>69</v>
      </c>
      <c r="D87" s="48"/>
      <c r="E87" s="49">
        <v>0</v>
      </c>
      <c r="F87" s="50">
        <v>0</v>
      </c>
      <c r="G87" s="52"/>
    </row>
    <row r="88" spans="2:7">
      <c r="B88" s="44"/>
      <c r="C88" s="48" t="s">
        <v>70</v>
      </c>
      <c r="D88" s="48"/>
      <c r="E88" s="49">
        <v>0</v>
      </c>
      <c r="F88" s="50">
        <v>0</v>
      </c>
      <c r="G88" s="52"/>
    </row>
    <row r="89" spans="2:7">
      <c r="B89" s="44"/>
      <c r="C89" s="48" t="s">
        <v>71</v>
      </c>
      <c r="D89" s="48"/>
      <c r="E89" s="49">
        <v>0</v>
      </c>
      <c r="F89" s="50">
        <v>0</v>
      </c>
      <c r="G89" s="52"/>
    </row>
    <row r="90" spans="2:7">
      <c r="B90" s="44"/>
      <c r="C90" s="48" t="s">
        <v>72</v>
      </c>
      <c r="D90" s="48"/>
      <c r="E90" s="49">
        <v>0</v>
      </c>
      <c r="F90" s="50">
        <v>0</v>
      </c>
      <c r="G90" s="52"/>
    </row>
    <row r="91" spans="2:7">
      <c r="B91" s="44"/>
      <c r="C91" s="48" t="s">
        <v>73</v>
      </c>
      <c r="D91" s="48"/>
      <c r="E91" s="49">
        <v>0</v>
      </c>
      <c r="F91" s="50">
        <v>0</v>
      </c>
      <c r="G91" s="52"/>
    </row>
    <row r="92" spans="2:7">
      <c r="B92" s="44"/>
      <c r="C92" s="48" t="s">
        <v>74</v>
      </c>
      <c r="D92" s="48"/>
      <c r="E92" s="49">
        <v>0</v>
      </c>
      <c r="F92" s="50">
        <v>0</v>
      </c>
      <c r="G92" s="52"/>
    </row>
    <row r="93" spans="2:7">
      <c r="B93" s="44"/>
      <c r="C93" s="48" t="s">
        <v>75</v>
      </c>
      <c r="D93" s="48"/>
      <c r="E93" s="49">
        <v>0</v>
      </c>
      <c r="F93" s="50">
        <v>0</v>
      </c>
      <c r="G93" s="52"/>
    </row>
    <row r="94" spans="2:7">
      <c r="B94" s="44"/>
      <c r="C94" s="48" t="s">
        <v>76</v>
      </c>
      <c r="D94" s="48"/>
      <c r="E94" s="49">
        <v>0</v>
      </c>
      <c r="F94" s="50">
        <v>0</v>
      </c>
      <c r="G94" s="52"/>
    </row>
    <row r="95" spans="2:7">
      <c r="B95" s="44"/>
      <c r="C95" s="48" t="s">
        <v>77</v>
      </c>
      <c r="D95" s="48"/>
      <c r="E95" s="49">
        <v>0</v>
      </c>
      <c r="F95" s="50">
        <v>0</v>
      </c>
      <c r="G95" s="52"/>
    </row>
    <row r="96" spans="2:7">
      <c r="B96" s="44"/>
      <c r="C96" s="53" t="s">
        <v>26</v>
      </c>
      <c r="D96" s="53"/>
      <c r="E96" s="56">
        <v>0</v>
      </c>
      <c r="F96" s="54">
        <v>0</v>
      </c>
      <c r="G96" s="52"/>
    </row>
    <row r="97" spans="2:7">
      <c r="B97" s="44">
        <v>136</v>
      </c>
      <c r="C97" s="39" t="s">
        <v>78</v>
      </c>
      <c r="D97" s="39"/>
      <c r="E97" s="56"/>
      <c r="F97" s="50"/>
      <c r="G97" s="52"/>
    </row>
    <row r="98" spans="2:7">
      <c r="B98" s="44"/>
      <c r="C98" s="48" t="s">
        <v>79</v>
      </c>
      <c r="D98" s="48"/>
      <c r="E98" s="49">
        <v>0</v>
      </c>
      <c r="F98" s="50">
        <v>0</v>
      </c>
      <c r="G98" s="52"/>
    </row>
    <row r="99" spans="2:7">
      <c r="B99" s="44"/>
      <c r="C99" s="48" t="s">
        <v>80</v>
      </c>
      <c r="D99" s="48"/>
      <c r="E99" s="49">
        <v>0</v>
      </c>
      <c r="F99" s="50">
        <v>0</v>
      </c>
      <c r="G99" s="52"/>
    </row>
    <row r="100" spans="2:7">
      <c r="B100" s="44"/>
      <c r="C100" s="48" t="s">
        <v>81</v>
      </c>
      <c r="D100" s="48"/>
      <c r="E100" s="49">
        <v>0</v>
      </c>
      <c r="F100" s="50">
        <v>0</v>
      </c>
      <c r="G100" s="52"/>
    </row>
    <row r="101" spans="2:7">
      <c r="B101" s="44"/>
      <c r="C101" s="48" t="s">
        <v>82</v>
      </c>
      <c r="D101" s="48"/>
      <c r="E101" s="49">
        <v>0</v>
      </c>
      <c r="F101" s="50">
        <v>0</v>
      </c>
      <c r="G101" s="52"/>
    </row>
    <row r="102" spans="2:7">
      <c r="B102" s="44"/>
      <c r="C102" s="48" t="s">
        <v>83</v>
      </c>
      <c r="D102" s="48"/>
      <c r="E102" s="49">
        <v>0</v>
      </c>
      <c r="F102" s="50">
        <v>0</v>
      </c>
      <c r="G102" s="52"/>
    </row>
    <row r="103" spans="2:7">
      <c r="B103" s="44"/>
      <c r="C103" s="48" t="s">
        <v>84</v>
      </c>
      <c r="D103" s="48"/>
      <c r="E103" s="49">
        <v>0</v>
      </c>
      <c r="F103" s="50">
        <v>0</v>
      </c>
      <c r="G103" s="52"/>
    </row>
    <row r="104" spans="2:7">
      <c r="B104" s="44"/>
      <c r="C104" s="53" t="s">
        <v>26</v>
      </c>
      <c r="D104" s="53"/>
      <c r="E104" s="56">
        <v>0</v>
      </c>
      <c r="F104" s="54">
        <v>0</v>
      </c>
      <c r="G104" s="52"/>
    </row>
    <row r="105" spans="2:7">
      <c r="B105" s="44">
        <v>142</v>
      </c>
      <c r="C105" s="39" t="s">
        <v>85</v>
      </c>
      <c r="D105" s="39"/>
      <c r="E105" s="56"/>
      <c r="F105" s="50"/>
      <c r="G105" s="52"/>
    </row>
    <row r="106" spans="2:7">
      <c r="B106" s="44"/>
      <c r="C106" s="48" t="s">
        <v>86</v>
      </c>
      <c r="D106" s="48"/>
      <c r="E106" s="49">
        <v>0</v>
      </c>
      <c r="F106" s="50">
        <v>0</v>
      </c>
      <c r="G106" s="52"/>
    </row>
    <row r="107" spans="2:7">
      <c r="B107" s="44"/>
      <c r="C107" s="48" t="s">
        <v>87</v>
      </c>
      <c r="D107" s="48"/>
      <c r="E107" s="49">
        <v>0</v>
      </c>
      <c r="F107" s="50">
        <v>0</v>
      </c>
      <c r="G107" s="52"/>
    </row>
    <row r="108" spans="2:7">
      <c r="B108" s="44"/>
      <c r="C108" s="53" t="s">
        <v>26</v>
      </c>
      <c r="D108" s="53"/>
      <c r="E108" s="56">
        <v>0</v>
      </c>
      <c r="F108" s="54">
        <v>0</v>
      </c>
      <c r="G108" s="52"/>
    </row>
    <row r="109" spans="2:7">
      <c r="B109" s="44">
        <v>144</v>
      </c>
      <c r="C109" s="39" t="s">
        <v>88</v>
      </c>
      <c r="D109" s="39"/>
      <c r="E109" s="49">
        <v>0</v>
      </c>
      <c r="F109" s="54">
        <v>0</v>
      </c>
      <c r="G109" s="52"/>
    </row>
    <row r="110" spans="2:7">
      <c r="B110" s="44">
        <v>221</v>
      </c>
      <c r="C110" s="39" t="s">
        <v>89</v>
      </c>
      <c r="D110" s="39"/>
      <c r="E110" s="49">
        <v>0</v>
      </c>
      <c r="F110" s="54">
        <v>0</v>
      </c>
      <c r="G110" s="52"/>
    </row>
    <row r="111" spans="2:7">
      <c r="B111" s="44">
        <v>222</v>
      </c>
      <c r="C111" s="39" t="s">
        <v>90</v>
      </c>
      <c r="D111" s="39"/>
      <c r="E111" s="49">
        <v>0</v>
      </c>
      <c r="F111" s="54">
        <v>0</v>
      </c>
      <c r="G111" s="52"/>
    </row>
    <row r="112" spans="2:7">
      <c r="B112" s="44">
        <v>224</v>
      </c>
      <c r="C112" s="39" t="s">
        <v>91</v>
      </c>
      <c r="D112" s="39"/>
      <c r="E112" s="49">
        <v>0</v>
      </c>
      <c r="F112" s="54">
        <v>0</v>
      </c>
      <c r="G112" s="52"/>
    </row>
    <row r="113" spans="2:7">
      <c r="B113" s="44">
        <v>225</v>
      </c>
      <c r="C113" s="39" t="s">
        <v>92</v>
      </c>
      <c r="D113" s="39"/>
      <c r="E113" s="49">
        <v>0</v>
      </c>
      <c r="F113" s="54">
        <v>0</v>
      </c>
      <c r="G113" s="38"/>
    </row>
    <row r="114" spans="2:7">
      <c r="B114" s="44">
        <v>226</v>
      </c>
      <c r="C114" s="39" t="s">
        <v>93</v>
      </c>
      <c r="D114" s="39"/>
      <c r="E114" s="49">
        <v>0</v>
      </c>
      <c r="F114" s="54">
        <v>0</v>
      </c>
      <c r="G114" s="60"/>
    </row>
    <row r="115" spans="2:7" ht="15.75" thickBot="1">
      <c r="B115" s="61"/>
      <c r="C115" s="62" t="s">
        <v>94</v>
      </c>
      <c r="D115" s="62"/>
      <c r="E115" s="90">
        <v>0</v>
      </c>
      <c r="F115" s="63">
        <v>0</v>
      </c>
      <c r="G115" s="38"/>
    </row>
    <row r="116" spans="2:7">
      <c r="B116" s="64"/>
      <c r="C116" s="65" t="s">
        <v>95</v>
      </c>
      <c r="D116" s="66"/>
      <c r="E116" s="91">
        <v>4145.3759999999975</v>
      </c>
      <c r="F116" s="68">
        <v>4145.3759999999975</v>
      </c>
      <c r="G116" s="69"/>
    </row>
    <row r="117" spans="2:7" ht="15.75" thickBot="1">
      <c r="B117" s="64"/>
      <c r="C117" s="70"/>
      <c r="D117" s="71"/>
      <c r="E117" s="92"/>
      <c r="F117" s="73"/>
      <c r="G117" s="69"/>
    </row>
    <row r="118" spans="2:7" ht="15.75" thickBot="1">
      <c r="B118" s="64"/>
      <c r="C118" s="70" t="s">
        <v>96</v>
      </c>
      <c r="D118" s="71"/>
      <c r="E118" s="93">
        <v>14540.2111927273</v>
      </c>
      <c r="F118" s="75">
        <v>14540.2111927273</v>
      </c>
      <c r="G118" s="76"/>
    </row>
    <row r="119" spans="2:7" ht="8.25" customHeight="1" thickBot="1">
      <c r="B119" s="77"/>
      <c r="C119" s="81"/>
      <c r="D119" s="81"/>
      <c r="E119" s="78"/>
      <c r="F119" s="78"/>
      <c r="G119" s="79"/>
    </row>
    <row r="120" spans="2:7">
      <c r="B120" s="83"/>
      <c r="C120" s="84"/>
      <c r="D120" s="84"/>
      <c r="E120" s="85"/>
      <c r="F120" s="83"/>
      <c r="G120" s="85"/>
    </row>
    <row r="121" spans="2:7" ht="6" customHeight="1" thickBot="1"/>
    <row r="122" spans="2:7">
      <c r="B122" s="1"/>
      <c r="C122" s="2"/>
      <c r="D122" s="2"/>
      <c r="E122" s="2"/>
      <c r="F122" s="2"/>
      <c r="G122" s="3"/>
    </row>
    <row r="123" spans="2:7">
      <c r="B123" s="4"/>
      <c r="C123" s="5"/>
      <c r="D123" s="5"/>
      <c r="E123" s="5"/>
      <c r="F123" s="5"/>
      <c r="G123" s="6"/>
    </row>
    <row r="124" spans="2:7">
      <c r="B124" s="4"/>
      <c r="C124" s="5"/>
      <c r="D124" s="5"/>
      <c r="E124" s="5"/>
      <c r="F124" s="5"/>
      <c r="G124" s="6"/>
    </row>
    <row r="125" spans="2:7">
      <c r="B125" s="4"/>
      <c r="C125" s="5"/>
      <c r="D125" s="5"/>
      <c r="E125" s="5"/>
      <c r="F125" s="5"/>
      <c r="G125" s="6"/>
    </row>
    <row r="126" spans="2:7">
      <c r="B126" s="4"/>
      <c r="C126" s="5"/>
      <c r="D126" s="5"/>
      <c r="E126" s="5"/>
      <c r="F126" s="5"/>
      <c r="G126" s="6"/>
    </row>
    <row r="127" spans="2:7" ht="16.5" customHeight="1">
      <c r="B127" s="4"/>
      <c r="C127" s="5"/>
      <c r="D127" s="5"/>
      <c r="E127" s="5"/>
      <c r="F127" s="5"/>
      <c r="G127" s="6"/>
    </row>
    <row r="128" spans="2:7" ht="22.5" customHeight="1" thickBot="1">
      <c r="B128" s="4"/>
      <c r="C128" s="95" t="s">
        <v>0</v>
      </c>
      <c r="D128" s="95"/>
      <c r="E128" s="95"/>
      <c r="F128" s="5"/>
      <c r="G128" s="6"/>
    </row>
    <row r="129" spans="1:7" ht="21" thickTop="1">
      <c r="B129" s="4"/>
      <c r="C129" s="7"/>
      <c r="D129" s="7"/>
      <c r="E129" s="5"/>
      <c r="F129" s="5"/>
      <c r="G129" s="6"/>
    </row>
    <row r="130" spans="1:7">
      <c r="B130" s="8" t="s">
        <v>1</v>
      </c>
      <c r="C130" s="9" t="s">
        <v>97</v>
      </c>
      <c r="D130" s="5"/>
      <c r="E130" s="10" t="s">
        <v>2</v>
      </c>
      <c r="F130" s="9" t="s">
        <v>98</v>
      </c>
      <c r="G130" s="6"/>
    </row>
    <row r="131" spans="1:7" ht="3.75" customHeight="1">
      <c r="A131" s="80"/>
      <c r="B131" s="5"/>
      <c r="C131" s="5"/>
      <c r="D131" s="5"/>
      <c r="E131" s="11"/>
      <c r="F131" s="5"/>
      <c r="G131" s="6"/>
    </row>
    <row r="132" spans="1:7">
      <c r="A132" s="80"/>
      <c r="B132" s="12" t="s">
        <v>3</v>
      </c>
      <c r="C132" s="9" t="s">
        <v>99</v>
      </c>
      <c r="D132" s="5"/>
      <c r="E132" s="10" t="s">
        <v>4</v>
      </c>
      <c r="F132" s="82" t="s">
        <v>100</v>
      </c>
      <c r="G132" s="6"/>
    </row>
    <row r="133" spans="1:7" ht="3.75" customHeight="1">
      <c r="A133" s="80"/>
      <c r="B133" s="5"/>
      <c r="C133" s="5"/>
      <c r="D133" s="5"/>
      <c r="E133" s="11"/>
      <c r="F133" s="5"/>
      <c r="G133" s="6"/>
    </row>
    <row r="134" spans="1:7">
      <c r="A134" s="80"/>
      <c r="B134" s="10" t="s">
        <v>5</v>
      </c>
      <c r="C134" s="9" t="s">
        <v>101</v>
      </c>
      <c r="D134" s="5"/>
      <c r="E134" s="10" t="s">
        <v>6</v>
      </c>
      <c r="F134" s="9" t="s">
        <v>107</v>
      </c>
      <c r="G134" s="6"/>
    </row>
    <row r="135" spans="1:7" ht="4.5" customHeight="1">
      <c r="A135" s="80"/>
      <c r="B135" s="13"/>
      <c r="C135" s="5"/>
      <c r="D135" s="5"/>
      <c r="E135" s="11"/>
      <c r="F135" s="5"/>
      <c r="G135" s="6"/>
    </row>
    <row r="136" spans="1:7">
      <c r="A136" s="80"/>
      <c r="B136" s="10" t="s">
        <v>7</v>
      </c>
      <c r="C136" s="9" t="s">
        <v>113</v>
      </c>
      <c r="D136" s="5"/>
      <c r="E136" s="11"/>
      <c r="F136" s="5"/>
      <c r="G136" s="6"/>
    </row>
    <row r="137" spans="1:7" ht="3.75" customHeight="1">
      <c r="A137" s="80"/>
      <c r="B137" s="5"/>
      <c r="C137" s="5"/>
      <c r="D137" s="5"/>
      <c r="E137" s="11"/>
      <c r="F137" s="5"/>
      <c r="G137" s="6"/>
    </row>
    <row r="138" spans="1:7">
      <c r="B138" s="14" t="s">
        <v>8</v>
      </c>
      <c r="C138" s="15" t="s">
        <v>104</v>
      </c>
      <c r="D138" s="5"/>
      <c r="E138" s="86" t="s">
        <v>109</v>
      </c>
      <c r="F138" s="87">
        <v>45323</v>
      </c>
      <c r="G138" s="6"/>
    </row>
    <row r="139" spans="1:7">
      <c r="B139" s="16" t="s">
        <v>9</v>
      </c>
      <c r="C139" s="17" t="s">
        <v>130</v>
      </c>
      <c r="D139" s="5"/>
      <c r="E139" s="88" t="s">
        <v>110</v>
      </c>
      <c r="F139" s="89">
        <v>45351</v>
      </c>
      <c r="G139" s="18"/>
    </row>
    <row r="140" spans="1:7" ht="15.75" thickBot="1">
      <c r="B140" s="4"/>
      <c r="C140" s="19"/>
      <c r="D140" s="19"/>
      <c r="E140" s="20"/>
      <c r="F140" s="21"/>
      <c r="G140" s="18"/>
    </row>
    <row r="141" spans="1:7" ht="18.75" thickBot="1">
      <c r="B141" s="4"/>
      <c r="C141" s="22" t="s">
        <v>10</v>
      </c>
      <c r="D141" s="23"/>
      <c r="E141" s="24"/>
      <c r="F141" s="25" t="s">
        <v>11</v>
      </c>
      <c r="G141" s="18"/>
    </row>
    <row r="142" spans="1:7">
      <c r="B142" s="4"/>
      <c r="C142" s="26" t="s">
        <v>12</v>
      </c>
      <c r="D142" s="26"/>
      <c r="E142" s="27">
        <v>14540.2111927273</v>
      </c>
      <c r="F142" s="28">
        <v>14540.2111927273</v>
      </c>
      <c r="G142" s="29"/>
    </row>
    <row r="143" spans="1:7">
      <c r="B143" s="30">
        <v>143</v>
      </c>
      <c r="C143" s="31" t="s">
        <v>13</v>
      </c>
      <c r="D143" s="31"/>
      <c r="E143" s="27">
        <v>5596.0880000000006</v>
      </c>
      <c r="F143" s="32">
        <v>5596.0880000000006</v>
      </c>
      <c r="G143" s="33"/>
    </row>
    <row r="144" spans="1:7">
      <c r="B144" s="30"/>
      <c r="C144" s="34" t="s">
        <v>14</v>
      </c>
      <c r="D144" s="34"/>
      <c r="E144" s="27">
        <v>0</v>
      </c>
      <c r="F144" s="32">
        <v>0</v>
      </c>
      <c r="G144" s="33"/>
    </row>
    <row r="145" spans="2:7">
      <c r="B145" s="30"/>
      <c r="C145" s="34" t="s">
        <v>15</v>
      </c>
      <c r="D145" s="34"/>
      <c r="E145" s="27">
        <v>0</v>
      </c>
      <c r="F145" s="32">
        <v>0</v>
      </c>
      <c r="G145" s="33"/>
    </row>
    <row r="146" spans="2:7">
      <c r="B146" s="30"/>
      <c r="C146" s="34" t="s">
        <v>16</v>
      </c>
      <c r="D146" s="34"/>
      <c r="E146" s="27">
        <v>0</v>
      </c>
      <c r="F146" s="32">
        <v>0</v>
      </c>
      <c r="G146" s="33"/>
    </row>
    <row r="147" spans="2:7">
      <c r="B147" s="30"/>
      <c r="C147" s="34" t="s">
        <v>17</v>
      </c>
      <c r="D147" s="34"/>
      <c r="E147" s="27">
        <v>0</v>
      </c>
      <c r="F147" s="32">
        <v>0</v>
      </c>
      <c r="G147" s="33"/>
    </row>
    <row r="148" spans="2:7">
      <c r="B148" s="30"/>
      <c r="C148" s="35" t="s">
        <v>18</v>
      </c>
      <c r="D148" s="35"/>
      <c r="E148" s="36">
        <v>20136.2991927273</v>
      </c>
      <c r="F148" s="37">
        <v>20136.2991927273</v>
      </c>
      <c r="G148" s="38"/>
    </row>
    <row r="149" spans="2:7" ht="15.75" thickBot="1">
      <c r="B149" s="30"/>
      <c r="C149" s="39"/>
      <c r="D149" s="39"/>
      <c r="E149" s="40"/>
      <c r="F149" s="41"/>
      <c r="G149" s="38"/>
    </row>
    <row r="150" spans="2:7" ht="18.75" thickBot="1">
      <c r="B150" s="30"/>
      <c r="C150" s="22" t="s">
        <v>19</v>
      </c>
      <c r="D150" s="23"/>
      <c r="E150" s="42"/>
      <c r="F150" s="43"/>
      <c r="G150" s="38"/>
    </row>
    <row r="151" spans="2:7">
      <c r="B151" s="44">
        <v>121</v>
      </c>
      <c r="C151" s="39" t="s">
        <v>20</v>
      </c>
      <c r="D151" s="39"/>
      <c r="E151" s="45"/>
      <c r="F151" s="46"/>
      <c r="G151" s="47"/>
    </row>
    <row r="152" spans="2:7">
      <c r="B152" s="44"/>
      <c r="C152" s="48" t="s">
        <v>21</v>
      </c>
      <c r="D152" s="48"/>
      <c r="E152" s="49">
        <v>0</v>
      </c>
      <c r="F152" s="50">
        <v>0</v>
      </c>
      <c r="G152" s="47"/>
    </row>
    <row r="153" spans="2:7">
      <c r="B153" s="44"/>
      <c r="C153" s="48" t="s">
        <v>22</v>
      </c>
      <c r="D153" s="48"/>
      <c r="E153" s="49">
        <v>0</v>
      </c>
      <c r="F153" s="50">
        <v>0</v>
      </c>
      <c r="G153" s="47"/>
    </row>
    <row r="154" spans="2:7">
      <c r="B154" s="51"/>
      <c r="C154" s="48" t="s">
        <v>23</v>
      </c>
      <c r="D154" s="48"/>
      <c r="E154" s="49">
        <v>0</v>
      </c>
      <c r="F154" s="50">
        <v>0</v>
      </c>
      <c r="G154" s="52"/>
    </row>
    <row r="155" spans="2:7">
      <c r="B155" s="51"/>
      <c r="C155" s="48" t="s">
        <v>24</v>
      </c>
      <c r="D155" s="48"/>
      <c r="E155" s="49">
        <v>0</v>
      </c>
      <c r="F155" s="50">
        <v>0</v>
      </c>
      <c r="G155" s="52"/>
    </row>
    <row r="156" spans="2:7">
      <c r="B156" s="44"/>
      <c r="C156" s="48" t="s">
        <v>25</v>
      </c>
      <c r="D156" s="48"/>
      <c r="E156" s="49">
        <v>0</v>
      </c>
      <c r="F156" s="50">
        <v>0</v>
      </c>
      <c r="G156" s="52"/>
    </row>
    <row r="157" spans="2:7">
      <c r="B157" s="44"/>
      <c r="C157" s="53" t="s">
        <v>26</v>
      </c>
      <c r="D157" s="53"/>
      <c r="E157" s="36">
        <v>0</v>
      </c>
      <c r="F157" s="54">
        <v>0</v>
      </c>
      <c r="G157" s="52"/>
    </row>
    <row r="158" spans="2:7">
      <c r="B158" s="44">
        <v>122</v>
      </c>
      <c r="C158" s="39" t="s">
        <v>27</v>
      </c>
      <c r="D158" s="39"/>
      <c r="E158" s="36"/>
      <c r="F158" s="50"/>
      <c r="G158" s="55"/>
    </row>
    <row r="159" spans="2:7">
      <c r="B159" s="44"/>
      <c r="C159" s="48" t="s">
        <v>28</v>
      </c>
      <c r="D159" s="48"/>
      <c r="E159" s="49">
        <v>0</v>
      </c>
      <c r="F159" s="50">
        <v>0</v>
      </c>
      <c r="G159" s="52"/>
    </row>
    <row r="160" spans="2:7">
      <c r="B160" s="44"/>
      <c r="C160" s="48" t="s">
        <v>29</v>
      </c>
      <c r="D160" s="48"/>
      <c r="E160" s="49">
        <v>0</v>
      </c>
      <c r="F160" s="50">
        <v>0</v>
      </c>
      <c r="G160" s="52"/>
    </row>
    <row r="161" spans="2:7">
      <c r="B161" s="44"/>
      <c r="C161" s="48" t="s">
        <v>30</v>
      </c>
      <c r="D161" s="48"/>
      <c r="E161" s="49">
        <v>0</v>
      </c>
      <c r="F161" s="50">
        <v>0</v>
      </c>
      <c r="G161" s="52"/>
    </row>
    <row r="162" spans="2:7">
      <c r="B162" s="44"/>
      <c r="C162" s="48" t="s">
        <v>31</v>
      </c>
      <c r="D162" s="48"/>
      <c r="E162" s="49">
        <v>0</v>
      </c>
      <c r="F162" s="50">
        <v>0</v>
      </c>
      <c r="G162" s="52"/>
    </row>
    <row r="163" spans="2:7">
      <c r="B163" s="44"/>
      <c r="C163" s="48" t="s">
        <v>32</v>
      </c>
      <c r="D163" s="48"/>
      <c r="E163" s="49">
        <v>108.5334807272726</v>
      </c>
      <c r="F163" s="50">
        <v>108.5334807272726</v>
      </c>
      <c r="G163" s="52"/>
    </row>
    <row r="164" spans="2:7">
      <c r="B164" s="44"/>
      <c r="C164" s="48" t="s">
        <v>33</v>
      </c>
      <c r="D164" s="48"/>
      <c r="E164" s="49">
        <v>0</v>
      </c>
      <c r="F164" s="50">
        <v>0</v>
      </c>
      <c r="G164" s="52"/>
    </row>
    <row r="165" spans="2:7">
      <c r="B165" s="44"/>
      <c r="C165" s="48" t="s">
        <v>34</v>
      </c>
      <c r="D165" s="48"/>
      <c r="E165" s="49">
        <v>0</v>
      </c>
      <c r="F165" s="50">
        <v>0</v>
      </c>
      <c r="G165" s="52"/>
    </row>
    <row r="166" spans="2:7">
      <c r="B166" s="44"/>
      <c r="C166" s="48" t="s">
        <v>35</v>
      </c>
      <c r="D166" s="48"/>
      <c r="E166" s="49">
        <v>0</v>
      </c>
      <c r="F166" s="50">
        <v>0</v>
      </c>
      <c r="G166" s="52"/>
    </row>
    <row r="167" spans="2:7">
      <c r="B167" s="44"/>
      <c r="C167" s="53" t="s">
        <v>26</v>
      </c>
      <c r="D167" s="53"/>
      <c r="E167" s="36">
        <v>108.5334807272726</v>
      </c>
      <c r="F167" s="54">
        <v>108.5334807272726</v>
      </c>
      <c r="G167" s="52"/>
    </row>
    <row r="168" spans="2:7">
      <c r="B168" s="44">
        <v>123</v>
      </c>
      <c r="C168" s="39" t="s">
        <v>36</v>
      </c>
      <c r="D168" s="39"/>
      <c r="E168" s="56"/>
      <c r="F168" s="57"/>
      <c r="G168" s="52"/>
    </row>
    <row r="169" spans="2:7">
      <c r="B169" s="44"/>
      <c r="C169" s="48" t="s">
        <v>37</v>
      </c>
      <c r="D169" s="48"/>
      <c r="E169" s="49">
        <v>108.5334807272726</v>
      </c>
      <c r="F169" s="50">
        <v>108.5334807272726</v>
      </c>
      <c r="G169" s="52"/>
    </row>
    <row r="170" spans="2:7">
      <c r="B170" s="44"/>
      <c r="C170" s="48" t="s">
        <v>38</v>
      </c>
      <c r="D170" s="48"/>
      <c r="E170" s="49">
        <v>0</v>
      </c>
      <c r="F170" s="50">
        <v>0</v>
      </c>
      <c r="G170" s="52"/>
    </row>
    <row r="171" spans="2:7">
      <c r="B171" s="44"/>
      <c r="C171" s="48" t="s">
        <v>39</v>
      </c>
      <c r="D171" s="48"/>
      <c r="E171" s="49">
        <v>940.62349963636279</v>
      </c>
      <c r="F171" s="50">
        <v>940.62349963636279</v>
      </c>
      <c r="G171" s="52"/>
    </row>
    <row r="172" spans="2:7">
      <c r="B172" s="44"/>
      <c r="C172" s="48" t="s">
        <v>40</v>
      </c>
      <c r="D172" s="48"/>
      <c r="E172" s="49">
        <v>0</v>
      </c>
      <c r="F172" s="50">
        <v>0</v>
      </c>
      <c r="G172" s="52"/>
    </row>
    <row r="173" spans="2:7">
      <c r="B173" s="44"/>
      <c r="C173" s="48" t="s">
        <v>41</v>
      </c>
      <c r="D173" s="48"/>
      <c r="E173" s="49">
        <v>0</v>
      </c>
      <c r="F173" s="50">
        <v>0</v>
      </c>
      <c r="G173" s="52"/>
    </row>
    <row r="174" spans="2:7">
      <c r="B174" s="44"/>
      <c r="C174" s="48" t="s">
        <v>42</v>
      </c>
      <c r="D174" s="48"/>
      <c r="E174" s="49">
        <v>217.06696145454521</v>
      </c>
      <c r="F174" s="50">
        <v>217.06696145454521</v>
      </c>
      <c r="G174" s="52"/>
    </row>
    <row r="175" spans="2:7">
      <c r="B175" s="44"/>
      <c r="C175" s="53" t="s">
        <v>26</v>
      </c>
      <c r="D175" s="53"/>
      <c r="E175" s="36">
        <v>1266.2239418181805</v>
      </c>
      <c r="F175" s="54">
        <v>1266.2239418181805</v>
      </c>
      <c r="G175" s="52"/>
    </row>
    <row r="176" spans="2:7">
      <c r="B176" s="44">
        <v>124</v>
      </c>
      <c r="C176" s="39" t="s">
        <v>43</v>
      </c>
      <c r="D176" s="39"/>
      <c r="E176" s="56"/>
      <c r="F176" s="57"/>
      <c r="G176" s="52"/>
    </row>
    <row r="177" spans="2:7">
      <c r="B177" s="44"/>
      <c r="C177" s="48" t="s">
        <v>44</v>
      </c>
      <c r="D177" s="48"/>
      <c r="E177" s="49">
        <v>165.81503999999998</v>
      </c>
      <c r="F177" s="50">
        <v>165.81503999999998</v>
      </c>
      <c r="G177" s="52"/>
    </row>
    <row r="178" spans="2:7">
      <c r="B178" s="44"/>
      <c r="C178" s="48" t="s">
        <v>45</v>
      </c>
      <c r="D178" s="48"/>
      <c r="E178" s="49">
        <v>0</v>
      </c>
      <c r="F178" s="50">
        <v>0</v>
      </c>
      <c r="G178" s="52"/>
    </row>
    <row r="179" spans="2:7">
      <c r="B179" s="44"/>
      <c r="C179" s="48" t="s">
        <v>46</v>
      </c>
      <c r="D179" s="48"/>
      <c r="E179" s="49">
        <v>0</v>
      </c>
      <c r="F179" s="50">
        <v>0</v>
      </c>
      <c r="G179" s="52"/>
    </row>
    <row r="180" spans="2:7">
      <c r="B180" s="44"/>
      <c r="C180" s="53" t="s">
        <v>26</v>
      </c>
      <c r="D180" s="53"/>
      <c r="E180" s="36">
        <v>165.81503999999998</v>
      </c>
      <c r="F180" s="54">
        <v>165.81503999999998</v>
      </c>
      <c r="G180" s="52"/>
    </row>
    <row r="181" spans="2:7">
      <c r="B181" s="44">
        <v>125</v>
      </c>
      <c r="C181" s="39" t="s">
        <v>47</v>
      </c>
      <c r="D181" s="39"/>
      <c r="E181" s="36"/>
      <c r="F181" s="50"/>
      <c r="G181" s="52"/>
    </row>
    <row r="182" spans="2:7">
      <c r="B182" s="44"/>
      <c r="C182" s="48" t="s">
        <v>48</v>
      </c>
      <c r="D182" s="48"/>
      <c r="E182" s="58">
        <v>0</v>
      </c>
      <c r="F182" s="50">
        <v>0</v>
      </c>
      <c r="G182" s="52"/>
    </row>
    <row r="183" spans="2:7">
      <c r="B183" s="44"/>
      <c r="C183" s="48" t="s">
        <v>49</v>
      </c>
      <c r="D183" s="48"/>
      <c r="E183" s="58">
        <v>0</v>
      </c>
      <c r="F183" s="50">
        <v>0</v>
      </c>
      <c r="G183" s="52"/>
    </row>
    <row r="184" spans="2:7">
      <c r="B184" s="44"/>
      <c r="C184" s="48" t="s">
        <v>50</v>
      </c>
      <c r="D184" s="48"/>
      <c r="E184" s="58">
        <v>132.65203199999999</v>
      </c>
      <c r="F184" s="50">
        <v>132.65203199999999</v>
      </c>
      <c r="G184" s="52"/>
    </row>
    <row r="185" spans="2:7">
      <c r="B185" s="44"/>
      <c r="C185" s="48" t="s">
        <v>51</v>
      </c>
      <c r="D185" s="48"/>
      <c r="E185" s="58">
        <v>0</v>
      </c>
      <c r="F185" s="50">
        <v>0</v>
      </c>
      <c r="G185" s="52"/>
    </row>
    <row r="186" spans="2:7">
      <c r="B186" s="44"/>
      <c r="C186" s="53" t="s">
        <v>26</v>
      </c>
      <c r="D186" s="53"/>
      <c r="E186" s="56">
        <v>132.65203199999999</v>
      </c>
      <c r="F186" s="54">
        <v>132.65203199999999</v>
      </c>
      <c r="G186" s="52"/>
    </row>
    <row r="187" spans="2:7">
      <c r="B187" s="44">
        <v>126</v>
      </c>
      <c r="C187" s="39" t="s">
        <v>52</v>
      </c>
      <c r="D187" s="39"/>
      <c r="E187" s="56"/>
      <c r="F187" s="50"/>
      <c r="G187" s="52"/>
    </row>
    <row r="188" spans="2:7">
      <c r="B188" s="44"/>
      <c r="C188" s="48" t="s">
        <v>53</v>
      </c>
      <c r="D188" s="48"/>
      <c r="E188" s="49">
        <v>0</v>
      </c>
      <c r="F188" s="50">
        <v>0</v>
      </c>
      <c r="G188" s="52"/>
    </row>
    <row r="189" spans="2:7">
      <c r="B189" s="44"/>
      <c r="C189" s="48" t="s">
        <v>54</v>
      </c>
      <c r="D189" s="48"/>
      <c r="E189" s="49">
        <v>0</v>
      </c>
      <c r="F189" s="50"/>
      <c r="G189" s="52"/>
    </row>
    <row r="190" spans="2:7">
      <c r="B190" s="44"/>
      <c r="C190" s="48" t="s">
        <v>55</v>
      </c>
      <c r="D190" s="48"/>
      <c r="E190" s="49">
        <v>0</v>
      </c>
      <c r="F190" s="50"/>
      <c r="G190" s="52"/>
    </row>
    <row r="191" spans="2:7">
      <c r="B191" s="44"/>
      <c r="C191" s="48" t="s">
        <v>56</v>
      </c>
      <c r="D191" s="48"/>
      <c r="E191" s="49">
        <v>0</v>
      </c>
      <c r="F191" s="57"/>
      <c r="G191" s="52"/>
    </row>
    <row r="192" spans="2:7">
      <c r="B192" s="44"/>
      <c r="C192" s="53" t="s">
        <v>26</v>
      </c>
      <c r="D192" s="53"/>
      <c r="E192" s="56">
        <v>0</v>
      </c>
      <c r="F192" s="54">
        <v>0</v>
      </c>
      <c r="G192" s="52"/>
    </row>
    <row r="193" spans="2:7">
      <c r="B193" s="44">
        <v>127</v>
      </c>
      <c r="C193" s="39" t="s">
        <v>57</v>
      </c>
      <c r="D193" s="39"/>
      <c r="E193" s="56"/>
      <c r="F193" s="54"/>
      <c r="G193" s="52"/>
    </row>
    <row r="194" spans="2:7">
      <c r="B194" s="44"/>
      <c r="C194" s="48" t="s">
        <v>58</v>
      </c>
      <c r="D194" s="48"/>
      <c r="E194" s="49">
        <v>0</v>
      </c>
      <c r="F194" s="50">
        <v>0</v>
      </c>
      <c r="G194" s="52"/>
    </row>
    <row r="195" spans="2:7">
      <c r="B195" s="44"/>
      <c r="C195" s="48" t="s">
        <v>59</v>
      </c>
      <c r="D195" s="48"/>
      <c r="E195" s="49">
        <v>0</v>
      </c>
      <c r="F195" s="50">
        <v>0</v>
      </c>
      <c r="G195" s="52"/>
    </row>
    <row r="196" spans="2:7">
      <c r="B196" s="44"/>
      <c r="C196" s="48" t="s">
        <v>60</v>
      </c>
      <c r="D196" s="48"/>
      <c r="E196" s="49">
        <v>0</v>
      </c>
      <c r="F196" s="50">
        <v>0</v>
      </c>
      <c r="G196" s="52"/>
    </row>
    <row r="197" spans="2:7">
      <c r="B197" s="44"/>
      <c r="C197" s="59" t="s">
        <v>61</v>
      </c>
      <c r="D197" s="59"/>
      <c r="E197" s="49">
        <v>0</v>
      </c>
      <c r="F197" s="50">
        <v>0</v>
      </c>
      <c r="G197" s="52"/>
    </row>
    <row r="198" spans="2:7">
      <c r="B198" s="44"/>
      <c r="C198" s="53" t="s">
        <v>26</v>
      </c>
      <c r="D198" s="53"/>
      <c r="E198" s="56">
        <v>0</v>
      </c>
      <c r="F198" s="54">
        <v>0</v>
      </c>
      <c r="G198" s="52"/>
    </row>
    <row r="199" spans="2:7">
      <c r="B199" s="44">
        <v>128</v>
      </c>
      <c r="C199" s="39" t="s">
        <v>62</v>
      </c>
      <c r="D199" s="39"/>
      <c r="E199" s="56"/>
      <c r="F199" s="54"/>
      <c r="G199" s="52"/>
    </row>
    <row r="200" spans="2:7">
      <c r="B200" s="44"/>
      <c r="C200" s="48" t="s">
        <v>63</v>
      </c>
      <c r="D200" s="48"/>
      <c r="E200" s="49">
        <v>0</v>
      </c>
      <c r="F200" s="50">
        <v>0</v>
      </c>
      <c r="G200" s="52"/>
    </row>
    <row r="201" spans="2:7">
      <c r="B201" s="44"/>
      <c r="C201" s="48" t="s">
        <v>64</v>
      </c>
      <c r="D201" s="48"/>
      <c r="E201" s="49">
        <v>0</v>
      </c>
      <c r="F201" s="50">
        <v>0</v>
      </c>
      <c r="G201" s="52"/>
    </row>
    <row r="202" spans="2:7">
      <c r="B202" s="44"/>
      <c r="C202" s="48" t="s">
        <v>65</v>
      </c>
      <c r="D202" s="48"/>
      <c r="E202" s="49">
        <v>397.95609599999995</v>
      </c>
      <c r="F202" s="50">
        <v>397.95609599999995</v>
      </c>
      <c r="G202" s="52"/>
    </row>
    <row r="203" spans="2:7">
      <c r="B203" s="44"/>
      <c r="C203" s="48" t="s">
        <v>66</v>
      </c>
      <c r="D203" s="48"/>
      <c r="E203" s="49">
        <v>0</v>
      </c>
      <c r="F203" s="50">
        <v>0</v>
      </c>
      <c r="G203" s="52"/>
    </row>
    <row r="204" spans="2:7">
      <c r="B204" s="44"/>
      <c r="C204" s="48" t="s">
        <v>67</v>
      </c>
      <c r="D204" s="48"/>
      <c r="E204" s="49">
        <v>0</v>
      </c>
      <c r="F204" s="50">
        <v>0</v>
      </c>
      <c r="G204" s="52"/>
    </row>
    <row r="205" spans="2:7">
      <c r="B205" s="44"/>
      <c r="C205" s="53" t="s">
        <v>26</v>
      </c>
      <c r="D205" s="53"/>
      <c r="E205" s="56">
        <v>397.95609599999995</v>
      </c>
      <c r="F205" s="54">
        <v>397.95609599999995</v>
      </c>
      <c r="G205" s="52"/>
    </row>
    <row r="206" spans="2:7">
      <c r="B206" s="44">
        <v>135</v>
      </c>
      <c r="C206" s="39" t="s">
        <v>68</v>
      </c>
      <c r="D206" s="39"/>
      <c r="E206" s="56"/>
      <c r="F206" s="50"/>
      <c r="G206" s="52"/>
    </row>
    <row r="207" spans="2:7">
      <c r="B207" s="44"/>
      <c r="C207" s="48" t="s">
        <v>69</v>
      </c>
      <c r="D207" s="48"/>
      <c r="E207" s="49">
        <v>0</v>
      </c>
      <c r="F207" s="50">
        <v>0</v>
      </c>
      <c r="G207" s="52"/>
    </row>
    <row r="208" spans="2:7">
      <c r="B208" s="44"/>
      <c r="C208" s="48" t="s">
        <v>70</v>
      </c>
      <c r="D208" s="48"/>
      <c r="E208" s="49">
        <v>0</v>
      </c>
      <c r="F208" s="50">
        <v>0</v>
      </c>
      <c r="G208" s="52"/>
    </row>
    <row r="209" spans="2:7">
      <c r="B209" s="44"/>
      <c r="C209" s="48" t="s">
        <v>71</v>
      </c>
      <c r="D209" s="48"/>
      <c r="E209" s="49">
        <v>0</v>
      </c>
      <c r="F209" s="50">
        <v>0</v>
      </c>
      <c r="G209" s="52"/>
    </row>
    <row r="210" spans="2:7">
      <c r="B210" s="44"/>
      <c r="C210" s="48" t="s">
        <v>72</v>
      </c>
      <c r="D210" s="48"/>
      <c r="E210" s="49">
        <v>0</v>
      </c>
      <c r="F210" s="50">
        <v>0</v>
      </c>
      <c r="G210" s="52"/>
    </row>
    <row r="211" spans="2:7">
      <c r="B211" s="44"/>
      <c r="C211" s="48" t="s">
        <v>73</v>
      </c>
      <c r="D211" s="48"/>
      <c r="E211" s="49">
        <v>217.06696145454521</v>
      </c>
      <c r="F211" s="50">
        <v>217.06696145454521</v>
      </c>
      <c r="G211" s="52"/>
    </row>
    <row r="212" spans="2:7">
      <c r="B212" s="44"/>
      <c r="C212" s="48" t="s">
        <v>74</v>
      </c>
      <c r="D212" s="48"/>
      <c r="E212" s="49">
        <v>0</v>
      </c>
      <c r="F212" s="50">
        <v>0</v>
      </c>
      <c r="G212" s="52"/>
    </row>
    <row r="213" spans="2:7">
      <c r="B213" s="44"/>
      <c r="C213" s="48" t="s">
        <v>75</v>
      </c>
      <c r="D213" s="48"/>
      <c r="E213" s="49">
        <v>1028.0532479999999</v>
      </c>
      <c r="F213" s="50">
        <v>1028.0532479999999</v>
      </c>
      <c r="G213" s="52"/>
    </row>
    <row r="214" spans="2:7">
      <c r="B214" s="44"/>
      <c r="C214" s="48" t="s">
        <v>76</v>
      </c>
      <c r="D214" s="48"/>
      <c r="E214" s="49">
        <v>0</v>
      </c>
      <c r="F214" s="50">
        <v>0</v>
      </c>
      <c r="G214" s="52"/>
    </row>
    <row r="215" spans="2:7">
      <c r="B215" s="44"/>
      <c r="C215" s="48" t="s">
        <v>77</v>
      </c>
      <c r="D215" s="48"/>
      <c r="E215" s="49">
        <v>0</v>
      </c>
      <c r="F215" s="50">
        <v>0</v>
      </c>
      <c r="G215" s="52"/>
    </row>
    <row r="216" spans="2:7">
      <c r="B216" s="44"/>
      <c r="C216" s="53" t="s">
        <v>26</v>
      </c>
      <c r="D216" s="53"/>
      <c r="E216" s="56">
        <v>1245.1202094545451</v>
      </c>
      <c r="F216" s="54">
        <v>1245.1202094545451</v>
      </c>
      <c r="G216" s="52"/>
    </row>
    <row r="217" spans="2:7">
      <c r="B217" s="44">
        <v>136</v>
      </c>
      <c r="C217" s="39" t="s">
        <v>78</v>
      </c>
      <c r="D217" s="39"/>
      <c r="E217" s="56"/>
      <c r="F217" s="50"/>
      <c r="G217" s="52"/>
    </row>
    <row r="218" spans="2:7">
      <c r="B218" s="44"/>
      <c r="C218" s="48" t="s">
        <v>79</v>
      </c>
      <c r="D218" s="48"/>
      <c r="E218" s="49">
        <v>0</v>
      </c>
      <c r="F218" s="50">
        <v>0</v>
      </c>
      <c r="G218" s="52"/>
    </row>
    <row r="219" spans="2:7">
      <c r="B219" s="44"/>
      <c r="C219" s="48" t="s">
        <v>80</v>
      </c>
      <c r="D219" s="48"/>
      <c r="E219" s="49">
        <v>0</v>
      </c>
      <c r="F219" s="50">
        <v>0</v>
      </c>
      <c r="G219" s="52"/>
    </row>
    <row r="220" spans="2:7">
      <c r="B220" s="44"/>
      <c r="C220" s="48" t="s">
        <v>81</v>
      </c>
      <c r="D220" s="48"/>
      <c r="E220" s="49">
        <v>0</v>
      </c>
      <c r="F220" s="50">
        <v>0</v>
      </c>
      <c r="G220" s="52"/>
    </row>
    <row r="221" spans="2:7">
      <c r="B221" s="44"/>
      <c r="C221" s="48" t="s">
        <v>82</v>
      </c>
      <c r="D221" s="48"/>
      <c r="E221" s="49">
        <v>0</v>
      </c>
      <c r="F221" s="50">
        <v>0</v>
      </c>
      <c r="G221" s="52"/>
    </row>
    <row r="222" spans="2:7">
      <c r="B222" s="44"/>
      <c r="C222" s="48" t="s">
        <v>83</v>
      </c>
      <c r="D222" s="48"/>
      <c r="E222" s="49">
        <v>0</v>
      </c>
      <c r="F222" s="50">
        <v>0</v>
      </c>
      <c r="G222" s="52"/>
    </row>
    <row r="223" spans="2:7">
      <c r="B223" s="44"/>
      <c r="C223" s="48" t="s">
        <v>84</v>
      </c>
      <c r="D223" s="48"/>
      <c r="E223" s="49">
        <v>0</v>
      </c>
      <c r="F223" s="50">
        <v>0</v>
      </c>
      <c r="G223" s="52"/>
    </row>
    <row r="224" spans="2:7">
      <c r="B224" s="44"/>
      <c r="C224" s="53" t="s">
        <v>26</v>
      </c>
      <c r="D224" s="53"/>
      <c r="E224" s="56">
        <v>0</v>
      </c>
      <c r="F224" s="54">
        <v>0</v>
      </c>
      <c r="G224" s="52"/>
    </row>
    <row r="225" spans="2:7">
      <c r="B225" s="44">
        <v>142</v>
      </c>
      <c r="C225" s="39" t="s">
        <v>85</v>
      </c>
      <c r="D225" s="39"/>
      <c r="E225" s="56"/>
      <c r="F225" s="50"/>
      <c r="G225" s="52"/>
    </row>
    <row r="226" spans="2:7">
      <c r="B226" s="44"/>
      <c r="C226" s="48" t="s">
        <v>86</v>
      </c>
      <c r="D226" s="48"/>
      <c r="E226" s="49">
        <v>0</v>
      </c>
      <c r="F226" s="50">
        <v>0</v>
      </c>
      <c r="G226" s="52"/>
    </row>
    <row r="227" spans="2:7">
      <c r="B227" s="44"/>
      <c r="C227" s="48" t="s">
        <v>87</v>
      </c>
      <c r="D227" s="48"/>
      <c r="E227" s="49">
        <v>0</v>
      </c>
      <c r="F227" s="50">
        <v>0</v>
      </c>
      <c r="G227" s="52"/>
    </row>
    <row r="228" spans="2:7">
      <c r="B228" s="44"/>
      <c r="C228" s="53" t="s">
        <v>26</v>
      </c>
      <c r="D228" s="53"/>
      <c r="E228" s="56">
        <v>0</v>
      </c>
      <c r="F228" s="54">
        <v>0</v>
      </c>
      <c r="G228" s="52"/>
    </row>
    <row r="229" spans="2:7">
      <c r="B229" s="44">
        <v>144</v>
      </c>
      <c r="C229" s="39" t="s">
        <v>88</v>
      </c>
      <c r="D229" s="39"/>
      <c r="E229" s="49">
        <v>0</v>
      </c>
      <c r="F229" s="54">
        <v>0</v>
      </c>
      <c r="G229" s="52"/>
    </row>
    <row r="230" spans="2:7">
      <c r="B230" s="44">
        <v>221</v>
      </c>
      <c r="C230" s="39" t="s">
        <v>89</v>
      </c>
      <c r="D230" s="39"/>
      <c r="E230" s="49">
        <v>0</v>
      </c>
      <c r="F230" s="54">
        <v>0</v>
      </c>
      <c r="G230" s="52"/>
    </row>
    <row r="231" spans="2:7">
      <c r="B231" s="44">
        <v>222</v>
      </c>
      <c r="C231" s="39" t="s">
        <v>90</v>
      </c>
      <c r="D231" s="39"/>
      <c r="E231" s="49">
        <v>0</v>
      </c>
      <c r="F231" s="54">
        <v>0</v>
      </c>
      <c r="G231" s="52"/>
    </row>
    <row r="232" spans="2:7">
      <c r="B232" s="44">
        <v>224</v>
      </c>
      <c r="C232" s="39" t="s">
        <v>91</v>
      </c>
      <c r="D232" s="39"/>
      <c r="E232" s="49">
        <v>0</v>
      </c>
      <c r="F232" s="54">
        <v>0</v>
      </c>
      <c r="G232" s="52"/>
    </row>
    <row r="233" spans="2:7">
      <c r="B233" s="44">
        <v>225</v>
      </c>
      <c r="C233" s="39" t="s">
        <v>92</v>
      </c>
      <c r="D233" s="39"/>
      <c r="E233" s="49">
        <v>0</v>
      </c>
      <c r="F233" s="54">
        <v>0</v>
      </c>
      <c r="G233" s="38"/>
    </row>
    <row r="234" spans="2:7">
      <c r="B234" s="44">
        <v>226</v>
      </c>
      <c r="C234" s="39" t="s">
        <v>93</v>
      </c>
      <c r="D234" s="39"/>
      <c r="E234" s="49">
        <v>0</v>
      </c>
      <c r="F234" s="54">
        <v>0</v>
      </c>
      <c r="G234" s="60"/>
    </row>
    <row r="235" spans="2:7" ht="15.75" thickBot="1">
      <c r="B235" s="61"/>
      <c r="C235" s="62" t="s">
        <v>94</v>
      </c>
      <c r="D235" s="62"/>
      <c r="E235" s="94">
        <v>0</v>
      </c>
      <c r="F235" s="63">
        <v>0</v>
      </c>
      <c r="G235" s="38"/>
    </row>
    <row r="236" spans="2:7">
      <c r="B236" s="64"/>
      <c r="C236" s="65" t="s">
        <v>95</v>
      </c>
      <c r="D236" s="66"/>
      <c r="E236" s="67">
        <v>3316.3007999999982</v>
      </c>
      <c r="F236" s="68">
        <v>3316.3007999999982</v>
      </c>
      <c r="G236" s="69"/>
    </row>
    <row r="237" spans="2:7" ht="15.75" thickBot="1">
      <c r="B237" s="64"/>
      <c r="C237" s="70"/>
      <c r="D237" s="71"/>
      <c r="E237" s="72"/>
      <c r="F237" s="73"/>
      <c r="G237" s="69"/>
    </row>
    <row r="238" spans="2:7" ht="15.75" thickBot="1">
      <c r="B238" s="64"/>
      <c r="C238" s="70" t="s">
        <v>96</v>
      </c>
      <c r="D238" s="71"/>
      <c r="E238" s="74">
        <v>16819.998392727302</v>
      </c>
      <c r="F238" s="75">
        <v>16819.998392727302</v>
      </c>
      <c r="G238" s="76"/>
    </row>
    <row r="239" spans="2:7" ht="8.25" customHeight="1" thickBot="1">
      <c r="B239" s="77"/>
      <c r="C239" s="81"/>
      <c r="D239" s="81"/>
      <c r="E239" s="78"/>
      <c r="F239" s="78"/>
      <c r="G239" s="79"/>
    </row>
    <row r="240" spans="2:7">
      <c r="B240" s="85"/>
      <c r="C240" s="84"/>
      <c r="D240" s="84"/>
      <c r="E240" s="85"/>
      <c r="F240" s="85"/>
      <c r="G240" s="85"/>
    </row>
    <row r="241" spans="1:7" ht="6" customHeight="1" thickBot="1"/>
    <row r="242" spans="1:7">
      <c r="B242" s="1"/>
      <c r="C242" s="2"/>
      <c r="D242" s="2"/>
      <c r="E242" s="2"/>
      <c r="F242" s="2"/>
      <c r="G242" s="3"/>
    </row>
    <row r="243" spans="1:7">
      <c r="B243" s="4"/>
      <c r="C243" s="5"/>
      <c r="D243" s="5"/>
      <c r="E243" s="5"/>
      <c r="F243" s="5"/>
      <c r="G243" s="6"/>
    </row>
    <row r="244" spans="1:7">
      <c r="B244" s="4"/>
      <c r="C244" s="5"/>
      <c r="D244" s="5"/>
      <c r="E244" s="5"/>
      <c r="F244" s="5"/>
      <c r="G244" s="6"/>
    </row>
    <row r="245" spans="1:7">
      <c r="B245" s="4"/>
      <c r="C245" s="5"/>
      <c r="D245" s="5"/>
      <c r="E245" s="5"/>
      <c r="F245" s="5"/>
      <c r="G245" s="6"/>
    </row>
    <row r="246" spans="1:7">
      <c r="B246" s="4"/>
      <c r="C246" s="5"/>
      <c r="D246" s="5"/>
      <c r="E246" s="5"/>
      <c r="F246" s="5"/>
      <c r="G246" s="6"/>
    </row>
    <row r="247" spans="1:7" ht="16.5" customHeight="1">
      <c r="B247" s="4"/>
      <c r="C247" s="5"/>
      <c r="D247" s="5"/>
      <c r="E247" s="5"/>
      <c r="F247" s="5"/>
      <c r="G247" s="6"/>
    </row>
    <row r="248" spans="1:7" ht="22.5" customHeight="1" thickBot="1">
      <c r="B248" s="4"/>
      <c r="C248" s="95" t="s">
        <v>0</v>
      </c>
      <c r="D248" s="95"/>
      <c r="E248" s="95"/>
      <c r="F248" s="5"/>
      <c r="G248" s="6"/>
    </row>
    <row r="249" spans="1:7" ht="21" thickTop="1">
      <c r="B249" s="4"/>
      <c r="C249" s="7"/>
      <c r="D249" s="7"/>
      <c r="E249" s="5"/>
      <c r="F249" s="5"/>
      <c r="G249" s="6"/>
    </row>
    <row r="250" spans="1:7">
      <c r="B250" s="8" t="s">
        <v>1</v>
      </c>
      <c r="C250" s="9" t="s">
        <v>97</v>
      </c>
      <c r="D250" s="5"/>
      <c r="E250" s="10" t="s">
        <v>2</v>
      </c>
      <c r="F250" s="9" t="s">
        <v>98</v>
      </c>
      <c r="G250" s="6"/>
    </row>
    <row r="251" spans="1:7" ht="3.75" customHeight="1">
      <c r="A251" s="80"/>
      <c r="B251" s="5"/>
      <c r="C251" s="5"/>
      <c r="D251" s="5"/>
      <c r="E251" s="11"/>
      <c r="F251" s="5"/>
      <c r="G251" s="6"/>
    </row>
    <row r="252" spans="1:7">
      <c r="A252" s="80"/>
      <c r="B252" s="12" t="s">
        <v>3</v>
      </c>
      <c r="C252" s="9" t="s">
        <v>99</v>
      </c>
      <c r="D252" s="5"/>
      <c r="E252" s="10" t="s">
        <v>4</v>
      </c>
      <c r="F252" s="82" t="s">
        <v>100</v>
      </c>
      <c r="G252" s="6"/>
    </row>
    <row r="253" spans="1:7" ht="3.75" customHeight="1">
      <c r="A253" s="80"/>
      <c r="B253" s="5"/>
      <c r="C253" s="5"/>
      <c r="D253" s="5"/>
      <c r="E253" s="11"/>
      <c r="F253" s="5"/>
      <c r="G253" s="6"/>
    </row>
    <row r="254" spans="1:7">
      <c r="A254" s="80"/>
      <c r="B254" s="10" t="s">
        <v>5</v>
      </c>
      <c r="C254" s="9" t="s">
        <v>101</v>
      </c>
      <c r="D254" s="5"/>
      <c r="E254" s="10" t="s">
        <v>6</v>
      </c>
      <c r="F254" s="9" t="s">
        <v>107</v>
      </c>
      <c r="G254" s="6"/>
    </row>
    <row r="255" spans="1:7" ht="4.5" customHeight="1">
      <c r="A255" s="80"/>
      <c r="B255" s="13"/>
      <c r="C255" s="5"/>
      <c r="D255" s="5"/>
      <c r="E255" s="11"/>
      <c r="F255" s="5"/>
      <c r="G255" s="6"/>
    </row>
    <row r="256" spans="1:7">
      <c r="A256" s="80"/>
      <c r="B256" s="10" t="s">
        <v>7</v>
      </c>
      <c r="C256" s="9" t="s">
        <v>113</v>
      </c>
      <c r="D256" s="5"/>
      <c r="E256" s="11"/>
      <c r="F256" s="5"/>
      <c r="G256" s="6"/>
    </row>
    <row r="257" spans="1:7" ht="3.75" customHeight="1">
      <c r="A257" s="80"/>
      <c r="B257" s="5"/>
      <c r="C257" s="5"/>
      <c r="D257" s="5"/>
      <c r="E257" s="11"/>
      <c r="F257" s="5"/>
      <c r="G257" s="6"/>
    </row>
    <row r="258" spans="1:7">
      <c r="B258" s="14" t="s">
        <v>8</v>
      </c>
      <c r="C258" s="15" t="s">
        <v>105</v>
      </c>
      <c r="D258" s="5"/>
      <c r="E258" s="86" t="s">
        <v>109</v>
      </c>
      <c r="F258" s="87">
        <v>45352</v>
      </c>
      <c r="G258" s="6"/>
    </row>
    <row r="259" spans="1:7">
      <c r="B259" s="16" t="s">
        <v>9</v>
      </c>
      <c r="C259" s="17" t="s">
        <v>130</v>
      </c>
      <c r="D259" s="5"/>
      <c r="E259" s="88" t="s">
        <v>110</v>
      </c>
      <c r="F259" s="89">
        <v>45382</v>
      </c>
      <c r="G259" s="18"/>
    </row>
    <row r="260" spans="1:7" ht="15.75" thickBot="1">
      <c r="B260" s="4"/>
      <c r="C260" s="19"/>
      <c r="D260" s="19"/>
      <c r="E260" s="20"/>
      <c r="F260" s="21"/>
      <c r="G260" s="18"/>
    </row>
    <row r="261" spans="1:7" ht="18.75" thickBot="1">
      <c r="B261" s="4"/>
      <c r="C261" s="22" t="s">
        <v>10</v>
      </c>
      <c r="D261" s="23"/>
      <c r="E261" s="24"/>
      <c r="F261" s="25" t="s">
        <v>11</v>
      </c>
      <c r="G261" s="18"/>
    </row>
    <row r="262" spans="1:7">
      <c r="B262" s="4"/>
      <c r="C262" s="26" t="s">
        <v>12</v>
      </c>
      <c r="D262" s="26"/>
      <c r="E262" s="27">
        <v>16819.998392727302</v>
      </c>
      <c r="F262" s="28">
        <v>16819.998392727302</v>
      </c>
      <c r="G262" s="29"/>
    </row>
    <row r="263" spans="1:7">
      <c r="B263" s="30">
        <v>143</v>
      </c>
      <c r="C263" s="31" t="s">
        <v>13</v>
      </c>
      <c r="D263" s="31"/>
      <c r="E263" s="27">
        <v>5596.0880000000006</v>
      </c>
      <c r="F263" s="32">
        <v>5596.0880000000006</v>
      </c>
      <c r="G263" s="33"/>
    </row>
    <row r="264" spans="1:7">
      <c r="B264" s="30"/>
      <c r="C264" s="34" t="s">
        <v>14</v>
      </c>
      <c r="D264" s="34"/>
      <c r="E264" s="27">
        <v>0</v>
      </c>
      <c r="F264" s="32">
        <v>0</v>
      </c>
      <c r="G264" s="33"/>
    </row>
    <row r="265" spans="1:7">
      <c r="B265" s="30"/>
      <c r="C265" s="34" t="s">
        <v>15</v>
      </c>
      <c r="D265" s="34"/>
      <c r="E265" s="27">
        <v>0</v>
      </c>
      <c r="F265" s="32">
        <v>0</v>
      </c>
      <c r="G265" s="33"/>
    </row>
    <row r="266" spans="1:7">
      <c r="B266" s="30"/>
      <c r="C266" s="34" t="s">
        <v>16</v>
      </c>
      <c r="D266" s="34"/>
      <c r="E266" s="27">
        <v>0</v>
      </c>
      <c r="F266" s="32">
        <v>0</v>
      </c>
      <c r="G266" s="33"/>
    </row>
    <row r="267" spans="1:7">
      <c r="B267" s="30"/>
      <c r="C267" s="34" t="s">
        <v>17</v>
      </c>
      <c r="D267" s="34"/>
      <c r="E267" s="27">
        <v>0</v>
      </c>
      <c r="F267" s="32">
        <v>0</v>
      </c>
      <c r="G267" s="33"/>
    </row>
    <row r="268" spans="1:7">
      <c r="B268" s="30"/>
      <c r="C268" s="35" t="s">
        <v>18</v>
      </c>
      <c r="D268" s="35"/>
      <c r="E268" s="36">
        <v>22416.086392727302</v>
      </c>
      <c r="F268" s="37">
        <v>22416.086392727302</v>
      </c>
      <c r="G268" s="38"/>
    </row>
    <row r="269" spans="1:7" ht="15.75" thickBot="1">
      <c r="B269" s="30"/>
      <c r="C269" s="39"/>
      <c r="D269" s="39"/>
      <c r="E269" s="40"/>
      <c r="F269" s="41"/>
      <c r="G269" s="38"/>
    </row>
    <row r="270" spans="1:7" ht="18.75" thickBot="1">
      <c r="B270" s="30"/>
      <c r="C270" s="22" t="s">
        <v>19</v>
      </c>
      <c r="D270" s="23"/>
      <c r="E270" s="42"/>
      <c r="F270" s="43"/>
      <c r="G270" s="38"/>
    </row>
    <row r="271" spans="1:7">
      <c r="B271" s="44">
        <v>121</v>
      </c>
      <c r="C271" s="39" t="s">
        <v>20</v>
      </c>
      <c r="D271" s="39"/>
      <c r="E271" s="45"/>
      <c r="F271" s="46"/>
      <c r="G271" s="47"/>
    </row>
    <row r="272" spans="1:7">
      <c r="B272" s="44"/>
      <c r="C272" s="48" t="s">
        <v>21</v>
      </c>
      <c r="D272" s="48"/>
      <c r="E272" s="49">
        <v>0</v>
      </c>
      <c r="F272" s="50">
        <v>0</v>
      </c>
      <c r="G272" s="47"/>
    </row>
    <row r="273" spans="2:7">
      <c r="B273" s="44"/>
      <c r="C273" s="48" t="s">
        <v>22</v>
      </c>
      <c r="D273" s="48"/>
      <c r="E273" s="49">
        <v>0</v>
      </c>
      <c r="F273" s="50">
        <v>0</v>
      </c>
      <c r="G273" s="47"/>
    </row>
    <row r="274" spans="2:7">
      <c r="B274" s="51"/>
      <c r="C274" s="48" t="s">
        <v>23</v>
      </c>
      <c r="D274" s="48"/>
      <c r="E274" s="49">
        <v>0</v>
      </c>
      <c r="F274" s="50">
        <v>0</v>
      </c>
      <c r="G274" s="52"/>
    </row>
    <row r="275" spans="2:7">
      <c r="B275" s="51"/>
      <c r="C275" s="48" t="s">
        <v>24</v>
      </c>
      <c r="D275" s="48"/>
      <c r="E275" s="49">
        <v>994.89024000000006</v>
      </c>
      <c r="F275" s="50">
        <v>994.89024000000006</v>
      </c>
      <c r="G275" s="52"/>
    </row>
    <row r="276" spans="2:7">
      <c r="B276" s="44"/>
      <c r="C276" s="48" t="s">
        <v>25</v>
      </c>
      <c r="D276" s="48"/>
      <c r="E276" s="49">
        <v>0</v>
      </c>
      <c r="F276" s="50">
        <v>0</v>
      </c>
      <c r="G276" s="52"/>
    </row>
    <row r="277" spans="2:7">
      <c r="B277" s="44"/>
      <c r="C277" s="53" t="s">
        <v>26</v>
      </c>
      <c r="D277" s="53"/>
      <c r="E277" s="36">
        <v>994.89024000000006</v>
      </c>
      <c r="F277" s="54">
        <v>994.89024000000006</v>
      </c>
      <c r="G277" s="52"/>
    </row>
    <row r="278" spans="2:7">
      <c r="B278" s="44">
        <v>122</v>
      </c>
      <c r="C278" s="39" t="s">
        <v>27</v>
      </c>
      <c r="D278" s="39"/>
      <c r="E278" s="36"/>
      <c r="F278" s="50"/>
      <c r="G278" s="55"/>
    </row>
    <row r="279" spans="2:7">
      <c r="B279" s="44"/>
      <c r="C279" s="48" t="s">
        <v>28</v>
      </c>
      <c r="D279" s="48"/>
      <c r="E279" s="49">
        <v>0</v>
      </c>
      <c r="F279" s="50">
        <v>0</v>
      </c>
      <c r="G279" s="52"/>
    </row>
    <row r="280" spans="2:7">
      <c r="B280" s="44"/>
      <c r="C280" s="48" t="s">
        <v>29</v>
      </c>
      <c r="D280" s="48"/>
      <c r="E280" s="49">
        <v>0</v>
      </c>
      <c r="F280" s="50">
        <v>0</v>
      </c>
      <c r="G280" s="52"/>
    </row>
    <row r="281" spans="2:7">
      <c r="B281" s="44"/>
      <c r="C281" s="48" t="s">
        <v>30</v>
      </c>
      <c r="D281" s="48"/>
      <c r="E281" s="49">
        <v>0</v>
      </c>
      <c r="F281" s="50">
        <v>0</v>
      </c>
      <c r="G281" s="52"/>
    </row>
    <row r="282" spans="2:7">
      <c r="B282" s="44"/>
      <c r="C282" s="48" t="s">
        <v>31</v>
      </c>
      <c r="D282" s="48"/>
      <c r="E282" s="49">
        <v>0</v>
      </c>
      <c r="F282" s="50">
        <v>0</v>
      </c>
      <c r="G282" s="52"/>
    </row>
    <row r="283" spans="2:7">
      <c r="B283" s="44"/>
      <c r="C283" s="48" t="s">
        <v>32</v>
      </c>
      <c r="D283" s="48"/>
      <c r="E283" s="49">
        <v>331.63008000000002</v>
      </c>
      <c r="F283" s="50">
        <v>331.63008000000002</v>
      </c>
      <c r="G283" s="52"/>
    </row>
    <row r="284" spans="2:7">
      <c r="B284" s="44"/>
      <c r="C284" s="48" t="s">
        <v>33</v>
      </c>
      <c r="D284" s="48"/>
      <c r="E284" s="49">
        <v>0</v>
      </c>
      <c r="F284" s="50">
        <v>0</v>
      </c>
      <c r="G284" s="52"/>
    </row>
    <row r="285" spans="2:7">
      <c r="B285" s="44"/>
      <c r="C285" s="48" t="s">
        <v>34</v>
      </c>
      <c r="D285" s="48"/>
      <c r="E285" s="49">
        <v>0</v>
      </c>
      <c r="F285" s="50">
        <v>0</v>
      </c>
      <c r="G285" s="52"/>
    </row>
    <row r="286" spans="2:7">
      <c r="B286" s="44"/>
      <c r="C286" s="48" t="s">
        <v>35</v>
      </c>
      <c r="D286" s="48"/>
      <c r="E286" s="49">
        <v>0</v>
      </c>
      <c r="F286" s="50">
        <v>0</v>
      </c>
      <c r="G286" s="52"/>
    </row>
    <row r="287" spans="2:7">
      <c r="B287" s="44"/>
      <c r="C287" s="53" t="s">
        <v>26</v>
      </c>
      <c r="D287" s="53"/>
      <c r="E287" s="36">
        <v>331.63008000000002</v>
      </c>
      <c r="F287" s="54">
        <v>331.63008000000002</v>
      </c>
      <c r="G287" s="52"/>
    </row>
    <row r="288" spans="2:7">
      <c r="B288" s="44">
        <v>123</v>
      </c>
      <c r="C288" s="39" t="s">
        <v>36</v>
      </c>
      <c r="D288" s="39"/>
      <c r="E288" s="56"/>
      <c r="F288" s="57"/>
      <c r="G288" s="52"/>
    </row>
    <row r="289" spans="2:7">
      <c r="B289" s="44"/>
      <c r="C289" s="48" t="s">
        <v>37</v>
      </c>
      <c r="D289" s="48"/>
      <c r="E289" s="49">
        <v>271.33370181818157</v>
      </c>
      <c r="F289" s="50">
        <v>271.33370181818157</v>
      </c>
      <c r="G289" s="52"/>
    </row>
    <row r="290" spans="2:7">
      <c r="B290" s="44"/>
      <c r="C290" s="48" t="s">
        <v>38</v>
      </c>
      <c r="D290" s="48"/>
      <c r="E290" s="49">
        <v>2230.9659927272705</v>
      </c>
      <c r="F290" s="50">
        <v>2230.9659927272705</v>
      </c>
      <c r="G290" s="52"/>
    </row>
    <row r="291" spans="2:7">
      <c r="B291" s="44"/>
      <c r="C291" s="48" t="s">
        <v>39</v>
      </c>
      <c r="D291" s="48"/>
      <c r="E291" s="49">
        <v>271.33370181818157</v>
      </c>
      <c r="F291" s="50">
        <v>271.33370181818157</v>
      </c>
      <c r="G291" s="52"/>
    </row>
    <row r="292" spans="2:7">
      <c r="B292" s="44"/>
      <c r="C292" s="48" t="s">
        <v>40</v>
      </c>
      <c r="D292" s="48"/>
      <c r="E292" s="49">
        <v>0</v>
      </c>
      <c r="F292" s="50">
        <v>0</v>
      </c>
      <c r="G292" s="52"/>
    </row>
    <row r="293" spans="2:7">
      <c r="B293" s="44"/>
      <c r="C293" s="48" t="s">
        <v>41</v>
      </c>
      <c r="D293" s="48"/>
      <c r="E293" s="49">
        <v>0</v>
      </c>
      <c r="F293" s="50">
        <v>0</v>
      </c>
      <c r="G293" s="52"/>
    </row>
    <row r="294" spans="2:7">
      <c r="B294" s="44"/>
      <c r="C294" s="48" t="s">
        <v>42</v>
      </c>
      <c r="D294" s="48"/>
      <c r="E294" s="49">
        <v>542.66740363636313</v>
      </c>
      <c r="F294" s="50">
        <v>542.66740363636313</v>
      </c>
      <c r="G294" s="52"/>
    </row>
    <row r="295" spans="2:7">
      <c r="B295" s="44"/>
      <c r="C295" s="53" t="s">
        <v>26</v>
      </c>
      <c r="D295" s="53"/>
      <c r="E295" s="36">
        <v>3316.3007999999963</v>
      </c>
      <c r="F295" s="54">
        <v>3316.3007999999963</v>
      </c>
      <c r="G295" s="52"/>
    </row>
    <row r="296" spans="2:7">
      <c r="B296" s="44">
        <v>124</v>
      </c>
      <c r="C296" s="39" t="s">
        <v>43</v>
      </c>
      <c r="D296" s="39"/>
      <c r="E296" s="56"/>
      <c r="F296" s="57"/>
      <c r="G296" s="52"/>
    </row>
    <row r="297" spans="2:7">
      <c r="B297" s="44"/>
      <c r="C297" s="48" t="s">
        <v>44</v>
      </c>
      <c r="D297" s="48"/>
      <c r="E297" s="49">
        <v>0</v>
      </c>
      <c r="F297" s="50">
        <v>0</v>
      </c>
      <c r="G297" s="52"/>
    </row>
    <row r="298" spans="2:7">
      <c r="B298" s="44"/>
      <c r="C298" s="48" t="s">
        <v>45</v>
      </c>
      <c r="D298" s="48"/>
      <c r="E298" s="49">
        <v>2570.13312</v>
      </c>
      <c r="F298" s="50">
        <v>2570.13312</v>
      </c>
      <c r="G298" s="52"/>
    </row>
    <row r="299" spans="2:7">
      <c r="B299" s="44"/>
      <c r="C299" s="48" t="s">
        <v>46</v>
      </c>
      <c r="D299" s="48"/>
      <c r="E299" s="49">
        <v>0</v>
      </c>
      <c r="F299" s="50">
        <v>0</v>
      </c>
      <c r="G299" s="52"/>
    </row>
    <row r="300" spans="2:7">
      <c r="B300" s="44"/>
      <c r="C300" s="53" t="s">
        <v>26</v>
      </c>
      <c r="D300" s="53"/>
      <c r="E300" s="36">
        <v>2570.13312</v>
      </c>
      <c r="F300" s="54">
        <v>2570.13312</v>
      </c>
      <c r="G300" s="52"/>
    </row>
    <row r="301" spans="2:7">
      <c r="B301" s="44">
        <v>125</v>
      </c>
      <c r="C301" s="39" t="s">
        <v>47</v>
      </c>
      <c r="D301" s="39"/>
      <c r="E301" s="36"/>
      <c r="F301" s="50"/>
      <c r="G301" s="52"/>
    </row>
    <row r="302" spans="2:7">
      <c r="B302" s="44"/>
      <c r="C302" s="48" t="s">
        <v>48</v>
      </c>
      <c r="D302" s="48"/>
      <c r="E302" s="58">
        <v>0</v>
      </c>
      <c r="F302" s="50">
        <v>0</v>
      </c>
      <c r="G302" s="52"/>
    </row>
    <row r="303" spans="2:7">
      <c r="B303" s="44"/>
      <c r="C303" s="48" t="s">
        <v>49</v>
      </c>
      <c r="D303" s="48"/>
      <c r="E303" s="58">
        <v>0</v>
      </c>
      <c r="F303" s="50">
        <v>0</v>
      </c>
      <c r="G303" s="52"/>
    </row>
    <row r="304" spans="2:7">
      <c r="B304" s="44"/>
      <c r="C304" s="48" t="s">
        <v>50</v>
      </c>
      <c r="D304" s="48"/>
      <c r="E304" s="58">
        <v>1077.7977600000002</v>
      </c>
      <c r="F304" s="50">
        <v>1077.7977600000002</v>
      </c>
      <c r="G304" s="52"/>
    </row>
    <row r="305" spans="2:7">
      <c r="B305" s="44"/>
      <c r="C305" s="48" t="s">
        <v>51</v>
      </c>
      <c r="D305" s="48"/>
      <c r="E305" s="58">
        <v>0</v>
      </c>
      <c r="F305" s="50">
        <v>0</v>
      </c>
      <c r="G305" s="52"/>
    </row>
    <row r="306" spans="2:7">
      <c r="B306" s="44"/>
      <c r="C306" s="53" t="s">
        <v>26</v>
      </c>
      <c r="D306" s="53"/>
      <c r="E306" s="56">
        <v>1077.7977600000002</v>
      </c>
      <c r="F306" s="54">
        <v>1077.7977600000002</v>
      </c>
      <c r="G306" s="52"/>
    </row>
    <row r="307" spans="2:7">
      <c r="B307" s="44">
        <v>126</v>
      </c>
      <c r="C307" s="39" t="s">
        <v>52</v>
      </c>
      <c r="D307" s="39"/>
      <c r="E307" s="56"/>
      <c r="F307" s="50"/>
      <c r="G307" s="52"/>
    </row>
    <row r="308" spans="2:7">
      <c r="B308" s="44"/>
      <c r="C308" s="48" t="s">
        <v>53</v>
      </c>
      <c r="D308" s="48"/>
      <c r="E308" s="49">
        <v>0</v>
      </c>
      <c r="F308" s="50">
        <v>0</v>
      </c>
      <c r="G308" s="52"/>
    </row>
    <row r="309" spans="2:7">
      <c r="B309" s="44"/>
      <c r="C309" s="48" t="s">
        <v>54</v>
      </c>
      <c r="D309" s="48"/>
      <c r="E309" s="49">
        <v>0</v>
      </c>
      <c r="F309" s="50"/>
      <c r="G309" s="52"/>
    </row>
    <row r="310" spans="2:7">
      <c r="B310" s="44"/>
      <c r="C310" s="48" t="s">
        <v>55</v>
      </c>
      <c r="D310" s="48"/>
      <c r="E310" s="49">
        <v>0</v>
      </c>
      <c r="F310" s="50"/>
      <c r="G310" s="52"/>
    </row>
    <row r="311" spans="2:7">
      <c r="B311" s="44"/>
      <c r="C311" s="48" t="s">
        <v>56</v>
      </c>
      <c r="D311" s="48"/>
      <c r="E311" s="49">
        <v>0</v>
      </c>
      <c r="F311" s="57"/>
      <c r="G311" s="52"/>
    </row>
    <row r="312" spans="2:7">
      <c r="B312" s="44"/>
      <c r="C312" s="53" t="s">
        <v>26</v>
      </c>
      <c r="D312" s="53"/>
      <c r="E312" s="56">
        <v>0</v>
      </c>
      <c r="F312" s="54">
        <v>0</v>
      </c>
      <c r="G312" s="52"/>
    </row>
    <row r="313" spans="2:7">
      <c r="B313" s="44">
        <v>127</v>
      </c>
      <c r="C313" s="39" t="s">
        <v>57</v>
      </c>
      <c r="D313" s="39"/>
      <c r="E313" s="56"/>
      <c r="F313" s="54"/>
      <c r="G313" s="52"/>
    </row>
    <row r="314" spans="2:7">
      <c r="B314" s="44"/>
      <c r="C314" s="48" t="s">
        <v>58</v>
      </c>
      <c r="D314" s="48"/>
      <c r="E314" s="49">
        <v>0</v>
      </c>
      <c r="F314" s="50">
        <v>0</v>
      </c>
      <c r="G314" s="52"/>
    </row>
    <row r="315" spans="2:7">
      <c r="B315" s="44"/>
      <c r="C315" s="48" t="s">
        <v>59</v>
      </c>
      <c r="D315" s="48"/>
      <c r="E315" s="49">
        <v>0</v>
      </c>
      <c r="F315" s="50">
        <v>0</v>
      </c>
      <c r="G315" s="52"/>
    </row>
    <row r="316" spans="2:7">
      <c r="B316" s="44"/>
      <c r="C316" s="48" t="s">
        <v>60</v>
      </c>
      <c r="D316" s="48"/>
      <c r="E316" s="49">
        <v>0</v>
      </c>
      <c r="F316" s="50">
        <v>0</v>
      </c>
      <c r="G316" s="52"/>
    </row>
    <row r="317" spans="2:7">
      <c r="B317" s="44"/>
      <c r="C317" s="59" t="s">
        <v>61</v>
      </c>
      <c r="D317" s="59"/>
      <c r="E317" s="49">
        <v>0</v>
      </c>
      <c r="F317" s="50">
        <v>0</v>
      </c>
      <c r="G317" s="52"/>
    </row>
    <row r="318" spans="2:7">
      <c r="B318" s="44"/>
      <c r="C318" s="53" t="s">
        <v>26</v>
      </c>
      <c r="D318" s="53"/>
      <c r="E318" s="56">
        <v>0</v>
      </c>
      <c r="F318" s="54">
        <v>0</v>
      </c>
      <c r="G318" s="52"/>
    </row>
    <row r="319" spans="2:7">
      <c r="B319" s="44">
        <v>128</v>
      </c>
      <c r="C319" s="39" t="s">
        <v>62</v>
      </c>
      <c r="D319" s="39"/>
      <c r="E319" s="56"/>
      <c r="F319" s="54"/>
      <c r="G319" s="52"/>
    </row>
    <row r="320" spans="2:7">
      <c r="B320" s="44"/>
      <c r="C320" s="48" t="s">
        <v>63</v>
      </c>
      <c r="D320" s="48"/>
      <c r="E320" s="49">
        <v>0</v>
      </c>
      <c r="F320" s="50">
        <v>0</v>
      </c>
      <c r="G320" s="52"/>
    </row>
    <row r="321" spans="2:7">
      <c r="B321" s="44"/>
      <c r="C321" s="48" t="s">
        <v>64</v>
      </c>
      <c r="D321" s="48"/>
      <c r="E321" s="49">
        <v>0</v>
      </c>
      <c r="F321" s="50">
        <v>0</v>
      </c>
      <c r="G321" s="52"/>
    </row>
    <row r="322" spans="2:7">
      <c r="B322" s="44"/>
      <c r="C322" s="48" t="s">
        <v>65</v>
      </c>
      <c r="D322" s="48"/>
      <c r="E322" s="49">
        <v>0</v>
      </c>
      <c r="F322" s="50">
        <v>0</v>
      </c>
      <c r="G322" s="52"/>
    </row>
    <row r="323" spans="2:7">
      <c r="B323" s="44"/>
      <c r="C323" s="48" t="s">
        <v>66</v>
      </c>
      <c r="D323" s="48"/>
      <c r="E323" s="49">
        <v>0</v>
      </c>
      <c r="F323" s="50">
        <v>0</v>
      </c>
      <c r="G323" s="52"/>
    </row>
    <row r="324" spans="2:7">
      <c r="B324" s="44"/>
      <c r="C324" s="48" t="s">
        <v>67</v>
      </c>
      <c r="D324" s="48"/>
      <c r="E324" s="49">
        <v>0</v>
      </c>
      <c r="F324" s="50">
        <v>0</v>
      </c>
      <c r="G324" s="52"/>
    </row>
    <row r="325" spans="2:7">
      <c r="B325" s="44"/>
      <c r="C325" s="53" t="s">
        <v>26</v>
      </c>
      <c r="D325" s="53"/>
      <c r="E325" s="56">
        <v>0</v>
      </c>
      <c r="F325" s="54">
        <v>0</v>
      </c>
      <c r="G325" s="52"/>
    </row>
    <row r="326" spans="2:7">
      <c r="B326" s="44">
        <v>135</v>
      </c>
      <c r="C326" s="39" t="s">
        <v>68</v>
      </c>
      <c r="D326" s="39"/>
      <c r="E326" s="56"/>
      <c r="F326" s="50"/>
      <c r="G326" s="52"/>
    </row>
    <row r="327" spans="2:7">
      <c r="B327" s="44"/>
      <c r="C327" s="48" t="s">
        <v>69</v>
      </c>
      <c r="D327" s="48"/>
      <c r="E327" s="49">
        <v>0</v>
      </c>
      <c r="F327" s="50">
        <v>0</v>
      </c>
      <c r="G327" s="52"/>
    </row>
    <row r="328" spans="2:7">
      <c r="B328" s="44"/>
      <c r="C328" s="48" t="s">
        <v>70</v>
      </c>
      <c r="D328" s="48"/>
      <c r="E328" s="49">
        <v>0</v>
      </c>
      <c r="F328" s="50">
        <v>0</v>
      </c>
      <c r="G328" s="52"/>
    </row>
    <row r="329" spans="2:7">
      <c r="B329" s="44"/>
      <c r="C329" s="48" t="s">
        <v>71</v>
      </c>
      <c r="D329" s="48"/>
      <c r="E329" s="49">
        <v>0</v>
      </c>
      <c r="F329" s="50">
        <v>0</v>
      </c>
      <c r="G329" s="52"/>
    </row>
    <row r="330" spans="2:7">
      <c r="B330" s="44"/>
      <c r="C330" s="48" t="s">
        <v>72</v>
      </c>
      <c r="D330" s="48"/>
      <c r="E330" s="49">
        <v>0</v>
      </c>
      <c r="F330" s="50">
        <v>0</v>
      </c>
      <c r="G330" s="52"/>
    </row>
    <row r="331" spans="2:7">
      <c r="B331" s="44"/>
      <c r="C331" s="48" t="s">
        <v>73</v>
      </c>
      <c r="D331" s="48"/>
      <c r="E331" s="49">
        <v>0</v>
      </c>
      <c r="F331" s="50">
        <v>0</v>
      </c>
      <c r="G331" s="52"/>
    </row>
    <row r="332" spans="2:7">
      <c r="B332" s="44"/>
      <c r="C332" s="48" t="s">
        <v>74</v>
      </c>
      <c r="D332" s="48"/>
      <c r="E332" s="49">
        <v>0</v>
      </c>
      <c r="F332" s="50">
        <v>0</v>
      </c>
      <c r="G332" s="52"/>
    </row>
    <row r="333" spans="2:7">
      <c r="B333" s="44"/>
      <c r="C333" s="48" t="s">
        <v>75</v>
      </c>
      <c r="D333" s="48"/>
      <c r="E333" s="49">
        <v>0</v>
      </c>
      <c r="F333" s="50">
        <v>0</v>
      </c>
      <c r="G333" s="52"/>
    </row>
    <row r="334" spans="2:7">
      <c r="B334" s="44"/>
      <c r="C334" s="48" t="s">
        <v>76</v>
      </c>
      <c r="D334" s="48"/>
      <c r="E334" s="49">
        <v>0</v>
      </c>
      <c r="F334" s="50">
        <v>0</v>
      </c>
      <c r="G334" s="52"/>
    </row>
    <row r="335" spans="2:7">
      <c r="B335" s="44"/>
      <c r="C335" s="48" t="s">
        <v>77</v>
      </c>
      <c r="D335" s="48"/>
      <c r="E335" s="49">
        <v>0</v>
      </c>
      <c r="F335" s="50">
        <v>0</v>
      </c>
      <c r="G335" s="52"/>
    </row>
    <row r="336" spans="2:7">
      <c r="B336" s="44"/>
      <c r="C336" s="53" t="s">
        <v>26</v>
      </c>
      <c r="D336" s="53"/>
      <c r="E336" s="56">
        <v>0</v>
      </c>
      <c r="F336" s="54">
        <v>0</v>
      </c>
      <c r="G336" s="52"/>
    </row>
    <row r="337" spans="2:7">
      <c r="B337" s="44">
        <v>136</v>
      </c>
      <c r="C337" s="39" t="s">
        <v>78</v>
      </c>
      <c r="D337" s="39"/>
      <c r="E337" s="56"/>
      <c r="F337" s="50"/>
      <c r="G337" s="52"/>
    </row>
    <row r="338" spans="2:7">
      <c r="B338" s="44"/>
      <c r="C338" s="48" t="s">
        <v>79</v>
      </c>
      <c r="D338" s="48"/>
      <c r="E338" s="49">
        <v>0</v>
      </c>
      <c r="F338" s="50">
        <v>0</v>
      </c>
      <c r="G338" s="52"/>
    </row>
    <row r="339" spans="2:7">
      <c r="B339" s="44"/>
      <c r="C339" s="48" t="s">
        <v>80</v>
      </c>
      <c r="D339" s="48"/>
      <c r="E339" s="49">
        <v>0</v>
      </c>
      <c r="F339" s="50">
        <v>0</v>
      </c>
      <c r="G339" s="52"/>
    </row>
    <row r="340" spans="2:7">
      <c r="B340" s="44"/>
      <c r="C340" s="48" t="s">
        <v>81</v>
      </c>
      <c r="D340" s="48"/>
      <c r="E340" s="49">
        <v>0</v>
      </c>
      <c r="F340" s="50">
        <v>0</v>
      </c>
      <c r="G340" s="52"/>
    </row>
    <row r="341" spans="2:7">
      <c r="B341" s="44"/>
      <c r="C341" s="48" t="s">
        <v>82</v>
      </c>
      <c r="D341" s="48"/>
      <c r="E341" s="49">
        <v>0</v>
      </c>
      <c r="F341" s="50">
        <v>0</v>
      </c>
      <c r="G341" s="52"/>
    </row>
    <row r="342" spans="2:7">
      <c r="B342" s="44"/>
      <c r="C342" s="48" t="s">
        <v>83</v>
      </c>
      <c r="D342" s="48"/>
      <c r="E342" s="49">
        <v>0</v>
      </c>
      <c r="F342" s="50">
        <v>0</v>
      </c>
      <c r="G342" s="52"/>
    </row>
    <row r="343" spans="2:7">
      <c r="B343" s="44"/>
      <c r="C343" s="48" t="s">
        <v>84</v>
      </c>
      <c r="D343" s="48"/>
      <c r="E343" s="49">
        <v>0</v>
      </c>
      <c r="F343" s="50">
        <v>0</v>
      </c>
      <c r="G343" s="52"/>
    </row>
    <row r="344" spans="2:7">
      <c r="B344" s="44"/>
      <c r="C344" s="53" t="s">
        <v>26</v>
      </c>
      <c r="D344" s="53"/>
      <c r="E344" s="56">
        <v>0</v>
      </c>
      <c r="F344" s="54">
        <v>0</v>
      </c>
      <c r="G344" s="52"/>
    </row>
    <row r="345" spans="2:7">
      <c r="B345" s="44">
        <v>142</v>
      </c>
      <c r="C345" s="39" t="s">
        <v>85</v>
      </c>
      <c r="D345" s="39"/>
      <c r="E345" s="56"/>
      <c r="F345" s="50"/>
      <c r="G345" s="52"/>
    </row>
    <row r="346" spans="2:7">
      <c r="B346" s="44"/>
      <c r="C346" s="48" t="s">
        <v>86</v>
      </c>
      <c r="D346" s="48"/>
      <c r="E346" s="49">
        <v>0</v>
      </c>
      <c r="F346" s="50">
        <v>0</v>
      </c>
      <c r="G346" s="52"/>
    </row>
    <row r="347" spans="2:7">
      <c r="B347" s="44"/>
      <c r="C347" s="48" t="s">
        <v>87</v>
      </c>
      <c r="D347" s="48"/>
      <c r="E347" s="49">
        <v>0</v>
      </c>
      <c r="F347" s="50">
        <v>0</v>
      </c>
      <c r="G347" s="52"/>
    </row>
    <row r="348" spans="2:7">
      <c r="B348" s="44"/>
      <c r="C348" s="53" t="s">
        <v>26</v>
      </c>
      <c r="D348" s="53"/>
      <c r="E348" s="56">
        <v>0</v>
      </c>
      <c r="F348" s="54">
        <v>0</v>
      </c>
      <c r="G348" s="52"/>
    </row>
    <row r="349" spans="2:7">
      <c r="B349" s="44">
        <v>144</v>
      </c>
      <c r="C349" s="39" t="s">
        <v>88</v>
      </c>
      <c r="D349" s="39"/>
      <c r="E349" s="49">
        <v>0</v>
      </c>
      <c r="F349" s="54">
        <v>0</v>
      </c>
      <c r="G349" s="52"/>
    </row>
    <row r="350" spans="2:7">
      <c r="B350" s="44">
        <v>221</v>
      </c>
      <c r="C350" s="39" t="s">
        <v>89</v>
      </c>
      <c r="D350" s="39"/>
      <c r="E350" s="49">
        <v>0</v>
      </c>
      <c r="F350" s="54">
        <v>0</v>
      </c>
      <c r="G350" s="52"/>
    </row>
    <row r="351" spans="2:7">
      <c r="B351" s="44">
        <v>222</v>
      </c>
      <c r="C351" s="39" t="s">
        <v>90</v>
      </c>
      <c r="D351" s="39"/>
      <c r="E351" s="49">
        <v>0</v>
      </c>
      <c r="F351" s="54">
        <v>0</v>
      </c>
      <c r="G351" s="52"/>
    </row>
    <row r="352" spans="2:7">
      <c r="B352" s="44">
        <v>224</v>
      </c>
      <c r="C352" s="39" t="s">
        <v>91</v>
      </c>
      <c r="D352" s="39"/>
      <c r="E352" s="49">
        <v>0</v>
      </c>
      <c r="F352" s="54">
        <v>0</v>
      </c>
      <c r="G352" s="52"/>
    </row>
    <row r="353" spans="2:7">
      <c r="B353" s="44">
        <v>225</v>
      </c>
      <c r="C353" s="39" t="s">
        <v>92</v>
      </c>
      <c r="D353" s="39"/>
      <c r="E353" s="49">
        <v>0</v>
      </c>
      <c r="F353" s="54">
        <v>0</v>
      </c>
      <c r="G353" s="38"/>
    </row>
    <row r="354" spans="2:7">
      <c r="B354" s="44">
        <v>226</v>
      </c>
      <c r="C354" s="39" t="s">
        <v>93</v>
      </c>
      <c r="D354" s="39"/>
      <c r="E354" s="49">
        <v>0</v>
      </c>
      <c r="F354" s="54">
        <v>0</v>
      </c>
      <c r="G354" s="60"/>
    </row>
    <row r="355" spans="2:7" ht="15.75" thickBot="1">
      <c r="B355" s="61"/>
      <c r="C355" s="62" t="s">
        <v>94</v>
      </c>
      <c r="D355" s="62"/>
      <c r="E355" s="94">
        <v>0</v>
      </c>
      <c r="F355" s="63">
        <v>0</v>
      </c>
      <c r="G355" s="38"/>
    </row>
    <row r="356" spans="2:7">
      <c r="B356" s="64"/>
      <c r="C356" s="65" t="s">
        <v>95</v>
      </c>
      <c r="D356" s="66"/>
      <c r="E356" s="67">
        <v>8290.7519999999968</v>
      </c>
      <c r="F356" s="68">
        <v>8290.7519999999968</v>
      </c>
      <c r="G356" s="69"/>
    </row>
    <row r="357" spans="2:7" ht="15.75" thickBot="1">
      <c r="B357" s="64"/>
      <c r="C357" s="70"/>
      <c r="D357" s="71"/>
      <c r="E357" s="72"/>
      <c r="F357" s="73"/>
      <c r="G357" s="69"/>
    </row>
    <row r="358" spans="2:7" ht="15.75" thickBot="1">
      <c r="B358" s="64"/>
      <c r="C358" s="70" t="s">
        <v>96</v>
      </c>
      <c r="D358" s="71"/>
      <c r="E358" s="74">
        <v>14125.334392727305</v>
      </c>
      <c r="F358" s="75">
        <v>14125.334392727305</v>
      </c>
      <c r="G358" s="76"/>
    </row>
    <row r="359" spans="2:7" ht="8.25" customHeight="1" thickBot="1">
      <c r="B359" s="77"/>
      <c r="C359" s="81"/>
      <c r="D359" s="81"/>
      <c r="E359" s="78"/>
      <c r="F359" s="78"/>
      <c r="G359" s="79"/>
    </row>
    <row r="360" spans="2:7">
      <c r="B360" s="85"/>
      <c r="C360" s="84"/>
      <c r="D360" s="84"/>
      <c r="E360" s="85"/>
      <c r="F360" s="85"/>
      <c r="G360" s="85"/>
    </row>
  </sheetData>
  <mergeCells count="3">
    <mergeCell ref="C8:E8"/>
    <mergeCell ref="C128:E128"/>
    <mergeCell ref="C248:E248"/>
  </mergeCells>
  <dataValidations count="1">
    <dataValidation type="list" allowBlank="1" showInputMessage="1" showErrorMessage="1" sqref="C136 C16 C256" xr:uid="{551FA1C1-EF41-4830-9937-3CF91CDA0138}">
      <formula1>FacList</formula1>
    </dataValidation>
  </dataValidations>
  <hyperlinks>
    <hyperlink ref="F12" r:id="rId1" xr:uid="{C0306F3E-1169-4E8C-ACBC-7A3216D0BB40}"/>
    <hyperlink ref="F132" r:id="rId2" xr:uid="{7112E022-B3F7-4195-A3A6-2497D95D5833}"/>
    <hyperlink ref="F252" r:id="rId3" xr:uid="{A112FAEF-CFD6-4F5A-8C2D-4CE4E195BC80}"/>
  </hyperlinks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B5139-654A-40CC-A2E5-781F0A23E757}">
  <dimension ref="A1:G360"/>
  <sheetViews>
    <sheetView topLeftCell="E1" zoomScale="90" zoomScaleNormal="90" workbookViewId="0">
      <selection sqref="A1:XFD1048576"/>
    </sheetView>
  </sheetViews>
  <sheetFormatPr defaultColWidth="8.85546875" defaultRowHeight="15"/>
  <cols>
    <col min="1" max="1" width="1.140625" customWidth="1"/>
    <col min="2" max="2" width="27.42578125" customWidth="1"/>
    <col min="3" max="3" width="42.7109375" bestFit="1" customWidth="1"/>
    <col min="4" max="4" width="4" customWidth="1"/>
    <col min="5" max="5" width="25.42578125" customWidth="1"/>
    <col min="6" max="6" width="27.42578125" customWidth="1"/>
    <col min="7" max="7" width="4.7109375" customWidth="1"/>
  </cols>
  <sheetData>
    <row r="1" spans="1:7" ht="6" customHeight="1" thickBot="1"/>
    <row r="2" spans="1:7">
      <c r="B2" s="1"/>
      <c r="C2" s="2"/>
      <c r="D2" s="2"/>
      <c r="E2" s="2"/>
      <c r="F2" s="2"/>
      <c r="G2" s="3"/>
    </row>
    <row r="3" spans="1:7">
      <c r="B3" s="4"/>
      <c r="C3" s="5"/>
      <c r="D3" s="5"/>
      <c r="E3" s="5"/>
      <c r="F3" s="5"/>
      <c r="G3" s="6"/>
    </row>
    <row r="4" spans="1:7">
      <c r="B4" s="4"/>
      <c r="C4" s="5"/>
      <c r="D4" s="5"/>
      <c r="E4" s="5"/>
      <c r="F4" s="5"/>
      <c r="G4" s="6"/>
    </row>
    <row r="5" spans="1:7">
      <c r="B5" s="4"/>
      <c r="C5" s="5"/>
      <c r="D5" s="5"/>
      <c r="E5" s="5"/>
      <c r="F5" s="5"/>
      <c r="G5" s="6"/>
    </row>
    <row r="6" spans="1:7">
      <c r="B6" s="4"/>
      <c r="C6" s="5"/>
      <c r="D6" s="5"/>
      <c r="E6" s="5"/>
      <c r="F6" s="5"/>
      <c r="G6" s="6"/>
    </row>
    <row r="7" spans="1:7" ht="16.5" customHeight="1">
      <c r="B7" s="4"/>
      <c r="C7" s="5"/>
      <c r="D7" s="5"/>
      <c r="E7" s="5"/>
      <c r="F7" s="5"/>
      <c r="G7" s="6"/>
    </row>
    <row r="8" spans="1:7" ht="22.5" customHeight="1" thickBot="1">
      <c r="B8" s="4"/>
      <c r="C8" s="95" t="s">
        <v>0</v>
      </c>
      <c r="D8" s="95"/>
      <c r="E8" s="95"/>
      <c r="F8" s="5"/>
      <c r="G8" s="6"/>
    </row>
    <row r="9" spans="1:7" ht="21" thickTop="1">
      <c r="B9" s="4"/>
      <c r="C9" s="7"/>
      <c r="D9" s="7"/>
      <c r="E9" s="5"/>
      <c r="F9" s="5"/>
      <c r="G9" s="6"/>
    </row>
    <row r="10" spans="1:7">
      <c r="B10" s="8" t="s">
        <v>1</v>
      </c>
      <c r="C10" s="9" t="s">
        <v>97</v>
      </c>
      <c r="D10" s="5"/>
      <c r="E10" s="10" t="s">
        <v>2</v>
      </c>
      <c r="F10" s="9" t="s">
        <v>98</v>
      </c>
      <c r="G10" s="6"/>
    </row>
    <row r="11" spans="1:7" ht="3.75" customHeight="1">
      <c r="A11" s="80"/>
      <c r="B11" s="5"/>
      <c r="C11" s="5"/>
      <c r="D11" s="5"/>
      <c r="E11" s="11"/>
      <c r="F11" s="5"/>
      <c r="G11" s="6"/>
    </row>
    <row r="12" spans="1:7">
      <c r="A12" s="80"/>
      <c r="B12" s="12" t="s">
        <v>3</v>
      </c>
      <c r="C12" s="9" t="s">
        <v>99</v>
      </c>
      <c r="D12" s="5"/>
      <c r="E12" s="10" t="s">
        <v>4</v>
      </c>
      <c r="F12" s="82" t="s">
        <v>100</v>
      </c>
      <c r="G12" s="6"/>
    </row>
    <row r="13" spans="1:7" ht="3.75" customHeight="1">
      <c r="A13" s="80"/>
      <c r="B13" s="5"/>
      <c r="C13" s="5"/>
      <c r="D13" s="5"/>
      <c r="E13" s="11"/>
      <c r="F13" s="5"/>
      <c r="G13" s="6"/>
    </row>
    <row r="14" spans="1:7">
      <c r="A14" s="80"/>
      <c r="B14" s="10" t="s">
        <v>5</v>
      </c>
      <c r="C14" s="9" t="s">
        <v>101</v>
      </c>
      <c r="D14" s="5"/>
      <c r="E14" s="10" t="s">
        <v>6</v>
      </c>
      <c r="F14" s="9" t="s">
        <v>107</v>
      </c>
      <c r="G14" s="6"/>
    </row>
    <row r="15" spans="1:7" ht="4.5" customHeight="1">
      <c r="A15" s="80"/>
      <c r="B15" s="13"/>
      <c r="C15" s="5"/>
      <c r="D15" s="5"/>
      <c r="E15" s="11"/>
      <c r="F15" s="5"/>
      <c r="G15" s="6"/>
    </row>
    <row r="16" spans="1:7">
      <c r="A16" s="80"/>
      <c r="B16" s="10" t="s">
        <v>7</v>
      </c>
      <c r="C16" s="9" t="s">
        <v>112</v>
      </c>
      <c r="D16" s="5"/>
      <c r="E16" s="11"/>
      <c r="F16" s="5"/>
      <c r="G16" s="6"/>
    </row>
    <row r="17" spans="1:7" ht="3.75" customHeight="1">
      <c r="A17" s="80"/>
      <c r="B17" s="5"/>
      <c r="C17" s="5"/>
      <c r="D17" s="5"/>
      <c r="E17" s="11"/>
      <c r="F17" s="5"/>
      <c r="G17" s="6"/>
    </row>
    <row r="18" spans="1:7">
      <c r="B18" s="14" t="s">
        <v>8</v>
      </c>
      <c r="C18" s="15" t="s">
        <v>103</v>
      </c>
      <c r="D18" s="5"/>
      <c r="E18" s="86" t="s">
        <v>109</v>
      </c>
      <c r="F18" s="87">
        <v>45292</v>
      </c>
      <c r="G18" s="6"/>
    </row>
    <row r="19" spans="1:7">
      <c r="B19" s="16" t="s">
        <v>9</v>
      </c>
      <c r="C19" s="17" t="s">
        <v>130</v>
      </c>
      <c r="D19" s="5"/>
      <c r="E19" s="88" t="s">
        <v>110</v>
      </c>
      <c r="F19" s="89">
        <v>45322</v>
      </c>
      <c r="G19" s="18"/>
    </row>
    <row r="20" spans="1:7" ht="15.75" thickBot="1">
      <c r="B20" s="4"/>
      <c r="C20" s="19"/>
      <c r="D20" s="19"/>
      <c r="E20" s="20"/>
      <c r="F20" s="21"/>
      <c r="G20" s="18"/>
    </row>
    <row r="21" spans="1:7" ht="18.75" thickBot="1">
      <c r="B21" s="4"/>
      <c r="C21" s="22" t="s">
        <v>10</v>
      </c>
      <c r="D21" s="23"/>
      <c r="E21" s="24"/>
      <c r="F21" s="25" t="s">
        <v>11</v>
      </c>
      <c r="G21" s="18"/>
    </row>
    <row r="22" spans="1:7">
      <c r="B22" s="4"/>
      <c r="C22" s="26" t="s">
        <v>12</v>
      </c>
      <c r="D22" s="26"/>
      <c r="E22" s="27">
        <v>13089.499192727297</v>
      </c>
      <c r="F22" s="28">
        <v>13089.499192727297</v>
      </c>
      <c r="G22" s="29"/>
    </row>
    <row r="23" spans="1:7">
      <c r="B23" s="30">
        <v>143</v>
      </c>
      <c r="C23" s="31" t="s">
        <v>13</v>
      </c>
      <c r="D23" s="31"/>
      <c r="E23" s="27">
        <v>5596.0880000000006</v>
      </c>
      <c r="F23" s="32">
        <v>5596.0880000000006</v>
      </c>
      <c r="G23" s="33"/>
    </row>
    <row r="24" spans="1:7">
      <c r="B24" s="30"/>
      <c r="C24" s="34" t="s">
        <v>14</v>
      </c>
      <c r="D24" s="34"/>
      <c r="E24" s="27">
        <v>0</v>
      </c>
      <c r="F24" s="32">
        <v>0</v>
      </c>
      <c r="G24" s="33"/>
    </row>
    <row r="25" spans="1:7">
      <c r="B25" s="30"/>
      <c r="C25" s="34" t="s">
        <v>15</v>
      </c>
      <c r="D25" s="34"/>
      <c r="E25" s="27">
        <v>0</v>
      </c>
      <c r="F25" s="32">
        <v>0</v>
      </c>
      <c r="G25" s="33"/>
    </row>
    <row r="26" spans="1:7">
      <c r="B26" s="30"/>
      <c r="C26" s="34" t="s">
        <v>16</v>
      </c>
      <c r="D26" s="34"/>
      <c r="E26" s="27">
        <v>0</v>
      </c>
      <c r="F26" s="32">
        <v>0</v>
      </c>
      <c r="G26" s="33"/>
    </row>
    <row r="27" spans="1:7">
      <c r="B27" s="30"/>
      <c r="C27" s="34" t="s">
        <v>17</v>
      </c>
      <c r="D27" s="34"/>
      <c r="E27" s="27">
        <v>0</v>
      </c>
      <c r="F27" s="32">
        <v>0</v>
      </c>
      <c r="G27" s="33"/>
    </row>
    <row r="28" spans="1:7">
      <c r="B28" s="30"/>
      <c r="C28" s="35" t="s">
        <v>18</v>
      </c>
      <c r="D28" s="35"/>
      <c r="E28" s="36">
        <v>18685.587192727296</v>
      </c>
      <c r="F28" s="37">
        <v>18685.587192727296</v>
      </c>
      <c r="G28" s="38"/>
    </row>
    <row r="29" spans="1:7" ht="15.75" thickBot="1">
      <c r="B29" s="30"/>
      <c r="C29" s="39"/>
      <c r="D29" s="39"/>
      <c r="E29" s="40"/>
      <c r="F29" s="41"/>
      <c r="G29" s="38"/>
    </row>
    <row r="30" spans="1:7" ht="18.75" thickBot="1">
      <c r="B30" s="30"/>
      <c r="C30" s="22" t="s">
        <v>19</v>
      </c>
      <c r="D30" s="23"/>
      <c r="E30" s="42"/>
      <c r="F30" s="43"/>
      <c r="G30" s="38"/>
    </row>
    <row r="31" spans="1:7">
      <c r="B31" s="44">
        <v>121</v>
      </c>
      <c r="C31" s="39" t="s">
        <v>20</v>
      </c>
      <c r="D31" s="39"/>
      <c r="E31" s="45"/>
      <c r="F31" s="46"/>
      <c r="G31" s="47"/>
    </row>
    <row r="32" spans="1:7">
      <c r="B32" s="44"/>
      <c r="C32" s="48" t="s">
        <v>21</v>
      </c>
      <c r="D32" s="48"/>
      <c r="E32" s="49">
        <v>362.72039999999993</v>
      </c>
      <c r="F32" s="50">
        <v>362.72039999999993</v>
      </c>
      <c r="G32" s="47"/>
    </row>
    <row r="33" spans="2:7">
      <c r="B33" s="44"/>
      <c r="C33" s="48" t="s">
        <v>22</v>
      </c>
      <c r="D33" s="48"/>
      <c r="E33" s="49">
        <v>373.08383999999955</v>
      </c>
      <c r="F33" s="50">
        <v>373.08383999999955</v>
      </c>
      <c r="G33" s="47"/>
    </row>
    <row r="34" spans="2:7">
      <c r="B34" s="51"/>
      <c r="C34" s="48" t="s">
        <v>23</v>
      </c>
      <c r="D34" s="48"/>
      <c r="E34" s="49">
        <v>445.62792000000002</v>
      </c>
      <c r="F34" s="50">
        <v>445.62792000000002</v>
      </c>
      <c r="G34" s="52"/>
    </row>
    <row r="35" spans="2:7">
      <c r="B35" s="51"/>
      <c r="C35" s="48" t="s">
        <v>24</v>
      </c>
      <c r="D35" s="48"/>
      <c r="E35" s="49">
        <v>305.25041454545419</v>
      </c>
      <c r="F35" s="50">
        <v>305.25041454545419</v>
      </c>
      <c r="G35" s="52"/>
    </row>
    <row r="36" spans="2:7">
      <c r="B36" s="44"/>
      <c r="C36" s="48" t="s">
        <v>25</v>
      </c>
      <c r="D36" s="48"/>
      <c r="E36" s="49">
        <v>0</v>
      </c>
      <c r="F36" s="50">
        <v>0</v>
      </c>
      <c r="G36" s="52"/>
    </row>
    <row r="37" spans="2:7">
      <c r="B37" s="44"/>
      <c r="C37" s="53" t="s">
        <v>26</v>
      </c>
      <c r="D37" s="53"/>
      <c r="E37" s="36">
        <v>1486.6825745454535</v>
      </c>
      <c r="F37" s="54">
        <v>1486.6825745454535</v>
      </c>
      <c r="G37" s="52"/>
    </row>
    <row r="38" spans="2:7">
      <c r="B38" s="44">
        <v>122</v>
      </c>
      <c r="C38" s="39" t="s">
        <v>27</v>
      </c>
      <c r="D38" s="39"/>
      <c r="E38" s="36"/>
      <c r="F38" s="50"/>
      <c r="G38" s="55"/>
    </row>
    <row r="39" spans="2:7">
      <c r="B39" s="44"/>
      <c r="C39" s="48" t="s">
        <v>28</v>
      </c>
      <c r="D39" s="48"/>
      <c r="E39" s="49">
        <v>176.17848000000001</v>
      </c>
      <c r="F39" s="50">
        <v>176.17848000000001</v>
      </c>
      <c r="G39" s="52"/>
    </row>
    <row r="40" spans="2:7">
      <c r="B40" s="44"/>
      <c r="C40" s="48" t="s">
        <v>29</v>
      </c>
      <c r="D40" s="48"/>
      <c r="E40" s="49">
        <v>0</v>
      </c>
      <c r="F40" s="50">
        <v>0</v>
      </c>
      <c r="G40" s="52"/>
    </row>
    <row r="41" spans="2:7">
      <c r="B41" s="44"/>
      <c r="C41" s="48" t="s">
        <v>30</v>
      </c>
      <c r="D41" s="48"/>
      <c r="E41" s="49">
        <v>233.64846545454537</v>
      </c>
      <c r="F41" s="50">
        <v>233.64846545454537</v>
      </c>
      <c r="G41" s="52"/>
    </row>
    <row r="42" spans="2:7">
      <c r="B42" s="44"/>
      <c r="C42" s="48" t="s">
        <v>31</v>
      </c>
      <c r="D42" s="48"/>
      <c r="E42" s="49">
        <v>41.453760000000003</v>
      </c>
      <c r="F42" s="50">
        <v>41.453760000000003</v>
      </c>
      <c r="G42" s="52"/>
    </row>
    <row r="43" spans="2:7">
      <c r="B43" s="44"/>
      <c r="C43" s="48" t="s">
        <v>32</v>
      </c>
      <c r="D43" s="48"/>
      <c r="E43" s="49">
        <v>165.81504000000001</v>
      </c>
      <c r="F43" s="50">
        <v>165.81504000000001</v>
      </c>
      <c r="G43" s="52"/>
    </row>
    <row r="44" spans="2:7">
      <c r="B44" s="44"/>
      <c r="C44" s="48" t="s">
        <v>33</v>
      </c>
      <c r="D44" s="48"/>
      <c r="E44" s="49">
        <v>0</v>
      </c>
      <c r="F44" s="50">
        <v>0</v>
      </c>
      <c r="G44" s="52"/>
    </row>
    <row r="45" spans="2:7">
      <c r="B45" s="44"/>
      <c r="C45" s="48" t="s">
        <v>34</v>
      </c>
      <c r="D45" s="48"/>
      <c r="E45" s="49">
        <v>0</v>
      </c>
      <c r="F45" s="50">
        <v>0</v>
      </c>
      <c r="G45" s="52"/>
    </row>
    <row r="46" spans="2:7">
      <c r="B46" s="44"/>
      <c r="C46" s="48" t="s">
        <v>35</v>
      </c>
      <c r="D46" s="48"/>
      <c r="E46" s="49">
        <v>0</v>
      </c>
      <c r="F46" s="50">
        <v>0</v>
      </c>
      <c r="G46" s="52"/>
    </row>
    <row r="47" spans="2:7">
      <c r="B47" s="44"/>
      <c r="C47" s="53" t="s">
        <v>26</v>
      </c>
      <c r="D47" s="53"/>
      <c r="E47" s="36">
        <v>617.09574545454529</v>
      </c>
      <c r="F47" s="54">
        <v>617.09574545454529</v>
      </c>
      <c r="G47" s="52"/>
    </row>
    <row r="48" spans="2:7">
      <c r="B48" s="44">
        <v>123</v>
      </c>
      <c r="C48" s="39" t="s">
        <v>36</v>
      </c>
      <c r="D48" s="39"/>
      <c r="E48" s="56"/>
      <c r="F48" s="57"/>
      <c r="G48" s="52"/>
    </row>
    <row r="49" spans="2:7">
      <c r="B49" s="44"/>
      <c r="C49" s="48" t="s">
        <v>37</v>
      </c>
      <c r="D49" s="48"/>
      <c r="E49" s="49">
        <v>150.7409454545454</v>
      </c>
      <c r="F49" s="50">
        <v>150.7409454545454</v>
      </c>
      <c r="G49" s="52"/>
    </row>
    <row r="50" spans="2:7">
      <c r="B50" s="44"/>
      <c r="C50" s="48" t="s">
        <v>38</v>
      </c>
      <c r="D50" s="48"/>
      <c r="E50" s="49">
        <v>0</v>
      </c>
      <c r="F50" s="50">
        <v>0</v>
      </c>
      <c r="G50" s="52"/>
    </row>
    <row r="51" spans="2:7">
      <c r="B51" s="44"/>
      <c r="C51" s="48" t="s">
        <v>39</v>
      </c>
      <c r="D51" s="48"/>
      <c r="E51" s="49">
        <v>177.1206109090908</v>
      </c>
      <c r="F51" s="50">
        <v>177.1206109090908</v>
      </c>
      <c r="G51" s="52"/>
    </row>
    <row r="52" spans="2:7">
      <c r="B52" s="44"/>
      <c r="C52" s="48" t="s">
        <v>40</v>
      </c>
      <c r="D52" s="48"/>
      <c r="E52" s="49">
        <v>135.66685090909078</v>
      </c>
      <c r="F52" s="50">
        <v>135.66685090909078</v>
      </c>
      <c r="G52" s="52"/>
    </row>
    <row r="53" spans="2:7">
      <c r="B53" s="44"/>
      <c r="C53" s="48" t="s">
        <v>41</v>
      </c>
      <c r="D53" s="48"/>
      <c r="E53" s="49">
        <v>0</v>
      </c>
      <c r="F53" s="50">
        <v>0</v>
      </c>
      <c r="G53" s="52"/>
    </row>
    <row r="54" spans="2:7">
      <c r="B54" s="44"/>
      <c r="C54" s="48" t="s">
        <v>42</v>
      </c>
      <c r="D54" s="48"/>
      <c r="E54" s="49">
        <v>238.35912000000002</v>
      </c>
      <c r="F54" s="50">
        <v>238.35912000000002</v>
      </c>
      <c r="G54" s="52"/>
    </row>
    <row r="55" spans="2:7">
      <c r="B55" s="44"/>
      <c r="C55" s="53" t="s">
        <v>26</v>
      </c>
      <c r="D55" s="53"/>
      <c r="E55" s="36">
        <v>701.88752727272697</v>
      </c>
      <c r="F55" s="54">
        <v>701.88752727272697</v>
      </c>
      <c r="G55" s="52"/>
    </row>
    <row r="56" spans="2:7">
      <c r="B56" s="44">
        <v>124</v>
      </c>
      <c r="C56" s="39" t="s">
        <v>43</v>
      </c>
      <c r="D56" s="39"/>
      <c r="E56" s="56"/>
      <c r="F56" s="57"/>
      <c r="G56" s="52"/>
    </row>
    <row r="57" spans="2:7">
      <c r="B57" s="44"/>
      <c r="C57" s="48" t="s">
        <v>44</v>
      </c>
      <c r="D57" s="48"/>
      <c r="E57" s="49">
        <v>448.45431272727234</v>
      </c>
      <c r="F57" s="50">
        <v>448.45431272727234</v>
      </c>
      <c r="G57" s="52"/>
    </row>
    <row r="58" spans="2:7">
      <c r="B58" s="44"/>
      <c r="C58" s="48" t="s">
        <v>45</v>
      </c>
      <c r="D58" s="48"/>
      <c r="E58" s="49">
        <v>0</v>
      </c>
      <c r="F58" s="50">
        <v>0</v>
      </c>
      <c r="G58" s="52"/>
    </row>
    <row r="59" spans="2:7">
      <c r="B59" s="44"/>
      <c r="C59" s="48" t="s">
        <v>46</v>
      </c>
      <c r="D59" s="48"/>
      <c r="E59" s="49">
        <v>0</v>
      </c>
      <c r="F59" s="50">
        <v>0</v>
      </c>
      <c r="G59" s="52"/>
    </row>
    <row r="60" spans="2:7">
      <c r="B60" s="44"/>
      <c r="C60" s="53" t="s">
        <v>26</v>
      </c>
      <c r="D60" s="53"/>
      <c r="E60" s="36">
        <v>448.45431272727234</v>
      </c>
      <c r="F60" s="54">
        <v>448.45431272727234</v>
      </c>
      <c r="G60" s="52"/>
    </row>
    <row r="61" spans="2:7">
      <c r="B61" s="44">
        <v>125</v>
      </c>
      <c r="C61" s="39" t="s">
        <v>47</v>
      </c>
      <c r="D61" s="39"/>
      <c r="E61" s="36"/>
      <c r="F61" s="50"/>
      <c r="G61" s="52"/>
    </row>
    <row r="62" spans="2:7">
      <c r="B62" s="44"/>
      <c r="C62" s="48" t="s">
        <v>48</v>
      </c>
      <c r="D62" s="48"/>
      <c r="E62" s="58">
        <v>0</v>
      </c>
      <c r="F62" s="50">
        <v>0</v>
      </c>
      <c r="G62" s="52"/>
    </row>
    <row r="63" spans="2:7">
      <c r="B63" s="44"/>
      <c r="C63" s="48" t="s">
        <v>49</v>
      </c>
      <c r="D63" s="48"/>
      <c r="E63" s="58">
        <v>0</v>
      </c>
      <c r="F63" s="50">
        <v>0</v>
      </c>
      <c r="G63" s="52"/>
    </row>
    <row r="64" spans="2:7">
      <c r="B64" s="44"/>
      <c r="C64" s="48" t="s">
        <v>50</v>
      </c>
      <c r="D64" s="48"/>
      <c r="E64" s="58">
        <v>725.44080000000008</v>
      </c>
      <c r="F64" s="50">
        <v>725.44080000000008</v>
      </c>
      <c r="G64" s="52"/>
    </row>
    <row r="65" spans="2:7">
      <c r="B65" s="44"/>
      <c r="C65" s="48" t="s">
        <v>51</v>
      </c>
      <c r="D65" s="48"/>
      <c r="E65" s="58">
        <v>165.81504000000001</v>
      </c>
      <c r="F65" s="50">
        <v>165.81504000000001</v>
      </c>
      <c r="G65" s="52"/>
    </row>
    <row r="66" spans="2:7">
      <c r="B66" s="44"/>
      <c r="C66" s="53" t="s">
        <v>26</v>
      </c>
      <c r="D66" s="53"/>
      <c r="E66" s="56">
        <v>891.25584000000003</v>
      </c>
      <c r="F66" s="54">
        <v>891.25584000000003</v>
      </c>
      <c r="G66" s="52"/>
    </row>
    <row r="67" spans="2:7">
      <c r="B67" s="44">
        <v>126</v>
      </c>
      <c r="C67" s="39" t="s">
        <v>52</v>
      </c>
      <c r="D67" s="39"/>
      <c r="E67" s="56"/>
      <c r="F67" s="50"/>
      <c r="G67" s="52"/>
    </row>
    <row r="68" spans="2:7">
      <c r="B68" s="44"/>
      <c r="C68" s="48" t="s">
        <v>53</v>
      </c>
      <c r="D68" s="48"/>
      <c r="E68" s="49">
        <v>0</v>
      </c>
      <c r="F68" s="50">
        <v>0</v>
      </c>
      <c r="G68" s="52"/>
    </row>
    <row r="69" spans="2:7">
      <c r="B69" s="44"/>
      <c r="C69" s="48" t="s">
        <v>54</v>
      </c>
      <c r="D69" s="48"/>
      <c r="E69" s="49">
        <v>0</v>
      </c>
      <c r="F69" s="50"/>
      <c r="G69" s="52"/>
    </row>
    <row r="70" spans="2:7">
      <c r="B70" s="44"/>
      <c r="C70" s="48" t="s">
        <v>55</v>
      </c>
      <c r="D70" s="48"/>
      <c r="E70" s="49">
        <v>0</v>
      </c>
      <c r="F70" s="50"/>
      <c r="G70" s="52"/>
    </row>
    <row r="71" spans="2:7">
      <c r="B71" s="44"/>
      <c r="C71" s="48" t="s">
        <v>56</v>
      </c>
      <c r="D71" s="48"/>
      <c r="E71" s="49">
        <v>0</v>
      </c>
      <c r="F71" s="57"/>
      <c r="G71" s="52"/>
    </row>
    <row r="72" spans="2:7">
      <c r="B72" s="44"/>
      <c r="C72" s="53" t="s">
        <v>26</v>
      </c>
      <c r="D72" s="53"/>
      <c r="E72" s="56">
        <v>0</v>
      </c>
      <c r="F72" s="54">
        <v>0</v>
      </c>
      <c r="G72" s="52"/>
    </row>
    <row r="73" spans="2:7">
      <c r="B73" s="44">
        <v>127</v>
      </c>
      <c r="C73" s="39" t="s">
        <v>57</v>
      </c>
      <c r="D73" s="39"/>
      <c r="E73" s="56"/>
      <c r="F73" s="54"/>
      <c r="G73" s="52"/>
    </row>
    <row r="74" spans="2:7">
      <c r="B74" s="44"/>
      <c r="C74" s="48" t="s">
        <v>58</v>
      </c>
      <c r="D74" s="48"/>
      <c r="E74" s="49">
        <v>0</v>
      </c>
      <c r="F74" s="50">
        <v>0</v>
      </c>
      <c r="G74" s="52"/>
    </row>
    <row r="75" spans="2:7">
      <c r="B75" s="44"/>
      <c r="C75" s="48" t="s">
        <v>59</v>
      </c>
      <c r="D75" s="48"/>
      <c r="E75" s="49">
        <v>0</v>
      </c>
      <c r="F75" s="50">
        <v>0</v>
      </c>
      <c r="G75" s="52"/>
    </row>
    <row r="76" spans="2:7">
      <c r="B76" s="44"/>
      <c r="C76" s="48" t="s">
        <v>60</v>
      </c>
      <c r="D76" s="48"/>
      <c r="E76" s="49">
        <v>0</v>
      </c>
      <c r="F76" s="50">
        <v>0</v>
      </c>
      <c r="G76" s="52"/>
    </row>
    <row r="77" spans="2:7">
      <c r="B77" s="44"/>
      <c r="C77" s="59" t="s">
        <v>61</v>
      </c>
      <c r="D77" s="59"/>
      <c r="E77" s="49">
        <v>0</v>
      </c>
      <c r="F77" s="50">
        <v>0</v>
      </c>
      <c r="G77" s="52"/>
    </row>
    <row r="78" spans="2:7">
      <c r="B78" s="44"/>
      <c r="C78" s="53" t="s">
        <v>26</v>
      </c>
      <c r="D78" s="53"/>
      <c r="E78" s="56">
        <v>0</v>
      </c>
      <c r="F78" s="54">
        <v>0</v>
      </c>
      <c r="G78" s="52"/>
    </row>
    <row r="79" spans="2:7">
      <c r="B79" s="44">
        <v>128</v>
      </c>
      <c r="C79" s="39" t="s">
        <v>62</v>
      </c>
      <c r="D79" s="39"/>
      <c r="E79" s="56"/>
      <c r="F79" s="54"/>
      <c r="G79" s="52"/>
    </row>
    <row r="80" spans="2:7">
      <c r="B80" s="44"/>
      <c r="C80" s="48" t="s">
        <v>63</v>
      </c>
      <c r="D80" s="48"/>
      <c r="E80" s="49">
        <v>0</v>
      </c>
      <c r="F80" s="50">
        <v>0</v>
      </c>
      <c r="G80" s="52"/>
    </row>
    <row r="81" spans="2:7">
      <c r="B81" s="44"/>
      <c r="C81" s="48" t="s">
        <v>64</v>
      </c>
      <c r="D81" s="48"/>
      <c r="E81" s="49">
        <v>0</v>
      </c>
      <c r="F81" s="50">
        <v>0</v>
      </c>
      <c r="G81" s="52"/>
    </row>
    <row r="82" spans="2:7">
      <c r="B82" s="44"/>
      <c r="C82" s="48" t="s">
        <v>65</v>
      </c>
      <c r="D82" s="48"/>
      <c r="E82" s="49">
        <v>0</v>
      </c>
      <c r="F82" s="50">
        <v>0</v>
      </c>
      <c r="G82" s="52"/>
    </row>
    <row r="83" spans="2:7">
      <c r="B83" s="44"/>
      <c r="C83" s="48" t="s">
        <v>66</v>
      </c>
      <c r="D83" s="48"/>
      <c r="E83" s="49">
        <v>0</v>
      </c>
      <c r="F83" s="50">
        <v>0</v>
      </c>
      <c r="G83" s="52"/>
    </row>
    <row r="84" spans="2:7">
      <c r="B84" s="44"/>
      <c r="C84" s="48" t="s">
        <v>67</v>
      </c>
      <c r="D84" s="48"/>
      <c r="E84" s="49">
        <v>0</v>
      </c>
      <c r="F84" s="50">
        <v>0</v>
      </c>
      <c r="G84" s="52"/>
    </row>
    <row r="85" spans="2:7">
      <c r="B85" s="44"/>
      <c r="C85" s="53" t="s">
        <v>26</v>
      </c>
      <c r="D85" s="53"/>
      <c r="E85" s="56">
        <v>0</v>
      </c>
      <c r="F85" s="54">
        <v>0</v>
      </c>
      <c r="G85" s="52"/>
    </row>
    <row r="86" spans="2:7">
      <c r="B86" s="44">
        <v>135</v>
      </c>
      <c r="C86" s="39" t="s">
        <v>68</v>
      </c>
      <c r="D86" s="39"/>
      <c r="E86" s="56"/>
      <c r="F86" s="50"/>
      <c r="G86" s="52"/>
    </row>
    <row r="87" spans="2:7">
      <c r="B87" s="44"/>
      <c r="C87" s="48" t="s">
        <v>69</v>
      </c>
      <c r="D87" s="48"/>
      <c r="E87" s="49">
        <v>0</v>
      </c>
      <c r="F87" s="50">
        <v>0</v>
      </c>
      <c r="G87" s="52"/>
    </row>
    <row r="88" spans="2:7">
      <c r="B88" s="44"/>
      <c r="C88" s="48" t="s">
        <v>70</v>
      </c>
      <c r="D88" s="48"/>
      <c r="E88" s="49">
        <v>0</v>
      </c>
      <c r="F88" s="50">
        <v>0</v>
      </c>
      <c r="G88" s="52"/>
    </row>
    <row r="89" spans="2:7">
      <c r="B89" s="44"/>
      <c r="C89" s="48" t="s">
        <v>71</v>
      </c>
      <c r="D89" s="48"/>
      <c r="E89" s="49">
        <v>0</v>
      </c>
      <c r="F89" s="50">
        <v>0</v>
      </c>
      <c r="G89" s="52"/>
    </row>
    <row r="90" spans="2:7">
      <c r="B90" s="44"/>
      <c r="C90" s="48" t="s">
        <v>72</v>
      </c>
      <c r="D90" s="48"/>
      <c r="E90" s="49">
        <v>0</v>
      </c>
      <c r="F90" s="50">
        <v>0</v>
      </c>
      <c r="G90" s="52"/>
    </row>
    <row r="91" spans="2:7">
      <c r="B91" s="44"/>
      <c r="C91" s="48" t="s">
        <v>73</v>
      </c>
      <c r="D91" s="48"/>
      <c r="E91" s="49">
        <v>0</v>
      </c>
      <c r="F91" s="50">
        <v>0</v>
      </c>
      <c r="G91" s="52"/>
    </row>
    <row r="92" spans="2:7">
      <c r="B92" s="44"/>
      <c r="C92" s="48" t="s">
        <v>74</v>
      </c>
      <c r="D92" s="48"/>
      <c r="E92" s="49">
        <v>0</v>
      </c>
      <c r="F92" s="50">
        <v>0</v>
      </c>
      <c r="G92" s="52"/>
    </row>
    <row r="93" spans="2:7">
      <c r="B93" s="44"/>
      <c r="C93" s="48" t="s">
        <v>75</v>
      </c>
      <c r="D93" s="48"/>
      <c r="E93" s="49">
        <v>0</v>
      </c>
      <c r="F93" s="50">
        <v>0</v>
      </c>
      <c r="G93" s="52"/>
    </row>
    <row r="94" spans="2:7">
      <c r="B94" s="44"/>
      <c r="C94" s="48" t="s">
        <v>76</v>
      </c>
      <c r="D94" s="48"/>
      <c r="E94" s="49">
        <v>0</v>
      </c>
      <c r="F94" s="50">
        <v>0</v>
      </c>
      <c r="G94" s="52"/>
    </row>
    <row r="95" spans="2:7">
      <c r="B95" s="44"/>
      <c r="C95" s="48" t="s">
        <v>77</v>
      </c>
      <c r="D95" s="48"/>
      <c r="E95" s="49">
        <v>0</v>
      </c>
      <c r="F95" s="50">
        <v>0</v>
      </c>
      <c r="G95" s="52"/>
    </row>
    <row r="96" spans="2:7">
      <c r="B96" s="44"/>
      <c r="C96" s="53" t="s">
        <v>26</v>
      </c>
      <c r="D96" s="53"/>
      <c r="E96" s="56">
        <v>0</v>
      </c>
      <c r="F96" s="54">
        <v>0</v>
      </c>
      <c r="G96" s="52"/>
    </row>
    <row r="97" spans="2:7">
      <c r="B97" s="44">
        <v>136</v>
      </c>
      <c r="C97" s="39" t="s">
        <v>78</v>
      </c>
      <c r="D97" s="39"/>
      <c r="E97" s="56"/>
      <c r="F97" s="50"/>
      <c r="G97" s="52"/>
    </row>
    <row r="98" spans="2:7">
      <c r="B98" s="44"/>
      <c r="C98" s="48" t="s">
        <v>79</v>
      </c>
      <c r="D98" s="48"/>
      <c r="E98" s="49">
        <v>0</v>
      </c>
      <c r="F98" s="50">
        <v>0</v>
      </c>
      <c r="G98" s="52"/>
    </row>
    <row r="99" spans="2:7">
      <c r="B99" s="44"/>
      <c r="C99" s="48" t="s">
        <v>80</v>
      </c>
      <c r="D99" s="48"/>
      <c r="E99" s="49">
        <v>0</v>
      </c>
      <c r="F99" s="50">
        <v>0</v>
      </c>
      <c r="G99" s="52"/>
    </row>
    <row r="100" spans="2:7">
      <c r="B100" s="44"/>
      <c r="C100" s="48" t="s">
        <v>81</v>
      </c>
      <c r="D100" s="48"/>
      <c r="E100" s="49">
        <v>0</v>
      </c>
      <c r="F100" s="50">
        <v>0</v>
      </c>
      <c r="G100" s="52"/>
    </row>
    <row r="101" spans="2:7">
      <c r="B101" s="44"/>
      <c r="C101" s="48" t="s">
        <v>82</v>
      </c>
      <c r="D101" s="48"/>
      <c r="E101" s="49">
        <v>0</v>
      </c>
      <c r="F101" s="50">
        <v>0</v>
      </c>
      <c r="G101" s="52"/>
    </row>
    <row r="102" spans="2:7">
      <c r="B102" s="44"/>
      <c r="C102" s="48" t="s">
        <v>83</v>
      </c>
      <c r="D102" s="48"/>
      <c r="E102" s="49">
        <v>0</v>
      </c>
      <c r="F102" s="50">
        <v>0</v>
      </c>
      <c r="G102" s="52"/>
    </row>
    <row r="103" spans="2:7">
      <c r="B103" s="44"/>
      <c r="C103" s="48" t="s">
        <v>84</v>
      </c>
      <c r="D103" s="48"/>
      <c r="E103" s="49">
        <v>0</v>
      </c>
      <c r="F103" s="50">
        <v>0</v>
      </c>
      <c r="G103" s="52"/>
    </row>
    <row r="104" spans="2:7">
      <c r="B104" s="44"/>
      <c r="C104" s="53" t="s">
        <v>26</v>
      </c>
      <c r="D104" s="53"/>
      <c r="E104" s="56">
        <v>0</v>
      </c>
      <c r="F104" s="54">
        <v>0</v>
      </c>
      <c r="G104" s="52"/>
    </row>
    <row r="105" spans="2:7">
      <c r="B105" s="44">
        <v>142</v>
      </c>
      <c r="C105" s="39" t="s">
        <v>85</v>
      </c>
      <c r="D105" s="39"/>
      <c r="E105" s="56"/>
      <c r="F105" s="50"/>
      <c r="G105" s="52"/>
    </row>
    <row r="106" spans="2:7">
      <c r="B106" s="44"/>
      <c r="C106" s="48" t="s">
        <v>86</v>
      </c>
      <c r="D106" s="48"/>
      <c r="E106" s="49">
        <v>0</v>
      </c>
      <c r="F106" s="50">
        <v>0</v>
      </c>
      <c r="G106" s="52"/>
    </row>
    <row r="107" spans="2:7">
      <c r="B107" s="44"/>
      <c r="C107" s="48" t="s">
        <v>87</v>
      </c>
      <c r="D107" s="48"/>
      <c r="E107" s="49">
        <v>0</v>
      </c>
      <c r="F107" s="50">
        <v>0</v>
      </c>
      <c r="G107" s="52"/>
    </row>
    <row r="108" spans="2:7">
      <c r="B108" s="44"/>
      <c r="C108" s="53" t="s">
        <v>26</v>
      </c>
      <c r="D108" s="53"/>
      <c r="E108" s="56">
        <v>0</v>
      </c>
      <c r="F108" s="54">
        <v>0</v>
      </c>
      <c r="G108" s="52"/>
    </row>
    <row r="109" spans="2:7">
      <c r="B109" s="44">
        <v>144</v>
      </c>
      <c r="C109" s="39" t="s">
        <v>88</v>
      </c>
      <c r="D109" s="39"/>
      <c r="E109" s="49">
        <v>0</v>
      </c>
      <c r="F109" s="54">
        <v>0</v>
      </c>
      <c r="G109" s="52"/>
    </row>
    <row r="110" spans="2:7">
      <c r="B110" s="44">
        <v>221</v>
      </c>
      <c r="C110" s="39" t="s">
        <v>89</v>
      </c>
      <c r="D110" s="39"/>
      <c r="E110" s="49">
        <v>0</v>
      </c>
      <c r="F110" s="54">
        <v>0</v>
      </c>
      <c r="G110" s="52"/>
    </row>
    <row r="111" spans="2:7">
      <c r="B111" s="44">
        <v>222</v>
      </c>
      <c r="C111" s="39" t="s">
        <v>90</v>
      </c>
      <c r="D111" s="39"/>
      <c r="E111" s="49">
        <v>0</v>
      </c>
      <c r="F111" s="54">
        <v>0</v>
      </c>
      <c r="G111" s="52"/>
    </row>
    <row r="112" spans="2:7">
      <c r="B112" s="44">
        <v>224</v>
      </c>
      <c r="C112" s="39" t="s">
        <v>91</v>
      </c>
      <c r="D112" s="39"/>
      <c r="E112" s="49">
        <v>0</v>
      </c>
      <c r="F112" s="54">
        <v>0</v>
      </c>
      <c r="G112" s="52"/>
    </row>
    <row r="113" spans="2:7">
      <c r="B113" s="44">
        <v>225</v>
      </c>
      <c r="C113" s="39" t="s">
        <v>92</v>
      </c>
      <c r="D113" s="39"/>
      <c r="E113" s="49">
        <v>0</v>
      </c>
      <c r="F113" s="54">
        <v>0</v>
      </c>
      <c r="G113" s="38"/>
    </row>
    <row r="114" spans="2:7">
      <c r="B114" s="44">
        <v>226</v>
      </c>
      <c r="C114" s="39" t="s">
        <v>93</v>
      </c>
      <c r="D114" s="39"/>
      <c r="E114" s="49">
        <v>0</v>
      </c>
      <c r="F114" s="54">
        <v>0</v>
      </c>
      <c r="G114" s="60"/>
    </row>
    <row r="115" spans="2:7" ht="15.75" thickBot="1">
      <c r="B115" s="61"/>
      <c r="C115" s="62" t="s">
        <v>94</v>
      </c>
      <c r="D115" s="62"/>
      <c r="E115" s="90">
        <v>0</v>
      </c>
      <c r="F115" s="63">
        <v>0</v>
      </c>
      <c r="G115" s="38"/>
    </row>
    <row r="116" spans="2:7">
      <c r="B116" s="64"/>
      <c r="C116" s="65" t="s">
        <v>95</v>
      </c>
      <c r="D116" s="66"/>
      <c r="E116" s="91">
        <v>4145.3759999999975</v>
      </c>
      <c r="F116" s="68">
        <v>4145.3759999999975</v>
      </c>
      <c r="G116" s="69"/>
    </row>
    <row r="117" spans="2:7" ht="15.75" thickBot="1">
      <c r="B117" s="64"/>
      <c r="C117" s="70"/>
      <c r="D117" s="71"/>
      <c r="E117" s="92"/>
      <c r="F117" s="73"/>
      <c r="G117" s="69"/>
    </row>
    <row r="118" spans="2:7" ht="15.75" thickBot="1">
      <c r="B118" s="64"/>
      <c r="C118" s="70" t="s">
        <v>96</v>
      </c>
      <c r="D118" s="71"/>
      <c r="E118" s="93">
        <v>14540.2111927273</v>
      </c>
      <c r="F118" s="75">
        <v>14540.2111927273</v>
      </c>
      <c r="G118" s="76"/>
    </row>
    <row r="119" spans="2:7" ht="8.25" customHeight="1" thickBot="1">
      <c r="B119" s="77"/>
      <c r="C119" s="81"/>
      <c r="D119" s="81"/>
      <c r="E119" s="78"/>
      <c r="F119" s="78"/>
      <c r="G119" s="79"/>
    </row>
    <row r="120" spans="2:7">
      <c r="B120" s="83"/>
      <c r="C120" s="84"/>
      <c r="D120" s="84"/>
      <c r="E120" s="85"/>
      <c r="F120" s="83"/>
      <c r="G120" s="85"/>
    </row>
    <row r="121" spans="2:7" ht="6" customHeight="1" thickBot="1"/>
    <row r="122" spans="2:7">
      <c r="B122" s="1"/>
      <c r="C122" s="2"/>
      <c r="D122" s="2"/>
      <c r="E122" s="2"/>
      <c r="F122" s="2"/>
      <c r="G122" s="3"/>
    </row>
    <row r="123" spans="2:7">
      <c r="B123" s="4"/>
      <c r="C123" s="5"/>
      <c r="D123" s="5"/>
      <c r="E123" s="5"/>
      <c r="F123" s="5"/>
      <c r="G123" s="6"/>
    </row>
    <row r="124" spans="2:7">
      <c r="B124" s="4"/>
      <c r="C124" s="5"/>
      <c r="D124" s="5"/>
      <c r="E124" s="5"/>
      <c r="F124" s="5"/>
      <c r="G124" s="6"/>
    </row>
    <row r="125" spans="2:7">
      <c r="B125" s="4"/>
      <c r="C125" s="5"/>
      <c r="D125" s="5"/>
      <c r="E125" s="5"/>
      <c r="F125" s="5"/>
      <c r="G125" s="6"/>
    </row>
    <row r="126" spans="2:7">
      <c r="B126" s="4"/>
      <c r="C126" s="5"/>
      <c r="D126" s="5"/>
      <c r="E126" s="5"/>
      <c r="F126" s="5"/>
      <c r="G126" s="6"/>
    </row>
    <row r="127" spans="2:7" ht="16.5" customHeight="1">
      <c r="B127" s="4"/>
      <c r="C127" s="5"/>
      <c r="D127" s="5"/>
      <c r="E127" s="5"/>
      <c r="F127" s="5"/>
      <c r="G127" s="6"/>
    </row>
    <row r="128" spans="2:7" ht="22.5" customHeight="1" thickBot="1">
      <c r="B128" s="4"/>
      <c r="C128" s="95" t="s">
        <v>0</v>
      </c>
      <c r="D128" s="95"/>
      <c r="E128" s="95"/>
      <c r="F128" s="5"/>
      <c r="G128" s="6"/>
    </row>
    <row r="129" spans="1:7" ht="21" thickTop="1">
      <c r="B129" s="4"/>
      <c r="C129" s="7"/>
      <c r="D129" s="7"/>
      <c r="E129" s="5"/>
      <c r="F129" s="5"/>
      <c r="G129" s="6"/>
    </row>
    <row r="130" spans="1:7">
      <c r="B130" s="8" t="s">
        <v>1</v>
      </c>
      <c r="C130" s="9" t="s">
        <v>97</v>
      </c>
      <c r="D130" s="5"/>
      <c r="E130" s="10" t="s">
        <v>2</v>
      </c>
      <c r="F130" s="9" t="s">
        <v>98</v>
      </c>
      <c r="G130" s="6"/>
    </row>
    <row r="131" spans="1:7" ht="3.75" customHeight="1">
      <c r="A131" s="80"/>
      <c r="B131" s="5"/>
      <c r="C131" s="5"/>
      <c r="D131" s="5"/>
      <c r="E131" s="11"/>
      <c r="F131" s="5"/>
      <c r="G131" s="6"/>
    </row>
    <row r="132" spans="1:7">
      <c r="A132" s="80"/>
      <c r="B132" s="12" t="s">
        <v>3</v>
      </c>
      <c r="C132" s="9" t="s">
        <v>99</v>
      </c>
      <c r="D132" s="5"/>
      <c r="E132" s="10" t="s">
        <v>4</v>
      </c>
      <c r="F132" s="82" t="s">
        <v>100</v>
      </c>
      <c r="G132" s="6"/>
    </row>
    <row r="133" spans="1:7" ht="3.75" customHeight="1">
      <c r="A133" s="80"/>
      <c r="B133" s="5"/>
      <c r="C133" s="5"/>
      <c r="D133" s="5"/>
      <c r="E133" s="11"/>
      <c r="F133" s="5"/>
      <c r="G133" s="6"/>
    </row>
    <row r="134" spans="1:7">
      <c r="A134" s="80"/>
      <c r="B134" s="10" t="s">
        <v>5</v>
      </c>
      <c r="C134" s="9" t="s">
        <v>101</v>
      </c>
      <c r="D134" s="5"/>
      <c r="E134" s="10" t="s">
        <v>6</v>
      </c>
      <c r="F134" s="9" t="s">
        <v>107</v>
      </c>
      <c r="G134" s="6"/>
    </row>
    <row r="135" spans="1:7" ht="4.5" customHeight="1">
      <c r="A135" s="80"/>
      <c r="B135" s="13"/>
      <c r="C135" s="5"/>
      <c r="D135" s="5"/>
      <c r="E135" s="11"/>
      <c r="F135" s="5"/>
      <c r="G135" s="6"/>
    </row>
    <row r="136" spans="1:7">
      <c r="A136" s="80"/>
      <c r="B136" s="10" t="s">
        <v>7</v>
      </c>
      <c r="C136" s="9" t="s">
        <v>112</v>
      </c>
      <c r="D136" s="5"/>
      <c r="E136" s="11"/>
      <c r="F136" s="5"/>
      <c r="G136" s="6"/>
    </row>
    <row r="137" spans="1:7" ht="3.75" customHeight="1">
      <c r="A137" s="80"/>
      <c r="B137" s="5"/>
      <c r="C137" s="5"/>
      <c r="D137" s="5"/>
      <c r="E137" s="11"/>
      <c r="F137" s="5"/>
      <c r="G137" s="6"/>
    </row>
    <row r="138" spans="1:7">
      <c r="B138" s="14" t="s">
        <v>8</v>
      </c>
      <c r="C138" s="15" t="s">
        <v>104</v>
      </c>
      <c r="D138" s="5"/>
      <c r="E138" s="86" t="s">
        <v>109</v>
      </c>
      <c r="F138" s="87">
        <v>45323</v>
      </c>
      <c r="G138" s="6"/>
    </row>
    <row r="139" spans="1:7">
      <c r="B139" s="16" t="s">
        <v>9</v>
      </c>
      <c r="C139" s="17" t="s">
        <v>130</v>
      </c>
      <c r="D139" s="5"/>
      <c r="E139" s="88" t="s">
        <v>110</v>
      </c>
      <c r="F139" s="89">
        <v>45351</v>
      </c>
      <c r="G139" s="18"/>
    </row>
    <row r="140" spans="1:7" ht="15.75" thickBot="1">
      <c r="B140" s="4"/>
      <c r="C140" s="19"/>
      <c r="D140" s="19"/>
      <c r="E140" s="20"/>
      <c r="F140" s="21"/>
      <c r="G140" s="18"/>
    </row>
    <row r="141" spans="1:7" ht="18.75" thickBot="1">
      <c r="B141" s="4"/>
      <c r="C141" s="22" t="s">
        <v>10</v>
      </c>
      <c r="D141" s="23"/>
      <c r="E141" s="24"/>
      <c r="F141" s="25" t="s">
        <v>11</v>
      </c>
      <c r="G141" s="18"/>
    </row>
    <row r="142" spans="1:7">
      <c r="B142" s="4"/>
      <c r="C142" s="26" t="s">
        <v>12</v>
      </c>
      <c r="D142" s="26"/>
      <c r="E142" s="27">
        <v>14540.2111927273</v>
      </c>
      <c r="F142" s="28">
        <v>14540.2111927273</v>
      </c>
      <c r="G142" s="29"/>
    </row>
    <row r="143" spans="1:7">
      <c r="B143" s="30">
        <v>143</v>
      </c>
      <c r="C143" s="31" t="s">
        <v>13</v>
      </c>
      <c r="D143" s="31"/>
      <c r="E143" s="27">
        <v>5596.0880000000006</v>
      </c>
      <c r="F143" s="32">
        <v>5596.0880000000006</v>
      </c>
      <c r="G143" s="33"/>
    </row>
    <row r="144" spans="1:7">
      <c r="B144" s="30"/>
      <c r="C144" s="34" t="s">
        <v>14</v>
      </c>
      <c r="D144" s="34"/>
      <c r="E144" s="27">
        <v>0</v>
      </c>
      <c r="F144" s="32">
        <v>0</v>
      </c>
      <c r="G144" s="33"/>
    </row>
    <row r="145" spans="2:7">
      <c r="B145" s="30"/>
      <c r="C145" s="34" t="s">
        <v>15</v>
      </c>
      <c r="D145" s="34"/>
      <c r="E145" s="27">
        <v>0</v>
      </c>
      <c r="F145" s="32">
        <v>0</v>
      </c>
      <c r="G145" s="33"/>
    </row>
    <row r="146" spans="2:7">
      <c r="B146" s="30"/>
      <c r="C146" s="34" t="s">
        <v>16</v>
      </c>
      <c r="D146" s="34"/>
      <c r="E146" s="27">
        <v>0</v>
      </c>
      <c r="F146" s="32">
        <v>0</v>
      </c>
      <c r="G146" s="33"/>
    </row>
    <row r="147" spans="2:7">
      <c r="B147" s="30"/>
      <c r="C147" s="34" t="s">
        <v>17</v>
      </c>
      <c r="D147" s="34"/>
      <c r="E147" s="27">
        <v>0</v>
      </c>
      <c r="F147" s="32">
        <v>0</v>
      </c>
      <c r="G147" s="33"/>
    </row>
    <row r="148" spans="2:7">
      <c r="B148" s="30"/>
      <c r="C148" s="35" t="s">
        <v>18</v>
      </c>
      <c r="D148" s="35"/>
      <c r="E148" s="36">
        <v>20136.2991927273</v>
      </c>
      <c r="F148" s="37">
        <v>20136.2991927273</v>
      </c>
      <c r="G148" s="38"/>
    </row>
    <row r="149" spans="2:7" ht="15.75" thickBot="1">
      <c r="B149" s="30"/>
      <c r="C149" s="39"/>
      <c r="D149" s="39"/>
      <c r="E149" s="40"/>
      <c r="F149" s="41"/>
      <c r="G149" s="38"/>
    </row>
    <row r="150" spans="2:7" ht="18.75" thickBot="1">
      <c r="B150" s="30"/>
      <c r="C150" s="22" t="s">
        <v>19</v>
      </c>
      <c r="D150" s="23"/>
      <c r="E150" s="42"/>
      <c r="F150" s="43"/>
      <c r="G150" s="38"/>
    </row>
    <row r="151" spans="2:7">
      <c r="B151" s="44">
        <v>121</v>
      </c>
      <c r="C151" s="39" t="s">
        <v>20</v>
      </c>
      <c r="D151" s="39"/>
      <c r="E151" s="45"/>
      <c r="F151" s="46"/>
      <c r="G151" s="47"/>
    </row>
    <row r="152" spans="2:7">
      <c r="B152" s="44"/>
      <c r="C152" s="48" t="s">
        <v>21</v>
      </c>
      <c r="D152" s="48"/>
      <c r="E152" s="49">
        <v>0</v>
      </c>
      <c r="F152" s="50">
        <v>0</v>
      </c>
      <c r="G152" s="47"/>
    </row>
    <row r="153" spans="2:7">
      <c r="B153" s="44"/>
      <c r="C153" s="48" t="s">
        <v>22</v>
      </c>
      <c r="D153" s="48"/>
      <c r="E153" s="49">
        <v>0</v>
      </c>
      <c r="F153" s="50">
        <v>0</v>
      </c>
      <c r="G153" s="47"/>
    </row>
    <row r="154" spans="2:7">
      <c r="B154" s="51"/>
      <c r="C154" s="48" t="s">
        <v>23</v>
      </c>
      <c r="D154" s="48"/>
      <c r="E154" s="49">
        <v>0</v>
      </c>
      <c r="F154" s="50">
        <v>0</v>
      </c>
      <c r="G154" s="52"/>
    </row>
    <row r="155" spans="2:7">
      <c r="B155" s="51"/>
      <c r="C155" s="48" t="s">
        <v>24</v>
      </c>
      <c r="D155" s="48"/>
      <c r="E155" s="49">
        <v>0</v>
      </c>
      <c r="F155" s="50">
        <v>0</v>
      </c>
      <c r="G155" s="52"/>
    </row>
    <row r="156" spans="2:7">
      <c r="B156" s="44"/>
      <c r="C156" s="48" t="s">
        <v>25</v>
      </c>
      <c r="D156" s="48"/>
      <c r="E156" s="49">
        <v>0</v>
      </c>
      <c r="F156" s="50">
        <v>0</v>
      </c>
      <c r="G156" s="52"/>
    </row>
    <row r="157" spans="2:7">
      <c r="B157" s="44"/>
      <c r="C157" s="53" t="s">
        <v>26</v>
      </c>
      <c r="D157" s="53"/>
      <c r="E157" s="36">
        <v>0</v>
      </c>
      <c r="F157" s="54">
        <v>0</v>
      </c>
      <c r="G157" s="52"/>
    </row>
    <row r="158" spans="2:7">
      <c r="B158" s="44">
        <v>122</v>
      </c>
      <c r="C158" s="39" t="s">
        <v>27</v>
      </c>
      <c r="D158" s="39"/>
      <c r="E158" s="36"/>
      <c r="F158" s="50"/>
      <c r="G158" s="55"/>
    </row>
    <row r="159" spans="2:7">
      <c r="B159" s="44"/>
      <c r="C159" s="48" t="s">
        <v>28</v>
      </c>
      <c r="D159" s="48"/>
      <c r="E159" s="49">
        <v>0</v>
      </c>
      <c r="F159" s="50">
        <v>0</v>
      </c>
      <c r="G159" s="52"/>
    </row>
    <row r="160" spans="2:7">
      <c r="B160" s="44"/>
      <c r="C160" s="48" t="s">
        <v>29</v>
      </c>
      <c r="D160" s="48"/>
      <c r="E160" s="49">
        <v>0</v>
      </c>
      <c r="F160" s="50">
        <v>0</v>
      </c>
      <c r="G160" s="52"/>
    </row>
    <row r="161" spans="2:7">
      <c r="B161" s="44"/>
      <c r="C161" s="48" t="s">
        <v>30</v>
      </c>
      <c r="D161" s="48"/>
      <c r="E161" s="49">
        <v>0</v>
      </c>
      <c r="F161" s="50">
        <v>0</v>
      </c>
      <c r="G161" s="52"/>
    </row>
    <row r="162" spans="2:7">
      <c r="B162" s="44"/>
      <c r="C162" s="48" t="s">
        <v>31</v>
      </c>
      <c r="D162" s="48"/>
      <c r="E162" s="49">
        <v>0</v>
      </c>
      <c r="F162" s="50">
        <v>0</v>
      </c>
      <c r="G162" s="52"/>
    </row>
    <row r="163" spans="2:7">
      <c r="B163" s="44"/>
      <c r="C163" s="48" t="s">
        <v>32</v>
      </c>
      <c r="D163" s="48"/>
      <c r="E163" s="49">
        <v>108.5334807272726</v>
      </c>
      <c r="F163" s="50">
        <v>108.5334807272726</v>
      </c>
      <c r="G163" s="52"/>
    </row>
    <row r="164" spans="2:7">
      <c r="B164" s="44"/>
      <c r="C164" s="48" t="s">
        <v>33</v>
      </c>
      <c r="D164" s="48"/>
      <c r="E164" s="49">
        <v>0</v>
      </c>
      <c r="F164" s="50">
        <v>0</v>
      </c>
      <c r="G164" s="52"/>
    </row>
    <row r="165" spans="2:7">
      <c r="B165" s="44"/>
      <c r="C165" s="48" t="s">
        <v>34</v>
      </c>
      <c r="D165" s="48"/>
      <c r="E165" s="49">
        <v>0</v>
      </c>
      <c r="F165" s="50">
        <v>0</v>
      </c>
      <c r="G165" s="52"/>
    </row>
    <row r="166" spans="2:7">
      <c r="B166" s="44"/>
      <c r="C166" s="48" t="s">
        <v>35</v>
      </c>
      <c r="D166" s="48"/>
      <c r="E166" s="49">
        <v>0</v>
      </c>
      <c r="F166" s="50">
        <v>0</v>
      </c>
      <c r="G166" s="52"/>
    </row>
    <row r="167" spans="2:7">
      <c r="B167" s="44"/>
      <c r="C167" s="53" t="s">
        <v>26</v>
      </c>
      <c r="D167" s="53"/>
      <c r="E167" s="36">
        <v>108.5334807272726</v>
      </c>
      <c r="F167" s="54">
        <v>108.5334807272726</v>
      </c>
      <c r="G167" s="52"/>
    </row>
    <row r="168" spans="2:7">
      <c r="B168" s="44">
        <v>123</v>
      </c>
      <c r="C168" s="39" t="s">
        <v>36</v>
      </c>
      <c r="D168" s="39"/>
      <c r="E168" s="56"/>
      <c r="F168" s="57"/>
      <c r="G168" s="52"/>
    </row>
    <row r="169" spans="2:7">
      <c r="B169" s="44"/>
      <c r="C169" s="48" t="s">
        <v>37</v>
      </c>
      <c r="D169" s="48"/>
      <c r="E169" s="49">
        <v>108.5334807272726</v>
      </c>
      <c r="F169" s="50">
        <v>108.5334807272726</v>
      </c>
      <c r="G169" s="52"/>
    </row>
    <row r="170" spans="2:7">
      <c r="B170" s="44"/>
      <c r="C170" s="48" t="s">
        <v>38</v>
      </c>
      <c r="D170" s="48"/>
      <c r="E170" s="49">
        <v>0</v>
      </c>
      <c r="F170" s="50">
        <v>0</v>
      </c>
      <c r="G170" s="52"/>
    </row>
    <row r="171" spans="2:7">
      <c r="B171" s="44"/>
      <c r="C171" s="48" t="s">
        <v>39</v>
      </c>
      <c r="D171" s="48"/>
      <c r="E171" s="49">
        <v>940.62349963636279</v>
      </c>
      <c r="F171" s="50">
        <v>940.62349963636279</v>
      </c>
      <c r="G171" s="52"/>
    </row>
    <row r="172" spans="2:7">
      <c r="B172" s="44"/>
      <c r="C172" s="48" t="s">
        <v>40</v>
      </c>
      <c r="D172" s="48"/>
      <c r="E172" s="49">
        <v>0</v>
      </c>
      <c r="F172" s="50">
        <v>0</v>
      </c>
      <c r="G172" s="52"/>
    </row>
    <row r="173" spans="2:7">
      <c r="B173" s="44"/>
      <c r="C173" s="48" t="s">
        <v>41</v>
      </c>
      <c r="D173" s="48"/>
      <c r="E173" s="49">
        <v>0</v>
      </c>
      <c r="F173" s="50">
        <v>0</v>
      </c>
      <c r="G173" s="52"/>
    </row>
    <row r="174" spans="2:7">
      <c r="B174" s="44"/>
      <c r="C174" s="48" t="s">
        <v>42</v>
      </c>
      <c r="D174" s="48"/>
      <c r="E174" s="49">
        <v>217.06696145454521</v>
      </c>
      <c r="F174" s="50">
        <v>217.06696145454521</v>
      </c>
      <c r="G174" s="52"/>
    </row>
    <row r="175" spans="2:7">
      <c r="B175" s="44"/>
      <c r="C175" s="53" t="s">
        <v>26</v>
      </c>
      <c r="D175" s="53"/>
      <c r="E175" s="36">
        <v>1266.2239418181805</v>
      </c>
      <c r="F175" s="54">
        <v>1266.2239418181805</v>
      </c>
      <c r="G175" s="52"/>
    </row>
    <row r="176" spans="2:7">
      <c r="B176" s="44">
        <v>124</v>
      </c>
      <c r="C176" s="39" t="s">
        <v>43</v>
      </c>
      <c r="D176" s="39"/>
      <c r="E176" s="56"/>
      <c r="F176" s="57"/>
      <c r="G176" s="52"/>
    </row>
    <row r="177" spans="2:7">
      <c r="B177" s="44"/>
      <c r="C177" s="48" t="s">
        <v>44</v>
      </c>
      <c r="D177" s="48"/>
      <c r="E177" s="49">
        <v>165.81503999999998</v>
      </c>
      <c r="F177" s="50">
        <v>165.81503999999998</v>
      </c>
      <c r="G177" s="52"/>
    </row>
    <row r="178" spans="2:7">
      <c r="B178" s="44"/>
      <c r="C178" s="48" t="s">
        <v>45</v>
      </c>
      <c r="D178" s="48"/>
      <c r="E178" s="49">
        <v>0</v>
      </c>
      <c r="F178" s="50">
        <v>0</v>
      </c>
      <c r="G178" s="52"/>
    </row>
    <row r="179" spans="2:7">
      <c r="B179" s="44"/>
      <c r="C179" s="48" t="s">
        <v>46</v>
      </c>
      <c r="D179" s="48"/>
      <c r="E179" s="49">
        <v>0</v>
      </c>
      <c r="F179" s="50">
        <v>0</v>
      </c>
      <c r="G179" s="52"/>
    </row>
    <row r="180" spans="2:7">
      <c r="B180" s="44"/>
      <c r="C180" s="53" t="s">
        <v>26</v>
      </c>
      <c r="D180" s="53"/>
      <c r="E180" s="36">
        <v>165.81503999999998</v>
      </c>
      <c r="F180" s="54">
        <v>165.81503999999998</v>
      </c>
      <c r="G180" s="52"/>
    </row>
    <row r="181" spans="2:7">
      <c r="B181" s="44">
        <v>125</v>
      </c>
      <c r="C181" s="39" t="s">
        <v>47</v>
      </c>
      <c r="D181" s="39"/>
      <c r="E181" s="36"/>
      <c r="F181" s="50"/>
      <c r="G181" s="52"/>
    </row>
    <row r="182" spans="2:7">
      <c r="B182" s="44"/>
      <c r="C182" s="48" t="s">
        <v>48</v>
      </c>
      <c r="D182" s="48"/>
      <c r="E182" s="58">
        <v>0</v>
      </c>
      <c r="F182" s="50">
        <v>0</v>
      </c>
      <c r="G182" s="52"/>
    </row>
    <row r="183" spans="2:7">
      <c r="B183" s="44"/>
      <c r="C183" s="48" t="s">
        <v>49</v>
      </c>
      <c r="D183" s="48"/>
      <c r="E183" s="58">
        <v>0</v>
      </c>
      <c r="F183" s="50">
        <v>0</v>
      </c>
      <c r="G183" s="52"/>
    </row>
    <row r="184" spans="2:7">
      <c r="B184" s="44"/>
      <c r="C184" s="48" t="s">
        <v>50</v>
      </c>
      <c r="D184" s="48"/>
      <c r="E184" s="58">
        <v>132.65203199999999</v>
      </c>
      <c r="F184" s="50">
        <v>132.65203199999999</v>
      </c>
      <c r="G184" s="52"/>
    </row>
    <row r="185" spans="2:7">
      <c r="B185" s="44"/>
      <c r="C185" s="48" t="s">
        <v>51</v>
      </c>
      <c r="D185" s="48"/>
      <c r="E185" s="58">
        <v>0</v>
      </c>
      <c r="F185" s="50">
        <v>0</v>
      </c>
      <c r="G185" s="52"/>
    </row>
    <row r="186" spans="2:7">
      <c r="B186" s="44"/>
      <c r="C186" s="53" t="s">
        <v>26</v>
      </c>
      <c r="D186" s="53"/>
      <c r="E186" s="56">
        <v>132.65203199999999</v>
      </c>
      <c r="F186" s="54">
        <v>132.65203199999999</v>
      </c>
      <c r="G186" s="52"/>
    </row>
    <row r="187" spans="2:7">
      <c r="B187" s="44">
        <v>126</v>
      </c>
      <c r="C187" s="39" t="s">
        <v>52</v>
      </c>
      <c r="D187" s="39"/>
      <c r="E187" s="56"/>
      <c r="F187" s="50"/>
      <c r="G187" s="52"/>
    </row>
    <row r="188" spans="2:7">
      <c r="B188" s="44"/>
      <c r="C188" s="48" t="s">
        <v>53</v>
      </c>
      <c r="D188" s="48"/>
      <c r="E188" s="49">
        <v>0</v>
      </c>
      <c r="F188" s="50">
        <v>0</v>
      </c>
      <c r="G188" s="52"/>
    </row>
    <row r="189" spans="2:7">
      <c r="B189" s="44"/>
      <c r="C189" s="48" t="s">
        <v>54</v>
      </c>
      <c r="D189" s="48"/>
      <c r="E189" s="49">
        <v>0</v>
      </c>
      <c r="F189" s="50"/>
      <c r="G189" s="52"/>
    </row>
    <row r="190" spans="2:7">
      <c r="B190" s="44"/>
      <c r="C190" s="48" t="s">
        <v>55</v>
      </c>
      <c r="D190" s="48"/>
      <c r="E190" s="49">
        <v>0</v>
      </c>
      <c r="F190" s="50"/>
      <c r="G190" s="52"/>
    </row>
    <row r="191" spans="2:7">
      <c r="B191" s="44"/>
      <c r="C191" s="48" t="s">
        <v>56</v>
      </c>
      <c r="D191" s="48"/>
      <c r="E191" s="49">
        <v>0</v>
      </c>
      <c r="F191" s="57"/>
      <c r="G191" s="52"/>
    </row>
    <row r="192" spans="2:7">
      <c r="B192" s="44"/>
      <c r="C192" s="53" t="s">
        <v>26</v>
      </c>
      <c r="D192" s="53"/>
      <c r="E192" s="56">
        <v>0</v>
      </c>
      <c r="F192" s="54">
        <v>0</v>
      </c>
      <c r="G192" s="52"/>
    </row>
    <row r="193" spans="2:7">
      <c r="B193" s="44">
        <v>127</v>
      </c>
      <c r="C193" s="39" t="s">
        <v>57</v>
      </c>
      <c r="D193" s="39"/>
      <c r="E193" s="56"/>
      <c r="F193" s="54"/>
      <c r="G193" s="52"/>
    </row>
    <row r="194" spans="2:7">
      <c r="B194" s="44"/>
      <c r="C194" s="48" t="s">
        <v>58</v>
      </c>
      <c r="D194" s="48"/>
      <c r="E194" s="49">
        <v>0</v>
      </c>
      <c r="F194" s="50">
        <v>0</v>
      </c>
      <c r="G194" s="52"/>
    </row>
    <row r="195" spans="2:7">
      <c r="B195" s="44"/>
      <c r="C195" s="48" t="s">
        <v>59</v>
      </c>
      <c r="D195" s="48"/>
      <c r="E195" s="49">
        <v>0</v>
      </c>
      <c r="F195" s="50">
        <v>0</v>
      </c>
      <c r="G195" s="52"/>
    </row>
    <row r="196" spans="2:7">
      <c r="B196" s="44"/>
      <c r="C196" s="48" t="s">
        <v>60</v>
      </c>
      <c r="D196" s="48"/>
      <c r="E196" s="49">
        <v>0</v>
      </c>
      <c r="F196" s="50">
        <v>0</v>
      </c>
      <c r="G196" s="52"/>
    </row>
    <row r="197" spans="2:7">
      <c r="B197" s="44"/>
      <c r="C197" s="59" t="s">
        <v>61</v>
      </c>
      <c r="D197" s="59"/>
      <c r="E197" s="49">
        <v>0</v>
      </c>
      <c r="F197" s="50">
        <v>0</v>
      </c>
      <c r="G197" s="52"/>
    </row>
    <row r="198" spans="2:7">
      <c r="B198" s="44"/>
      <c r="C198" s="53" t="s">
        <v>26</v>
      </c>
      <c r="D198" s="53"/>
      <c r="E198" s="56">
        <v>0</v>
      </c>
      <c r="F198" s="54">
        <v>0</v>
      </c>
      <c r="G198" s="52"/>
    </row>
    <row r="199" spans="2:7">
      <c r="B199" s="44">
        <v>128</v>
      </c>
      <c r="C199" s="39" t="s">
        <v>62</v>
      </c>
      <c r="D199" s="39"/>
      <c r="E199" s="56"/>
      <c r="F199" s="54"/>
      <c r="G199" s="52"/>
    </row>
    <row r="200" spans="2:7">
      <c r="B200" s="44"/>
      <c r="C200" s="48" t="s">
        <v>63</v>
      </c>
      <c r="D200" s="48"/>
      <c r="E200" s="49">
        <v>0</v>
      </c>
      <c r="F200" s="50">
        <v>0</v>
      </c>
      <c r="G200" s="52"/>
    </row>
    <row r="201" spans="2:7">
      <c r="B201" s="44"/>
      <c r="C201" s="48" t="s">
        <v>64</v>
      </c>
      <c r="D201" s="48"/>
      <c r="E201" s="49">
        <v>0</v>
      </c>
      <c r="F201" s="50">
        <v>0</v>
      </c>
      <c r="G201" s="52"/>
    </row>
    <row r="202" spans="2:7">
      <c r="B202" s="44"/>
      <c r="C202" s="48" t="s">
        <v>65</v>
      </c>
      <c r="D202" s="48"/>
      <c r="E202" s="49">
        <v>397.95609599999995</v>
      </c>
      <c r="F202" s="50">
        <v>397.95609599999995</v>
      </c>
      <c r="G202" s="52"/>
    </row>
    <row r="203" spans="2:7">
      <c r="B203" s="44"/>
      <c r="C203" s="48" t="s">
        <v>66</v>
      </c>
      <c r="D203" s="48"/>
      <c r="E203" s="49">
        <v>0</v>
      </c>
      <c r="F203" s="50">
        <v>0</v>
      </c>
      <c r="G203" s="52"/>
    </row>
    <row r="204" spans="2:7">
      <c r="B204" s="44"/>
      <c r="C204" s="48" t="s">
        <v>67</v>
      </c>
      <c r="D204" s="48"/>
      <c r="E204" s="49">
        <v>0</v>
      </c>
      <c r="F204" s="50">
        <v>0</v>
      </c>
      <c r="G204" s="52"/>
    </row>
    <row r="205" spans="2:7">
      <c r="B205" s="44"/>
      <c r="C205" s="53" t="s">
        <v>26</v>
      </c>
      <c r="D205" s="53"/>
      <c r="E205" s="56">
        <v>397.95609599999995</v>
      </c>
      <c r="F205" s="54">
        <v>397.95609599999995</v>
      </c>
      <c r="G205" s="52"/>
    </row>
    <row r="206" spans="2:7">
      <c r="B206" s="44">
        <v>135</v>
      </c>
      <c r="C206" s="39" t="s">
        <v>68</v>
      </c>
      <c r="D206" s="39"/>
      <c r="E206" s="56"/>
      <c r="F206" s="50"/>
      <c r="G206" s="52"/>
    </row>
    <row r="207" spans="2:7">
      <c r="B207" s="44"/>
      <c r="C207" s="48" t="s">
        <v>69</v>
      </c>
      <c r="D207" s="48"/>
      <c r="E207" s="49">
        <v>0</v>
      </c>
      <c r="F207" s="50">
        <v>0</v>
      </c>
      <c r="G207" s="52"/>
    </row>
    <row r="208" spans="2:7">
      <c r="B208" s="44"/>
      <c r="C208" s="48" t="s">
        <v>70</v>
      </c>
      <c r="D208" s="48"/>
      <c r="E208" s="49">
        <v>0</v>
      </c>
      <c r="F208" s="50">
        <v>0</v>
      </c>
      <c r="G208" s="52"/>
    </row>
    <row r="209" spans="2:7">
      <c r="B209" s="44"/>
      <c r="C209" s="48" t="s">
        <v>71</v>
      </c>
      <c r="D209" s="48"/>
      <c r="E209" s="49">
        <v>0</v>
      </c>
      <c r="F209" s="50">
        <v>0</v>
      </c>
      <c r="G209" s="52"/>
    </row>
    <row r="210" spans="2:7">
      <c r="B210" s="44"/>
      <c r="C210" s="48" t="s">
        <v>72</v>
      </c>
      <c r="D210" s="48"/>
      <c r="E210" s="49">
        <v>0</v>
      </c>
      <c r="F210" s="50">
        <v>0</v>
      </c>
      <c r="G210" s="52"/>
    </row>
    <row r="211" spans="2:7">
      <c r="B211" s="44"/>
      <c r="C211" s="48" t="s">
        <v>73</v>
      </c>
      <c r="D211" s="48"/>
      <c r="E211" s="49">
        <v>217.06696145454521</v>
      </c>
      <c r="F211" s="50">
        <v>217.06696145454521</v>
      </c>
      <c r="G211" s="52"/>
    </row>
    <row r="212" spans="2:7">
      <c r="B212" s="44"/>
      <c r="C212" s="48" t="s">
        <v>74</v>
      </c>
      <c r="D212" s="48"/>
      <c r="E212" s="49">
        <v>0</v>
      </c>
      <c r="F212" s="50">
        <v>0</v>
      </c>
      <c r="G212" s="52"/>
    </row>
    <row r="213" spans="2:7">
      <c r="B213" s="44"/>
      <c r="C213" s="48" t="s">
        <v>75</v>
      </c>
      <c r="D213" s="48"/>
      <c r="E213" s="49">
        <v>1028.0532479999999</v>
      </c>
      <c r="F213" s="50">
        <v>1028.0532479999999</v>
      </c>
      <c r="G213" s="52"/>
    </row>
    <row r="214" spans="2:7">
      <c r="B214" s="44"/>
      <c r="C214" s="48" t="s">
        <v>76</v>
      </c>
      <c r="D214" s="48"/>
      <c r="E214" s="49">
        <v>0</v>
      </c>
      <c r="F214" s="50">
        <v>0</v>
      </c>
      <c r="G214" s="52"/>
    </row>
    <row r="215" spans="2:7">
      <c r="B215" s="44"/>
      <c r="C215" s="48" t="s">
        <v>77</v>
      </c>
      <c r="D215" s="48"/>
      <c r="E215" s="49">
        <v>0</v>
      </c>
      <c r="F215" s="50">
        <v>0</v>
      </c>
      <c r="G215" s="52"/>
    </row>
    <row r="216" spans="2:7">
      <c r="B216" s="44"/>
      <c r="C216" s="53" t="s">
        <v>26</v>
      </c>
      <c r="D216" s="53"/>
      <c r="E216" s="56">
        <v>1245.1202094545451</v>
      </c>
      <c r="F216" s="54">
        <v>1245.1202094545451</v>
      </c>
      <c r="G216" s="52"/>
    </row>
    <row r="217" spans="2:7">
      <c r="B217" s="44">
        <v>136</v>
      </c>
      <c r="C217" s="39" t="s">
        <v>78</v>
      </c>
      <c r="D217" s="39"/>
      <c r="E217" s="56"/>
      <c r="F217" s="50"/>
      <c r="G217" s="52"/>
    </row>
    <row r="218" spans="2:7">
      <c r="B218" s="44"/>
      <c r="C218" s="48" t="s">
        <v>79</v>
      </c>
      <c r="D218" s="48"/>
      <c r="E218" s="49">
        <v>0</v>
      </c>
      <c r="F218" s="50">
        <v>0</v>
      </c>
      <c r="G218" s="52"/>
    </row>
    <row r="219" spans="2:7">
      <c r="B219" s="44"/>
      <c r="C219" s="48" t="s">
        <v>80</v>
      </c>
      <c r="D219" s="48"/>
      <c r="E219" s="49">
        <v>0</v>
      </c>
      <c r="F219" s="50">
        <v>0</v>
      </c>
      <c r="G219" s="52"/>
    </row>
    <row r="220" spans="2:7">
      <c r="B220" s="44"/>
      <c r="C220" s="48" t="s">
        <v>81</v>
      </c>
      <c r="D220" s="48"/>
      <c r="E220" s="49">
        <v>0</v>
      </c>
      <c r="F220" s="50">
        <v>0</v>
      </c>
      <c r="G220" s="52"/>
    </row>
    <row r="221" spans="2:7">
      <c r="B221" s="44"/>
      <c r="C221" s="48" t="s">
        <v>82</v>
      </c>
      <c r="D221" s="48"/>
      <c r="E221" s="49">
        <v>0</v>
      </c>
      <c r="F221" s="50">
        <v>0</v>
      </c>
      <c r="G221" s="52"/>
    </row>
    <row r="222" spans="2:7">
      <c r="B222" s="44"/>
      <c r="C222" s="48" t="s">
        <v>83</v>
      </c>
      <c r="D222" s="48"/>
      <c r="E222" s="49">
        <v>0</v>
      </c>
      <c r="F222" s="50">
        <v>0</v>
      </c>
      <c r="G222" s="52"/>
    </row>
    <row r="223" spans="2:7">
      <c r="B223" s="44"/>
      <c r="C223" s="48" t="s">
        <v>84</v>
      </c>
      <c r="D223" s="48"/>
      <c r="E223" s="49">
        <v>0</v>
      </c>
      <c r="F223" s="50">
        <v>0</v>
      </c>
      <c r="G223" s="52"/>
    </row>
    <row r="224" spans="2:7">
      <c r="B224" s="44"/>
      <c r="C224" s="53" t="s">
        <v>26</v>
      </c>
      <c r="D224" s="53"/>
      <c r="E224" s="56">
        <v>0</v>
      </c>
      <c r="F224" s="54">
        <v>0</v>
      </c>
      <c r="G224" s="52"/>
    </row>
    <row r="225" spans="2:7">
      <c r="B225" s="44">
        <v>142</v>
      </c>
      <c r="C225" s="39" t="s">
        <v>85</v>
      </c>
      <c r="D225" s="39"/>
      <c r="E225" s="56"/>
      <c r="F225" s="50"/>
      <c r="G225" s="52"/>
    </row>
    <row r="226" spans="2:7">
      <c r="B226" s="44"/>
      <c r="C226" s="48" t="s">
        <v>86</v>
      </c>
      <c r="D226" s="48"/>
      <c r="E226" s="49">
        <v>0</v>
      </c>
      <c r="F226" s="50">
        <v>0</v>
      </c>
      <c r="G226" s="52"/>
    </row>
    <row r="227" spans="2:7">
      <c r="B227" s="44"/>
      <c r="C227" s="48" t="s">
        <v>87</v>
      </c>
      <c r="D227" s="48"/>
      <c r="E227" s="49">
        <v>0</v>
      </c>
      <c r="F227" s="50">
        <v>0</v>
      </c>
      <c r="G227" s="52"/>
    </row>
    <row r="228" spans="2:7">
      <c r="B228" s="44"/>
      <c r="C228" s="53" t="s">
        <v>26</v>
      </c>
      <c r="D228" s="53"/>
      <c r="E228" s="56">
        <v>0</v>
      </c>
      <c r="F228" s="54">
        <v>0</v>
      </c>
      <c r="G228" s="52"/>
    </row>
    <row r="229" spans="2:7">
      <c r="B229" s="44">
        <v>144</v>
      </c>
      <c r="C229" s="39" t="s">
        <v>88</v>
      </c>
      <c r="D229" s="39"/>
      <c r="E229" s="49">
        <v>0</v>
      </c>
      <c r="F229" s="54">
        <v>0</v>
      </c>
      <c r="G229" s="52"/>
    </row>
    <row r="230" spans="2:7">
      <c r="B230" s="44">
        <v>221</v>
      </c>
      <c r="C230" s="39" t="s">
        <v>89</v>
      </c>
      <c r="D230" s="39"/>
      <c r="E230" s="49">
        <v>0</v>
      </c>
      <c r="F230" s="54">
        <v>0</v>
      </c>
      <c r="G230" s="52"/>
    </row>
    <row r="231" spans="2:7">
      <c r="B231" s="44">
        <v>222</v>
      </c>
      <c r="C231" s="39" t="s">
        <v>90</v>
      </c>
      <c r="D231" s="39"/>
      <c r="E231" s="49">
        <v>0</v>
      </c>
      <c r="F231" s="54">
        <v>0</v>
      </c>
      <c r="G231" s="52"/>
    </row>
    <row r="232" spans="2:7">
      <c r="B232" s="44">
        <v>224</v>
      </c>
      <c r="C232" s="39" t="s">
        <v>91</v>
      </c>
      <c r="D232" s="39"/>
      <c r="E232" s="49">
        <v>0</v>
      </c>
      <c r="F232" s="54">
        <v>0</v>
      </c>
      <c r="G232" s="52"/>
    </row>
    <row r="233" spans="2:7">
      <c r="B233" s="44">
        <v>225</v>
      </c>
      <c r="C233" s="39" t="s">
        <v>92</v>
      </c>
      <c r="D233" s="39"/>
      <c r="E233" s="49">
        <v>0</v>
      </c>
      <c r="F233" s="54">
        <v>0</v>
      </c>
      <c r="G233" s="38"/>
    </row>
    <row r="234" spans="2:7">
      <c r="B234" s="44">
        <v>226</v>
      </c>
      <c r="C234" s="39" t="s">
        <v>93</v>
      </c>
      <c r="D234" s="39"/>
      <c r="E234" s="49">
        <v>0</v>
      </c>
      <c r="F234" s="54">
        <v>0</v>
      </c>
      <c r="G234" s="60"/>
    </row>
    <row r="235" spans="2:7" ht="15.75" thickBot="1">
      <c r="B235" s="61"/>
      <c r="C235" s="62" t="s">
        <v>94</v>
      </c>
      <c r="D235" s="62"/>
      <c r="E235" s="94">
        <v>0</v>
      </c>
      <c r="F235" s="63">
        <v>0</v>
      </c>
      <c r="G235" s="38"/>
    </row>
    <row r="236" spans="2:7">
      <c r="B236" s="64"/>
      <c r="C236" s="65" t="s">
        <v>95</v>
      </c>
      <c r="D236" s="66"/>
      <c r="E236" s="67">
        <v>3316.3007999999982</v>
      </c>
      <c r="F236" s="68">
        <v>3316.3007999999982</v>
      </c>
      <c r="G236" s="69"/>
    </row>
    <row r="237" spans="2:7" ht="15.75" thickBot="1">
      <c r="B237" s="64"/>
      <c r="C237" s="70"/>
      <c r="D237" s="71"/>
      <c r="E237" s="72"/>
      <c r="F237" s="73"/>
      <c r="G237" s="69"/>
    </row>
    <row r="238" spans="2:7" ht="15.75" thickBot="1">
      <c r="B238" s="64"/>
      <c r="C238" s="70" t="s">
        <v>96</v>
      </c>
      <c r="D238" s="71"/>
      <c r="E238" s="74">
        <v>16819.998392727302</v>
      </c>
      <c r="F238" s="75">
        <v>16819.998392727302</v>
      </c>
      <c r="G238" s="76"/>
    </row>
    <row r="239" spans="2:7" ht="8.25" customHeight="1" thickBot="1">
      <c r="B239" s="77"/>
      <c r="C239" s="81"/>
      <c r="D239" s="81"/>
      <c r="E239" s="78"/>
      <c r="F239" s="78"/>
      <c r="G239" s="79"/>
    </row>
    <row r="240" spans="2:7">
      <c r="B240" s="85"/>
      <c r="C240" s="84"/>
      <c r="D240" s="84"/>
      <c r="E240" s="85"/>
      <c r="F240" s="85"/>
      <c r="G240" s="85"/>
    </row>
    <row r="241" spans="1:7" ht="6" customHeight="1" thickBot="1"/>
    <row r="242" spans="1:7">
      <c r="B242" s="1"/>
      <c r="C242" s="2"/>
      <c r="D242" s="2"/>
      <c r="E242" s="2"/>
      <c r="F242" s="2"/>
      <c r="G242" s="3"/>
    </row>
    <row r="243" spans="1:7">
      <c r="B243" s="4"/>
      <c r="C243" s="5"/>
      <c r="D243" s="5"/>
      <c r="E243" s="5"/>
      <c r="F243" s="5"/>
      <c r="G243" s="6"/>
    </row>
    <row r="244" spans="1:7">
      <c r="B244" s="4"/>
      <c r="C244" s="5"/>
      <c r="D244" s="5"/>
      <c r="E244" s="5"/>
      <c r="F244" s="5"/>
      <c r="G244" s="6"/>
    </row>
    <row r="245" spans="1:7">
      <c r="B245" s="4"/>
      <c r="C245" s="5"/>
      <c r="D245" s="5"/>
      <c r="E245" s="5"/>
      <c r="F245" s="5"/>
      <c r="G245" s="6"/>
    </row>
    <row r="246" spans="1:7">
      <c r="B246" s="4"/>
      <c r="C246" s="5"/>
      <c r="D246" s="5"/>
      <c r="E246" s="5"/>
      <c r="F246" s="5"/>
      <c r="G246" s="6"/>
    </row>
    <row r="247" spans="1:7" ht="16.5" customHeight="1">
      <c r="B247" s="4"/>
      <c r="C247" s="5"/>
      <c r="D247" s="5"/>
      <c r="E247" s="5"/>
      <c r="F247" s="5"/>
      <c r="G247" s="6"/>
    </row>
    <row r="248" spans="1:7" ht="22.5" customHeight="1" thickBot="1">
      <c r="B248" s="4"/>
      <c r="C248" s="95" t="s">
        <v>0</v>
      </c>
      <c r="D248" s="95"/>
      <c r="E248" s="95"/>
      <c r="F248" s="5"/>
      <c r="G248" s="6"/>
    </row>
    <row r="249" spans="1:7" ht="21" thickTop="1">
      <c r="B249" s="4"/>
      <c r="C249" s="7"/>
      <c r="D249" s="7"/>
      <c r="E249" s="5"/>
      <c r="F249" s="5"/>
      <c r="G249" s="6"/>
    </row>
    <row r="250" spans="1:7">
      <c r="B250" s="8" t="s">
        <v>1</v>
      </c>
      <c r="C250" s="9" t="s">
        <v>97</v>
      </c>
      <c r="D250" s="5"/>
      <c r="E250" s="10" t="s">
        <v>2</v>
      </c>
      <c r="F250" s="9" t="s">
        <v>98</v>
      </c>
      <c r="G250" s="6"/>
    </row>
    <row r="251" spans="1:7" ht="3.75" customHeight="1">
      <c r="A251" s="80"/>
      <c r="B251" s="5"/>
      <c r="C251" s="5"/>
      <c r="D251" s="5"/>
      <c r="E251" s="11"/>
      <c r="F251" s="5"/>
      <c r="G251" s="6"/>
    </row>
    <row r="252" spans="1:7">
      <c r="A252" s="80"/>
      <c r="B252" s="12" t="s">
        <v>3</v>
      </c>
      <c r="C252" s="9" t="s">
        <v>99</v>
      </c>
      <c r="D252" s="5"/>
      <c r="E252" s="10" t="s">
        <v>4</v>
      </c>
      <c r="F252" s="82" t="s">
        <v>100</v>
      </c>
      <c r="G252" s="6"/>
    </row>
    <row r="253" spans="1:7" ht="3.75" customHeight="1">
      <c r="A253" s="80"/>
      <c r="B253" s="5"/>
      <c r="C253" s="5"/>
      <c r="D253" s="5"/>
      <c r="E253" s="11"/>
      <c r="F253" s="5"/>
      <c r="G253" s="6"/>
    </row>
    <row r="254" spans="1:7">
      <c r="A254" s="80"/>
      <c r="B254" s="10" t="s">
        <v>5</v>
      </c>
      <c r="C254" s="9" t="s">
        <v>101</v>
      </c>
      <c r="D254" s="5"/>
      <c r="E254" s="10" t="s">
        <v>6</v>
      </c>
      <c r="F254" s="9" t="s">
        <v>107</v>
      </c>
      <c r="G254" s="6"/>
    </row>
    <row r="255" spans="1:7" ht="4.5" customHeight="1">
      <c r="A255" s="80"/>
      <c r="B255" s="13"/>
      <c r="C255" s="5"/>
      <c r="D255" s="5"/>
      <c r="E255" s="11"/>
      <c r="F255" s="5"/>
      <c r="G255" s="6"/>
    </row>
    <row r="256" spans="1:7">
      <c r="A256" s="80"/>
      <c r="B256" s="10" t="s">
        <v>7</v>
      </c>
      <c r="C256" s="9" t="s">
        <v>112</v>
      </c>
      <c r="D256" s="5"/>
      <c r="E256" s="11"/>
      <c r="F256" s="5"/>
      <c r="G256" s="6"/>
    </row>
    <row r="257" spans="1:7" ht="3.75" customHeight="1">
      <c r="A257" s="80"/>
      <c r="B257" s="5"/>
      <c r="C257" s="5"/>
      <c r="D257" s="5"/>
      <c r="E257" s="11"/>
      <c r="F257" s="5"/>
      <c r="G257" s="6"/>
    </row>
    <row r="258" spans="1:7">
      <c r="B258" s="14" t="s">
        <v>8</v>
      </c>
      <c r="C258" s="15" t="s">
        <v>105</v>
      </c>
      <c r="D258" s="5"/>
      <c r="E258" s="86" t="s">
        <v>109</v>
      </c>
      <c r="F258" s="87">
        <v>45352</v>
      </c>
      <c r="G258" s="6"/>
    </row>
    <row r="259" spans="1:7">
      <c r="B259" s="16" t="s">
        <v>9</v>
      </c>
      <c r="C259" s="17" t="s">
        <v>130</v>
      </c>
      <c r="D259" s="5"/>
      <c r="E259" s="88" t="s">
        <v>110</v>
      </c>
      <c r="F259" s="89">
        <v>45382</v>
      </c>
      <c r="G259" s="18"/>
    </row>
    <row r="260" spans="1:7" ht="15.75" thickBot="1">
      <c r="B260" s="4"/>
      <c r="C260" s="19"/>
      <c r="D260" s="19"/>
      <c r="E260" s="20"/>
      <c r="F260" s="21"/>
      <c r="G260" s="18"/>
    </row>
    <row r="261" spans="1:7" ht="18.75" thickBot="1">
      <c r="B261" s="4"/>
      <c r="C261" s="22" t="s">
        <v>10</v>
      </c>
      <c r="D261" s="23"/>
      <c r="E261" s="24"/>
      <c r="F261" s="25" t="s">
        <v>11</v>
      </c>
      <c r="G261" s="18"/>
    </row>
    <row r="262" spans="1:7">
      <c r="B262" s="4"/>
      <c r="C262" s="26" t="s">
        <v>12</v>
      </c>
      <c r="D262" s="26"/>
      <c r="E262" s="27">
        <v>16819.998392727302</v>
      </c>
      <c r="F262" s="28">
        <v>16819.998392727302</v>
      </c>
      <c r="G262" s="29"/>
    </row>
    <row r="263" spans="1:7">
      <c r="B263" s="30">
        <v>143</v>
      </c>
      <c r="C263" s="31" t="s">
        <v>13</v>
      </c>
      <c r="D263" s="31"/>
      <c r="E263" s="27">
        <v>5596.0880000000006</v>
      </c>
      <c r="F263" s="32">
        <v>5596.0880000000006</v>
      </c>
      <c r="G263" s="33"/>
    </row>
    <row r="264" spans="1:7">
      <c r="B264" s="30"/>
      <c r="C264" s="34" t="s">
        <v>14</v>
      </c>
      <c r="D264" s="34"/>
      <c r="E264" s="27">
        <v>0</v>
      </c>
      <c r="F264" s="32">
        <v>0</v>
      </c>
      <c r="G264" s="33"/>
    </row>
    <row r="265" spans="1:7">
      <c r="B265" s="30"/>
      <c r="C265" s="34" t="s">
        <v>15</v>
      </c>
      <c r="D265" s="34"/>
      <c r="E265" s="27">
        <v>0</v>
      </c>
      <c r="F265" s="32">
        <v>0</v>
      </c>
      <c r="G265" s="33"/>
    </row>
    <row r="266" spans="1:7">
      <c r="B266" s="30"/>
      <c r="C266" s="34" t="s">
        <v>16</v>
      </c>
      <c r="D266" s="34"/>
      <c r="E266" s="27">
        <v>0</v>
      </c>
      <c r="F266" s="32">
        <v>0</v>
      </c>
      <c r="G266" s="33"/>
    </row>
    <row r="267" spans="1:7">
      <c r="B267" s="30"/>
      <c r="C267" s="34" t="s">
        <v>17</v>
      </c>
      <c r="D267" s="34"/>
      <c r="E267" s="27">
        <v>0</v>
      </c>
      <c r="F267" s="32">
        <v>0</v>
      </c>
      <c r="G267" s="33"/>
    </row>
    <row r="268" spans="1:7">
      <c r="B268" s="30"/>
      <c r="C268" s="35" t="s">
        <v>18</v>
      </c>
      <c r="D268" s="35"/>
      <c r="E268" s="36">
        <v>22416.086392727302</v>
      </c>
      <c r="F268" s="37">
        <v>22416.086392727302</v>
      </c>
      <c r="G268" s="38"/>
    </row>
    <row r="269" spans="1:7" ht="15.75" thickBot="1">
      <c r="B269" s="30"/>
      <c r="C269" s="39"/>
      <c r="D269" s="39"/>
      <c r="E269" s="40"/>
      <c r="F269" s="41"/>
      <c r="G269" s="38"/>
    </row>
    <row r="270" spans="1:7" ht="18.75" thickBot="1">
      <c r="B270" s="30"/>
      <c r="C270" s="22" t="s">
        <v>19</v>
      </c>
      <c r="D270" s="23"/>
      <c r="E270" s="42"/>
      <c r="F270" s="43"/>
      <c r="G270" s="38"/>
    </row>
    <row r="271" spans="1:7">
      <c r="B271" s="44">
        <v>121</v>
      </c>
      <c r="C271" s="39" t="s">
        <v>20</v>
      </c>
      <c r="D271" s="39"/>
      <c r="E271" s="45"/>
      <c r="F271" s="46"/>
      <c r="G271" s="47"/>
    </row>
    <row r="272" spans="1:7">
      <c r="B272" s="44"/>
      <c r="C272" s="48" t="s">
        <v>21</v>
      </c>
      <c r="D272" s="48"/>
      <c r="E272" s="49">
        <v>0</v>
      </c>
      <c r="F272" s="50">
        <v>0</v>
      </c>
      <c r="G272" s="47"/>
    </row>
    <row r="273" spans="2:7">
      <c r="B273" s="44"/>
      <c r="C273" s="48" t="s">
        <v>22</v>
      </c>
      <c r="D273" s="48"/>
      <c r="E273" s="49">
        <v>0</v>
      </c>
      <c r="F273" s="50">
        <v>0</v>
      </c>
      <c r="G273" s="47"/>
    </row>
    <row r="274" spans="2:7">
      <c r="B274" s="51"/>
      <c r="C274" s="48" t="s">
        <v>23</v>
      </c>
      <c r="D274" s="48"/>
      <c r="E274" s="49">
        <v>0</v>
      </c>
      <c r="F274" s="50">
        <v>0</v>
      </c>
      <c r="G274" s="52"/>
    </row>
    <row r="275" spans="2:7">
      <c r="B275" s="51"/>
      <c r="C275" s="48" t="s">
        <v>24</v>
      </c>
      <c r="D275" s="48"/>
      <c r="E275" s="49">
        <v>994.89024000000006</v>
      </c>
      <c r="F275" s="50">
        <v>994.89024000000006</v>
      </c>
      <c r="G275" s="52"/>
    </row>
    <row r="276" spans="2:7">
      <c r="B276" s="44"/>
      <c r="C276" s="48" t="s">
        <v>25</v>
      </c>
      <c r="D276" s="48"/>
      <c r="E276" s="49">
        <v>0</v>
      </c>
      <c r="F276" s="50">
        <v>0</v>
      </c>
      <c r="G276" s="52"/>
    </row>
    <row r="277" spans="2:7">
      <c r="B277" s="44"/>
      <c r="C277" s="53" t="s">
        <v>26</v>
      </c>
      <c r="D277" s="53"/>
      <c r="E277" s="36">
        <v>994.89024000000006</v>
      </c>
      <c r="F277" s="54">
        <v>994.89024000000006</v>
      </c>
      <c r="G277" s="52"/>
    </row>
    <row r="278" spans="2:7">
      <c r="B278" s="44">
        <v>122</v>
      </c>
      <c r="C278" s="39" t="s">
        <v>27</v>
      </c>
      <c r="D278" s="39"/>
      <c r="E278" s="36"/>
      <c r="F278" s="50"/>
      <c r="G278" s="55"/>
    </row>
    <row r="279" spans="2:7">
      <c r="B279" s="44"/>
      <c r="C279" s="48" t="s">
        <v>28</v>
      </c>
      <c r="D279" s="48"/>
      <c r="E279" s="49">
        <v>0</v>
      </c>
      <c r="F279" s="50">
        <v>0</v>
      </c>
      <c r="G279" s="52"/>
    </row>
    <row r="280" spans="2:7">
      <c r="B280" s="44"/>
      <c r="C280" s="48" t="s">
        <v>29</v>
      </c>
      <c r="D280" s="48"/>
      <c r="E280" s="49">
        <v>0</v>
      </c>
      <c r="F280" s="50">
        <v>0</v>
      </c>
      <c r="G280" s="52"/>
    </row>
    <row r="281" spans="2:7">
      <c r="B281" s="44"/>
      <c r="C281" s="48" t="s">
        <v>30</v>
      </c>
      <c r="D281" s="48"/>
      <c r="E281" s="49">
        <v>0</v>
      </c>
      <c r="F281" s="50">
        <v>0</v>
      </c>
      <c r="G281" s="52"/>
    </row>
    <row r="282" spans="2:7">
      <c r="B282" s="44"/>
      <c r="C282" s="48" t="s">
        <v>31</v>
      </c>
      <c r="D282" s="48"/>
      <c r="E282" s="49">
        <v>0</v>
      </c>
      <c r="F282" s="50">
        <v>0</v>
      </c>
      <c r="G282" s="52"/>
    </row>
    <row r="283" spans="2:7">
      <c r="B283" s="44"/>
      <c r="C283" s="48" t="s">
        <v>32</v>
      </c>
      <c r="D283" s="48"/>
      <c r="E283" s="49">
        <v>331.63008000000002</v>
      </c>
      <c r="F283" s="50">
        <v>331.63008000000002</v>
      </c>
      <c r="G283" s="52"/>
    </row>
    <row r="284" spans="2:7">
      <c r="B284" s="44"/>
      <c r="C284" s="48" t="s">
        <v>33</v>
      </c>
      <c r="D284" s="48"/>
      <c r="E284" s="49">
        <v>0</v>
      </c>
      <c r="F284" s="50">
        <v>0</v>
      </c>
      <c r="G284" s="52"/>
    </row>
    <row r="285" spans="2:7">
      <c r="B285" s="44"/>
      <c r="C285" s="48" t="s">
        <v>34</v>
      </c>
      <c r="D285" s="48"/>
      <c r="E285" s="49">
        <v>0</v>
      </c>
      <c r="F285" s="50">
        <v>0</v>
      </c>
      <c r="G285" s="52"/>
    </row>
    <row r="286" spans="2:7">
      <c r="B286" s="44"/>
      <c r="C286" s="48" t="s">
        <v>35</v>
      </c>
      <c r="D286" s="48"/>
      <c r="E286" s="49">
        <v>0</v>
      </c>
      <c r="F286" s="50">
        <v>0</v>
      </c>
      <c r="G286" s="52"/>
    </row>
    <row r="287" spans="2:7">
      <c r="B287" s="44"/>
      <c r="C287" s="53" t="s">
        <v>26</v>
      </c>
      <c r="D287" s="53"/>
      <c r="E287" s="36">
        <v>331.63008000000002</v>
      </c>
      <c r="F287" s="54">
        <v>331.63008000000002</v>
      </c>
      <c r="G287" s="52"/>
    </row>
    <row r="288" spans="2:7">
      <c r="B288" s="44">
        <v>123</v>
      </c>
      <c r="C288" s="39" t="s">
        <v>36</v>
      </c>
      <c r="D288" s="39"/>
      <c r="E288" s="56"/>
      <c r="F288" s="57"/>
      <c r="G288" s="52"/>
    </row>
    <row r="289" spans="2:7">
      <c r="B289" s="44"/>
      <c r="C289" s="48" t="s">
        <v>37</v>
      </c>
      <c r="D289" s="48"/>
      <c r="E289" s="49">
        <v>271.33370181818157</v>
      </c>
      <c r="F289" s="50">
        <v>271.33370181818157</v>
      </c>
      <c r="G289" s="52"/>
    </row>
    <row r="290" spans="2:7">
      <c r="B290" s="44"/>
      <c r="C290" s="48" t="s">
        <v>38</v>
      </c>
      <c r="D290" s="48"/>
      <c r="E290" s="49">
        <v>2230.9659927272705</v>
      </c>
      <c r="F290" s="50">
        <v>2230.9659927272705</v>
      </c>
      <c r="G290" s="52"/>
    </row>
    <row r="291" spans="2:7">
      <c r="B291" s="44"/>
      <c r="C291" s="48" t="s">
        <v>39</v>
      </c>
      <c r="D291" s="48"/>
      <c r="E291" s="49">
        <v>271.33370181818157</v>
      </c>
      <c r="F291" s="50">
        <v>271.33370181818157</v>
      </c>
      <c r="G291" s="52"/>
    </row>
    <row r="292" spans="2:7">
      <c r="B292" s="44"/>
      <c r="C292" s="48" t="s">
        <v>40</v>
      </c>
      <c r="D292" s="48"/>
      <c r="E292" s="49">
        <v>0</v>
      </c>
      <c r="F292" s="50">
        <v>0</v>
      </c>
      <c r="G292" s="52"/>
    </row>
    <row r="293" spans="2:7">
      <c r="B293" s="44"/>
      <c r="C293" s="48" t="s">
        <v>41</v>
      </c>
      <c r="D293" s="48"/>
      <c r="E293" s="49">
        <v>0</v>
      </c>
      <c r="F293" s="50">
        <v>0</v>
      </c>
      <c r="G293" s="52"/>
    </row>
    <row r="294" spans="2:7">
      <c r="B294" s="44"/>
      <c r="C294" s="48" t="s">
        <v>42</v>
      </c>
      <c r="D294" s="48"/>
      <c r="E294" s="49">
        <v>542.66740363636313</v>
      </c>
      <c r="F294" s="50">
        <v>542.66740363636313</v>
      </c>
      <c r="G294" s="52"/>
    </row>
    <row r="295" spans="2:7">
      <c r="B295" s="44"/>
      <c r="C295" s="53" t="s">
        <v>26</v>
      </c>
      <c r="D295" s="53"/>
      <c r="E295" s="36">
        <v>3316.3007999999963</v>
      </c>
      <c r="F295" s="54">
        <v>3316.3007999999963</v>
      </c>
      <c r="G295" s="52"/>
    </row>
    <row r="296" spans="2:7">
      <c r="B296" s="44">
        <v>124</v>
      </c>
      <c r="C296" s="39" t="s">
        <v>43</v>
      </c>
      <c r="D296" s="39"/>
      <c r="E296" s="56"/>
      <c r="F296" s="57"/>
      <c r="G296" s="52"/>
    </row>
    <row r="297" spans="2:7">
      <c r="B297" s="44"/>
      <c r="C297" s="48" t="s">
        <v>44</v>
      </c>
      <c r="D297" s="48"/>
      <c r="E297" s="49">
        <v>0</v>
      </c>
      <c r="F297" s="50">
        <v>0</v>
      </c>
      <c r="G297" s="52"/>
    </row>
    <row r="298" spans="2:7">
      <c r="B298" s="44"/>
      <c r="C298" s="48" t="s">
        <v>45</v>
      </c>
      <c r="D298" s="48"/>
      <c r="E298" s="49">
        <v>2570.13312</v>
      </c>
      <c r="F298" s="50">
        <v>2570.13312</v>
      </c>
      <c r="G298" s="52"/>
    </row>
    <row r="299" spans="2:7">
      <c r="B299" s="44"/>
      <c r="C299" s="48" t="s">
        <v>46</v>
      </c>
      <c r="D299" s="48"/>
      <c r="E299" s="49">
        <v>0</v>
      </c>
      <c r="F299" s="50">
        <v>0</v>
      </c>
      <c r="G299" s="52"/>
    </row>
    <row r="300" spans="2:7">
      <c r="B300" s="44"/>
      <c r="C300" s="53" t="s">
        <v>26</v>
      </c>
      <c r="D300" s="53"/>
      <c r="E300" s="36">
        <v>2570.13312</v>
      </c>
      <c r="F300" s="54">
        <v>2570.13312</v>
      </c>
      <c r="G300" s="52"/>
    </row>
    <row r="301" spans="2:7">
      <c r="B301" s="44">
        <v>125</v>
      </c>
      <c r="C301" s="39" t="s">
        <v>47</v>
      </c>
      <c r="D301" s="39"/>
      <c r="E301" s="36"/>
      <c r="F301" s="50"/>
      <c r="G301" s="52"/>
    </row>
    <row r="302" spans="2:7">
      <c r="B302" s="44"/>
      <c r="C302" s="48" t="s">
        <v>48</v>
      </c>
      <c r="D302" s="48"/>
      <c r="E302" s="58">
        <v>0</v>
      </c>
      <c r="F302" s="50">
        <v>0</v>
      </c>
      <c r="G302" s="52"/>
    </row>
    <row r="303" spans="2:7">
      <c r="B303" s="44"/>
      <c r="C303" s="48" t="s">
        <v>49</v>
      </c>
      <c r="D303" s="48"/>
      <c r="E303" s="58">
        <v>0</v>
      </c>
      <c r="F303" s="50">
        <v>0</v>
      </c>
      <c r="G303" s="52"/>
    </row>
    <row r="304" spans="2:7">
      <c r="B304" s="44"/>
      <c r="C304" s="48" t="s">
        <v>50</v>
      </c>
      <c r="D304" s="48"/>
      <c r="E304" s="58">
        <v>1077.7977600000002</v>
      </c>
      <c r="F304" s="50">
        <v>1077.7977600000002</v>
      </c>
      <c r="G304" s="52"/>
    </row>
    <row r="305" spans="2:7">
      <c r="B305" s="44"/>
      <c r="C305" s="48" t="s">
        <v>51</v>
      </c>
      <c r="D305" s="48"/>
      <c r="E305" s="58">
        <v>0</v>
      </c>
      <c r="F305" s="50">
        <v>0</v>
      </c>
      <c r="G305" s="52"/>
    </row>
    <row r="306" spans="2:7">
      <c r="B306" s="44"/>
      <c r="C306" s="53" t="s">
        <v>26</v>
      </c>
      <c r="D306" s="53"/>
      <c r="E306" s="56">
        <v>1077.7977600000002</v>
      </c>
      <c r="F306" s="54">
        <v>1077.7977600000002</v>
      </c>
      <c r="G306" s="52"/>
    </row>
    <row r="307" spans="2:7">
      <c r="B307" s="44">
        <v>126</v>
      </c>
      <c r="C307" s="39" t="s">
        <v>52</v>
      </c>
      <c r="D307" s="39"/>
      <c r="E307" s="56"/>
      <c r="F307" s="50"/>
      <c r="G307" s="52"/>
    </row>
    <row r="308" spans="2:7">
      <c r="B308" s="44"/>
      <c r="C308" s="48" t="s">
        <v>53</v>
      </c>
      <c r="D308" s="48"/>
      <c r="E308" s="49">
        <v>0</v>
      </c>
      <c r="F308" s="50">
        <v>0</v>
      </c>
      <c r="G308" s="52"/>
    </row>
    <row r="309" spans="2:7">
      <c r="B309" s="44"/>
      <c r="C309" s="48" t="s">
        <v>54</v>
      </c>
      <c r="D309" s="48"/>
      <c r="E309" s="49">
        <v>0</v>
      </c>
      <c r="F309" s="50"/>
      <c r="G309" s="52"/>
    </row>
    <row r="310" spans="2:7">
      <c r="B310" s="44"/>
      <c r="C310" s="48" t="s">
        <v>55</v>
      </c>
      <c r="D310" s="48"/>
      <c r="E310" s="49">
        <v>0</v>
      </c>
      <c r="F310" s="50"/>
      <c r="G310" s="52"/>
    </row>
    <row r="311" spans="2:7">
      <c r="B311" s="44"/>
      <c r="C311" s="48" t="s">
        <v>56</v>
      </c>
      <c r="D311" s="48"/>
      <c r="E311" s="49">
        <v>0</v>
      </c>
      <c r="F311" s="57"/>
      <c r="G311" s="52"/>
    </row>
    <row r="312" spans="2:7">
      <c r="B312" s="44"/>
      <c r="C312" s="53" t="s">
        <v>26</v>
      </c>
      <c r="D312" s="53"/>
      <c r="E312" s="56">
        <v>0</v>
      </c>
      <c r="F312" s="54">
        <v>0</v>
      </c>
      <c r="G312" s="52"/>
    </row>
    <row r="313" spans="2:7">
      <c r="B313" s="44">
        <v>127</v>
      </c>
      <c r="C313" s="39" t="s">
        <v>57</v>
      </c>
      <c r="D313" s="39"/>
      <c r="E313" s="56"/>
      <c r="F313" s="54"/>
      <c r="G313" s="52"/>
    </row>
    <row r="314" spans="2:7">
      <c r="B314" s="44"/>
      <c r="C314" s="48" t="s">
        <v>58</v>
      </c>
      <c r="D314" s="48"/>
      <c r="E314" s="49">
        <v>0</v>
      </c>
      <c r="F314" s="50">
        <v>0</v>
      </c>
      <c r="G314" s="52"/>
    </row>
    <row r="315" spans="2:7">
      <c r="B315" s="44"/>
      <c r="C315" s="48" t="s">
        <v>59</v>
      </c>
      <c r="D315" s="48"/>
      <c r="E315" s="49">
        <v>0</v>
      </c>
      <c r="F315" s="50">
        <v>0</v>
      </c>
      <c r="G315" s="52"/>
    </row>
    <row r="316" spans="2:7">
      <c r="B316" s="44"/>
      <c r="C316" s="48" t="s">
        <v>60</v>
      </c>
      <c r="D316" s="48"/>
      <c r="E316" s="49">
        <v>0</v>
      </c>
      <c r="F316" s="50">
        <v>0</v>
      </c>
      <c r="G316" s="52"/>
    </row>
    <row r="317" spans="2:7">
      <c r="B317" s="44"/>
      <c r="C317" s="59" t="s">
        <v>61</v>
      </c>
      <c r="D317" s="59"/>
      <c r="E317" s="49">
        <v>0</v>
      </c>
      <c r="F317" s="50">
        <v>0</v>
      </c>
      <c r="G317" s="52"/>
    </row>
    <row r="318" spans="2:7">
      <c r="B318" s="44"/>
      <c r="C318" s="53" t="s">
        <v>26</v>
      </c>
      <c r="D318" s="53"/>
      <c r="E318" s="56">
        <v>0</v>
      </c>
      <c r="F318" s="54">
        <v>0</v>
      </c>
      <c r="G318" s="52"/>
    </row>
    <row r="319" spans="2:7">
      <c r="B319" s="44">
        <v>128</v>
      </c>
      <c r="C319" s="39" t="s">
        <v>62</v>
      </c>
      <c r="D319" s="39"/>
      <c r="E319" s="56"/>
      <c r="F319" s="54"/>
      <c r="G319" s="52"/>
    </row>
    <row r="320" spans="2:7">
      <c r="B320" s="44"/>
      <c r="C320" s="48" t="s">
        <v>63</v>
      </c>
      <c r="D320" s="48"/>
      <c r="E320" s="49">
        <v>0</v>
      </c>
      <c r="F320" s="50">
        <v>0</v>
      </c>
      <c r="G320" s="52"/>
    </row>
    <row r="321" spans="2:7">
      <c r="B321" s="44"/>
      <c r="C321" s="48" t="s">
        <v>64</v>
      </c>
      <c r="D321" s="48"/>
      <c r="E321" s="49">
        <v>0</v>
      </c>
      <c r="F321" s="50">
        <v>0</v>
      </c>
      <c r="G321" s="52"/>
    </row>
    <row r="322" spans="2:7">
      <c r="B322" s="44"/>
      <c r="C322" s="48" t="s">
        <v>65</v>
      </c>
      <c r="D322" s="48"/>
      <c r="E322" s="49">
        <v>0</v>
      </c>
      <c r="F322" s="50">
        <v>0</v>
      </c>
      <c r="G322" s="52"/>
    </row>
    <row r="323" spans="2:7">
      <c r="B323" s="44"/>
      <c r="C323" s="48" t="s">
        <v>66</v>
      </c>
      <c r="D323" s="48"/>
      <c r="E323" s="49">
        <v>0</v>
      </c>
      <c r="F323" s="50">
        <v>0</v>
      </c>
      <c r="G323" s="52"/>
    </row>
    <row r="324" spans="2:7">
      <c r="B324" s="44"/>
      <c r="C324" s="48" t="s">
        <v>67</v>
      </c>
      <c r="D324" s="48"/>
      <c r="E324" s="49">
        <v>0</v>
      </c>
      <c r="F324" s="50">
        <v>0</v>
      </c>
      <c r="G324" s="52"/>
    </row>
    <row r="325" spans="2:7">
      <c r="B325" s="44"/>
      <c r="C325" s="53" t="s">
        <v>26</v>
      </c>
      <c r="D325" s="53"/>
      <c r="E325" s="56">
        <v>0</v>
      </c>
      <c r="F325" s="54">
        <v>0</v>
      </c>
      <c r="G325" s="52"/>
    </row>
    <row r="326" spans="2:7">
      <c r="B326" s="44">
        <v>135</v>
      </c>
      <c r="C326" s="39" t="s">
        <v>68</v>
      </c>
      <c r="D326" s="39"/>
      <c r="E326" s="56"/>
      <c r="F326" s="50"/>
      <c r="G326" s="52"/>
    </row>
    <row r="327" spans="2:7">
      <c r="B327" s="44"/>
      <c r="C327" s="48" t="s">
        <v>69</v>
      </c>
      <c r="D327" s="48"/>
      <c r="E327" s="49">
        <v>0</v>
      </c>
      <c r="F327" s="50">
        <v>0</v>
      </c>
      <c r="G327" s="52"/>
    </row>
    <row r="328" spans="2:7">
      <c r="B328" s="44"/>
      <c r="C328" s="48" t="s">
        <v>70</v>
      </c>
      <c r="D328" s="48"/>
      <c r="E328" s="49">
        <v>0</v>
      </c>
      <c r="F328" s="50">
        <v>0</v>
      </c>
      <c r="G328" s="52"/>
    </row>
    <row r="329" spans="2:7">
      <c r="B329" s="44"/>
      <c r="C329" s="48" t="s">
        <v>71</v>
      </c>
      <c r="D329" s="48"/>
      <c r="E329" s="49">
        <v>0</v>
      </c>
      <c r="F329" s="50">
        <v>0</v>
      </c>
      <c r="G329" s="52"/>
    </row>
    <row r="330" spans="2:7">
      <c r="B330" s="44"/>
      <c r="C330" s="48" t="s">
        <v>72</v>
      </c>
      <c r="D330" s="48"/>
      <c r="E330" s="49">
        <v>0</v>
      </c>
      <c r="F330" s="50">
        <v>0</v>
      </c>
      <c r="G330" s="52"/>
    </row>
    <row r="331" spans="2:7">
      <c r="B331" s="44"/>
      <c r="C331" s="48" t="s">
        <v>73</v>
      </c>
      <c r="D331" s="48"/>
      <c r="E331" s="49">
        <v>0</v>
      </c>
      <c r="F331" s="50">
        <v>0</v>
      </c>
      <c r="G331" s="52"/>
    </row>
    <row r="332" spans="2:7">
      <c r="B332" s="44"/>
      <c r="C332" s="48" t="s">
        <v>74</v>
      </c>
      <c r="D332" s="48"/>
      <c r="E332" s="49">
        <v>0</v>
      </c>
      <c r="F332" s="50">
        <v>0</v>
      </c>
      <c r="G332" s="52"/>
    </row>
    <row r="333" spans="2:7">
      <c r="B333" s="44"/>
      <c r="C333" s="48" t="s">
        <v>75</v>
      </c>
      <c r="D333" s="48"/>
      <c r="E333" s="49">
        <v>0</v>
      </c>
      <c r="F333" s="50">
        <v>0</v>
      </c>
      <c r="G333" s="52"/>
    </row>
    <row r="334" spans="2:7">
      <c r="B334" s="44"/>
      <c r="C334" s="48" t="s">
        <v>76</v>
      </c>
      <c r="D334" s="48"/>
      <c r="E334" s="49">
        <v>0</v>
      </c>
      <c r="F334" s="50">
        <v>0</v>
      </c>
      <c r="G334" s="52"/>
    </row>
    <row r="335" spans="2:7">
      <c r="B335" s="44"/>
      <c r="C335" s="48" t="s">
        <v>77</v>
      </c>
      <c r="D335" s="48"/>
      <c r="E335" s="49">
        <v>0</v>
      </c>
      <c r="F335" s="50">
        <v>0</v>
      </c>
      <c r="G335" s="52"/>
    </row>
    <row r="336" spans="2:7">
      <c r="B336" s="44"/>
      <c r="C336" s="53" t="s">
        <v>26</v>
      </c>
      <c r="D336" s="53"/>
      <c r="E336" s="56">
        <v>0</v>
      </c>
      <c r="F336" s="54">
        <v>0</v>
      </c>
      <c r="G336" s="52"/>
    </row>
    <row r="337" spans="2:7">
      <c r="B337" s="44">
        <v>136</v>
      </c>
      <c r="C337" s="39" t="s">
        <v>78</v>
      </c>
      <c r="D337" s="39"/>
      <c r="E337" s="56"/>
      <c r="F337" s="50"/>
      <c r="G337" s="52"/>
    </row>
    <row r="338" spans="2:7">
      <c r="B338" s="44"/>
      <c r="C338" s="48" t="s">
        <v>79</v>
      </c>
      <c r="D338" s="48"/>
      <c r="E338" s="49">
        <v>0</v>
      </c>
      <c r="F338" s="50">
        <v>0</v>
      </c>
      <c r="G338" s="52"/>
    </row>
    <row r="339" spans="2:7">
      <c r="B339" s="44"/>
      <c r="C339" s="48" t="s">
        <v>80</v>
      </c>
      <c r="D339" s="48"/>
      <c r="E339" s="49">
        <v>0</v>
      </c>
      <c r="F339" s="50">
        <v>0</v>
      </c>
      <c r="G339" s="52"/>
    </row>
    <row r="340" spans="2:7">
      <c r="B340" s="44"/>
      <c r="C340" s="48" t="s">
        <v>81</v>
      </c>
      <c r="D340" s="48"/>
      <c r="E340" s="49">
        <v>0</v>
      </c>
      <c r="F340" s="50">
        <v>0</v>
      </c>
      <c r="G340" s="52"/>
    </row>
    <row r="341" spans="2:7">
      <c r="B341" s="44"/>
      <c r="C341" s="48" t="s">
        <v>82</v>
      </c>
      <c r="D341" s="48"/>
      <c r="E341" s="49">
        <v>0</v>
      </c>
      <c r="F341" s="50">
        <v>0</v>
      </c>
      <c r="G341" s="52"/>
    </row>
    <row r="342" spans="2:7">
      <c r="B342" s="44"/>
      <c r="C342" s="48" t="s">
        <v>83</v>
      </c>
      <c r="D342" s="48"/>
      <c r="E342" s="49">
        <v>0</v>
      </c>
      <c r="F342" s="50">
        <v>0</v>
      </c>
      <c r="G342" s="52"/>
    </row>
    <row r="343" spans="2:7">
      <c r="B343" s="44"/>
      <c r="C343" s="48" t="s">
        <v>84</v>
      </c>
      <c r="D343" s="48"/>
      <c r="E343" s="49">
        <v>0</v>
      </c>
      <c r="F343" s="50">
        <v>0</v>
      </c>
      <c r="G343" s="52"/>
    </row>
    <row r="344" spans="2:7">
      <c r="B344" s="44"/>
      <c r="C344" s="53" t="s">
        <v>26</v>
      </c>
      <c r="D344" s="53"/>
      <c r="E344" s="56">
        <v>0</v>
      </c>
      <c r="F344" s="54">
        <v>0</v>
      </c>
      <c r="G344" s="52"/>
    </row>
    <row r="345" spans="2:7">
      <c r="B345" s="44">
        <v>142</v>
      </c>
      <c r="C345" s="39" t="s">
        <v>85</v>
      </c>
      <c r="D345" s="39"/>
      <c r="E345" s="56"/>
      <c r="F345" s="50"/>
      <c r="G345" s="52"/>
    </row>
    <row r="346" spans="2:7">
      <c r="B346" s="44"/>
      <c r="C346" s="48" t="s">
        <v>86</v>
      </c>
      <c r="D346" s="48"/>
      <c r="E346" s="49">
        <v>0</v>
      </c>
      <c r="F346" s="50">
        <v>0</v>
      </c>
      <c r="G346" s="52"/>
    </row>
    <row r="347" spans="2:7">
      <c r="B347" s="44"/>
      <c r="C347" s="48" t="s">
        <v>87</v>
      </c>
      <c r="D347" s="48"/>
      <c r="E347" s="49">
        <v>0</v>
      </c>
      <c r="F347" s="50">
        <v>0</v>
      </c>
      <c r="G347" s="52"/>
    </row>
    <row r="348" spans="2:7">
      <c r="B348" s="44"/>
      <c r="C348" s="53" t="s">
        <v>26</v>
      </c>
      <c r="D348" s="53"/>
      <c r="E348" s="56">
        <v>0</v>
      </c>
      <c r="F348" s="54">
        <v>0</v>
      </c>
      <c r="G348" s="52"/>
    </row>
    <row r="349" spans="2:7">
      <c r="B349" s="44">
        <v>144</v>
      </c>
      <c r="C349" s="39" t="s">
        <v>88</v>
      </c>
      <c r="D349" s="39"/>
      <c r="E349" s="49">
        <v>0</v>
      </c>
      <c r="F349" s="54">
        <v>0</v>
      </c>
      <c r="G349" s="52"/>
    </row>
    <row r="350" spans="2:7">
      <c r="B350" s="44">
        <v>221</v>
      </c>
      <c r="C350" s="39" t="s">
        <v>89</v>
      </c>
      <c r="D350" s="39"/>
      <c r="E350" s="49">
        <v>0</v>
      </c>
      <c r="F350" s="54">
        <v>0</v>
      </c>
      <c r="G350" s="52"/>
    </row>
    <row r="351" spans="2:7">
      <c r="B351" s="44">
        <v>222</v>
      </c>
      <c r="C351" s="39" t="s">
        <v>90</v>
      </c>
      <c r="D351" s="39"/>
      <c r="E351" s="49">
        <v>0</v>
      </c>
      <c r="F351" s="54">
        <v>0</v>
      </c>
      <c r="G351" s="52"/>
    </row>
    <row r="352" spans="2:7">
      <c r="B352" s="44">
        <v>224</v>
      </c>
      <c r="C352" s="39" t="s">
        <v>91</v>
      </c>
      <c r="D352" s="39"/>
      <c r="E352" s="49">
        <v>0</v>
      </c>
      <c r="F352" s="54">
        <v>0</v>
      </c>
      <c r="G352" s="52"/>
    </row>
    <row r="353" spans="2:7">
      <c r="B353" s="44">
        <v>225</v>
      </c>
      <c r="C353" s="39" t="s">
        <v>92</v>
      </c>
      <c r="D353" s="39"/>
      <c r="E353" s="49">
        <v>0</v>
      </c>
      <c r="F353" s="54">
        <v>0</v>
      </c>
      <c r="G353" s="38"/>
    </row>
    <row r="354" spans="2:7">
      <c r="B354" s="44">
        <v>226</v>
      </c>
      <c r="C354" s="39" t="s">
        <v>93</v>
      </c>
      <c r="D354" s="39"/>
      <c r="E354" s="49">
        <v>0</v>
      </c>
      <c r="F354" s="54">
        <v>0</v>
      </c>
      <c r="G354" s="60"/>
    </row>
    <row r="355" spans="2:7" ht="15.75" thickBot="1">
      <c r="B355" s="61"/>
      <c r="C355" s="62" t="s">
        <v>94</v>
      </c>
      <c r="D355" s="62"/>
      <c r="E355" s="94">
        <v>0</v>
      </c>
      <c r="F355" s="63">
        <v>0</v>
      </c>
      <c r="G355" s="38"/>
    </row>
    <row r="356" spans="2:7">
      <c r="B356" s="64"/>
      <c r="C356" s="65" t="s">
        <v>95</v>
      </c>
      <c r="D356" s="66"/>
      <c r="E356" s="67">
        <v>8290.7519999999968</v>
      </c>
      <c r="F356" s="68">
        <v>8290.7519999999968</v>
      </c>
      <c r="G356" s="69"/>
    </row>
    <row r="357" spans="2:7" ht="15.75" thickBot="1">
      <c r="B357" s="64"/>
      <c r="C357" s="70"/>
      <c r="D357" s="71"/>
      <c r="E357" s="72"/>
      <c r="F357" s="73"/>
      <c r="G357" s="69"/>
    </row>
    <row r="358" spans="2:7" ht="15.75" thickBot="1">
      <c r="B358" s="64"/>
      <c r="C358" s="70" t="s">
        <v>96</v>
      </c>
      <c r="D358" s="71"/>
      <c r="E358" s="74">
        <v>14125.334392727305</v>
      </c>
      <c r="F358" s="75">
        <v>14125.334392727305</v>
      </c>
      <c r="G358" s="76"/>
    </row>
    <row r="359" spans="2:7" ht="8.25" customHeight="1" thickBot="1">
      <c r="B359" s="77"/>
      <c r="C359" s="81"/>
      <c r="D359" s="81"/>
      <c r="E359" s="78"/>
      <c r="F359" s="78"/>
      <c r="G359" s="79"/>
    </row>
    <row r="360" spans="2:7">
      <c r="B360" s="85"/>
      <c r="C360" s="84"/>
      <c r="D360" s="84"/>
      <c r="E360" s="85"/>
      <c r="F360" s="85"/>
      <c r="G360" s="85"/>
    </row>
  </sheetData>
  <mergeCells count="3">
    <mergeCell ref="C8:E8"/>
    <mergeCell ref="C128:E128"/>
    <mergeCell ref="C248:E248"/>
  </mergeCells>
  <dataValidations count="1">
    <dataValidation type="list" allowBlank="1" showInputMessage="1" showErrorMessage="1" sqref="C136 C16 C256" xr:uid="{9F2357F5-D039-4D76-A602-20F486BD85CA}">
      <formula1>FacList</formula1>
    </dataValidation>
  </dataValidations>
  <hyperlinks>
    <hyperlink ref="F12" r:id="rId1" xr:uid="{C27A2F5B-B798-46C9-9F41-460546FDC4C8}"/>
    <hyperlink ref="F132" r:id="rId2" xr:uid="{05FBB9E3-31A3-45D6-866C-6F46731A8385}"/>
    <hyperlink ref="F252" r:id="rId3" xr:uid="{8EDF7B4B-601F-4E1E-B1E2-C7B244D2A6FB}"/>
  </hyperlinks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5F291-9D49-4254-BE45-4307269C58E6}">
  <dimension ref="A1:G360"/>
  <sheetViews>
    <sheetView topLeftCell="C1" zoomScale="90" zoomScaleNormal="90" workbookViewId="0">
      <selection sqref="A1:XFD1048576"/>
    </sheetView>
  </sheetViews>
  <sheetFormatPr defaultColWidth="8.85546875" defaultRowHeight="15"/>
  <cols>
    <col min="1" max="1" width="1.140625" customWidth="1"/>
    <col min="2" max="2" width="27.42578125" customWidth="1"/>
    <col min="3" max="3" width="42.7109375" bestFit="1" customWidth="1"/>
    <col min="4" max="4" width="4" customWidth="1"/>
    <col min="5" max="5" width="25.42578125" customWidth="1"/>
    <col min="6" max="6" width="27.42578125" customWidth="1"/>
    <col min="7" max="7" width="4.7109375" customWidth="1"/>
  </cols>
  <sheetData>
    <row r="1" spans="1:7" ht="6" customHeight="1" thickBot="1"/>
    <row r="2" spans="1:7">
      <c r="B2" s="1"/>
      <c r="C2" s="2"/>
      <c r="D2" s="2"/>
      <c r="E2" s="2"/>
      <c r="F2" s="2"/>
      <c r="G2" s="3"/>
    </row>
    <row r="3" spans="1:7">
      <c r="B3" s="4"/>
      <c r="C3" s="5"/>
      <c r="D3" s="5"/>
      <c r="E3" s="5"/>
      <c r="F3" s="5"/>
      <c r="G3" s="6"/>
    </row>
    <row r="4" spans="1:7">
      <c r="B4" s="4"/>
      <c r="C4" s="5"/>
      <c r="D4" s="5"/>
      <c r="E4" s="5"/>
      <c r="F4" s="5"/>
      <c r="G4" s="6"/>
    </row>
    <row r="5" spans="1:7">
      <c r="B5" s="4"/>
      <c r="C5" s="5"/>
      <c r="D5" s="5"/>
      <c r="E5" s="5"/>
      <c r="F5" s="5"/>
      <c r="G5" s="6"/>
    </row>
    <row r="6" spans="1:7">
      <c r="B6" s="4"/>
      <c r="C6" s="5"/>
      <c r="D6" s="5"/>
      <c r="E6" s="5"/>
      <c r="F6" s="5"/>
      <c r="G6" s="6"/>
    </row>
    <row r="7" spans="1:7" ht="16.5" customHeight="1">
      <c r="B7" s="4"/>
      <c r="C7" s="5"/>
      <c r="D7" s="5"/>
      <c r="E7" s="5"/>
      <c r="F7" s="5"/>
      <c r="G7" s="6"/>
    </row>
    <row r="8" spans="1:7" ht="22.5" customHeight="1" thickBot="1">
      <c r="B8" s="4"/>
      <c r="C8" s="95" t="s">
        <v>0</v>
      </c>
      <c r="D8" s="95"/>
      <c r="E8" s="95"/>
      <c r="F8" s="5"/>
      <c r="G8" s="6"/>
    </row>
    <row r="9" spans="1:7" ht="21" thickTop="1">
      <c r="B9" s="4"/>
      <c r="C9" s="7"/>
      <c r="D9" s="7"/>
      <c r="E9" s="5"/>
      <c r="F9" s="5"/>
      <c r="G9" s="6"/>
    </row>
    <row r="10" spans="1:7">
      <c r="B10" s="8" t="s">
        <v>1</v>
      </c>
      <c r="C10" s="9" t="s">
        <v>97</v>
      </c>
      <c r="D10" s="5"/>
      <c r="E10" s="10" t="s">
        <v>2</v>
      </c>
      <c r="F10" s="9" t="s">
        <v>98</v>
      </c>
      <c r="G10" s="6"/>
    </row>
    <row r="11" spans="1:7" ht="3.75" customHeight="1">
      <c r="A11" s="80"/>
      <c r="B11" s="5"/>
      <c r="C11" s="5"/>
      <c r="D11" s="5"/>
      <c r="E11" s="11"/>
      <c r="F11" s="5"/>
      <c r="G11" s="6"/>
    </row>
    <row r="12" spans="1:7">
      <c r="A12" s="80"/>
      <c r="B12" s="12" t="s">
        <v>3</v>
      </c>
      <c r="C12" s="9" t="s">
        <v>99</v>
      </c>
      <c r="D12" s="5"/>
      <c r="E12" s="10" t="s">
        <v>4</v>
      </c>
      <c r="F12" s="82" t="s">
        <v>100</v>
      </c>
      <c r="G12" s="6"/>
    </row>
    <row r="13" spans="1:7" ht="3.75" customHeight="1">
      <c r="A13" s="80"/>
      <c r="B13" s="5"/>
      <c r="C13" s="5"/>
      <c r="D13" s="5"/>
      <c r="E13" s="11"/>
      <c r="F13" s="5"/>
      <c r="G13" s="6"/>
    </row>
    <row r="14" spans="1:7">
      <c r="A14" s="80"/>
      <c r="B14" s="10" t="s">
        <v>5</v>
      </c>
      <c r="C14" s="9" t="s">
        <v>101</v>
      </c>
      <c r="D14" s="5"/>
      <c r="E14" s="10" t="s">
        <v>6</v>
      </c>
      <c r="F14" s="9" t="s">
        <v>107</v>
      </c>
      <c r="G14" s="6"/>
    </row>
    <row r="15" spans="1:7" ht="4.5" customHeight="1">
      <c r="A15" s="80"/>
      <c r="B15" s="13"/>
      <c r="C15" s="5"/>
      <c r="D15" s="5"/>
      <c r="E15" s="11"/>
      <c r="F15" s="5"/>
      <c r="G15" s="6"/>
    </row>
    <row r="16" spans="1:7">
      <c r="A16" s="80"/>
      <c r="B16" s="10" t="s">
        <v>7</v>
      </c>
      <c r="C16" s="9" t="s">
        <v>114</v>
      </c>
      <c r="D16" s="5"/>
      <c r="E16" s="11"/>
      <c r="F16" s="5"/>
      <c r="G16" s="6"/>
    </row>
    <row r="17" spans="1:7" ht="3.75" customHeight="1">
      <c r="A17" s="80"/>
      <c r="B17" s="5"/>
      <c r="C17" s="5"/>
      <c r="D17" s="5"/>
      <c r="E17" s="11"/>
      <c r="F17" s="5"/>
      <c r="G17" s="6"/>
    </row>
    <row r="18" spans="1:7">
      <c r="B18" s="14" t="s">
        <v>8</v>
      </c>
      <c r="C18" s="15" t="s">
        <v>103</v>
      </c>
      <c r="D18" s="5"/>
      <c r="E18" s="86" t="s">
        <v>109</v>
      </c>
      <c r="F18" s="87">
        <v>45292</v>
      </c>
      <c r="G18" s="6"/>
    </row>
    <row r="19" spans="1:7">
      <c r="B19" s="16" t="s">
        <v>9</v>
      </c>
      <c r="C19" s="17" t="s">
        <v>130</v>
      </c>
      <c r="D19" s="5"/>
      <c r="E19" s="88" t="s">
        <v>110</v>
      </c>
      <c r="F19" s="89">
        <v>45322</v>
      </c>
      <c r="G19" s="18"/>
    </row>
    <row r="20" spans="1:7" ht="15.75" thickBot="1">
      <c r="B20" s="4"/>
      <c r="C20" s="19"/>
      <c r="D20" s="19"/>
      <c r="E20" s="20"/>
      <c r="F20" s="21"/>
      <c r="G20" s="18"/>
    </row>
    <row r="21" spans="1:7" ht="18.75" thickBot="1">
      <c r="B21" s="4"/>
      <c r="C21" s="22" t="s">
        <v>10</v>
      </c>
      <c r="D21" s="23"/>
      <c r="E21" s="24"/>
      <c r="F21" s="25" t="s">
        <v>11</v>
      </c>
      <c r="G21" s="18"/>
    </row>
    <row r="22" spans="1:7">
      <c r="B22" s="4"/>
      <c r="C22" s="26" t="s">
        <v>12</v>
      </c>
      <c r="D22" s="26"/>
      <c r="E22" s="27">
        <v>13089.499192727297</v>
      </c>
      <c r="F22" s="28">
        <v>13089.499192727297</v>
      </c>
      <c r="G22" s="29"/>
    </row>
    <row r="23" spans="1:7">
      <c r="B23" s="30">
        <v>143</v>
      </c>
      <c r="C23" s="31" t="s">
        <v>13</v>
      </c>
      <c r="D23" s="31"/>
      <c r="E23" s="27">
        <v>5596.0880000000006</v>
      </c>
      <c r="F23" s="32">
        <v>5596.0880000000006</v>
      </c>
      <c r="G23" s="33"/>
    </row>
    <row r="24" spans="1:7">
      <c r="B24" s="30"/>
      <c r="C24" s="34" t="s">
        <v>14</v>
      </c>
      <c r="D24" s="34"/>
      <c r="E24" s="27">
        <v>0</v>
      </c>
      <c r="F24" s="32">
        <v>0</v>
      </c>
      <c r="G24" s="33"/>
    </row>
    <row r="25" spans="1:7">
      <c r="B25" s="30"/>
      <c r="C25" s="34" t="s">
        <v>15</v>
      </c>
      <c r="D25" s="34"/>
      <c r="E25" s="27">
        <v>0</v>
      </c>
      <c r="F25" s="32">
        <v>0</v>
      </c>
      <c r="G25" s="33"/>
    </row>
    <row r="26" spans="1:7">
      <c r="B26" s="30"/>
      <c r="C26" s="34" t="s">
        <v>16</v>
      </c>
      <c r="D26" s="34"/>
      <c r="E26" s="27">
        <v>0</v>
      </c>
      <c r="F26" s="32">
        <v>0</v>
      </c>
      <c r="G26" s="33"/>
    </row>
    <row r="27" spans="1:7">
      <c r="B27" s="30"/>
      <c r="C27" s="34" t="s">
        <v>17</v>
      </c>
      <c r="D27" s="34"/>
      <c r="E27" s="27">
        <v>0</v>
      </c>
      <c r="F27" s="32">
        <v>0</v>
      </c>
      <c r="G27" s="33"/>
    </row>
    <row r="28" spans="1:7">
      <c r="B28" s="30"/>
      <c r="C28" s="35" t="s">
        <v>18</v>
      </c>
      <c r="D28" s="35"/>
      <c r="E28" s="36">
        <v>18685.587192727296</v>
      </c>
      <c r="F28" s="37">
        <v>18685.587192727296</v>
      </c>
      <c r="G28" s="38"/>
    </row>
    <row r="29" spans="1:7" ht="15.75" thickBot="1">
      <c r="B29" s="30"/>
      <c r="C29" s="39"/>
      <c r="D29" s="39"/>
      <c r="E29" s="40"/>
      <c r="F29" s="41"/>
      <c r="G29" s="38"/>
    </row>
    <row r="30" spans="1:7" ht="18.75" thickBot="1">
      <c r="B30" s="30"/>
      <c r="C30" s="22" t="s">
        <v>19</v>
      </c>
      <c r="D30" s="23"/>
      <c r="E30" s="42"/>
      <c r="F30" s="43"/>
      <c r="G30" s="38"/>
    </row>
    <row r="31" spans="1:7">
      <c r="B31" s="44">
        <v>121</v>
      </c>
      <c r="C31" s="39" t="s">
        <v>20</v>
      </c>
      <c r="D31" s="39"/>
      <c r="E31" s="45"/>
      <c r="F31" s="46"/>
      <c r="G31" s="47"/>
    </row>
    <row r="32" spans="1:7">
      <c r="B32" s="44"/>
      <c r="C32" s="48" t="s">
        <v>21</v>
      </c>
      <c r="D32" s="48"/>
      <c r="E32" s="49">
        <v>362.72039999999993</v>
      </c>
      <c r="F32" s="50">
        <v>362.72039999999993</v>
      </c>
      <c r="G32" s="47"/>
    </row>
    <row r="33" spans="2:7">
      <c r="B33" s="44"/>
      <c r="C33" s="48" t="s">
        <v>22</v>
      </c>
      <c r="D33" s="48"/>
      <c r="E33" s="49">
        <v>373.08383999999955</v>
      </c>
      <c r="F33" s="50">
        <v>373.08383999999955</v>
      </c>
      <c r="G33" s="47"/>
    </row>
    <row r="34" spans="2:7">
      <c r="B34" s="51"/>
      <c r="C34" s="48" t="s">
        <v>23</v>
      </c>
      <c r="D34" s="48"/>
      <c r="E34" s="49">
        <v>445.62792000000002</v>
      </c>
      <c r="F34" s="50">
        <v>445.62792000000002</v>
      </c>
      <c r="G34" s="52"/>
    </row>
    <row r="35" spans="2:7">
      <c r="B35" s="51"/>
      <c r="C35" s="48" t="s">
        <v>24</v>
      </c>
      <c r="D35" s="48"/>
      <c r="E35" s="49">
        <v>305.25041454545419</v>
      </c>
      <c r="F35" s="50">
        <v>305.25041454545419</v>
      </c>
      <c r="G35" s="52"/>
    </row>
    <row r="36" spans="2:7">
      <c r="B36" s="44"/>
      <c r="C36" s="48" t="s">
        <v>25</v>
      </c>
      <c r="D36" s="48"/>
      <c r="E36" s="49">
        <v>0</v>
      </c>
      <c r="F36" s="50">
        <v>0</v>
      </c>
      <c r="G36" s="52"/>
    </row>
    <row r="37" spans="2:7">
      <c r="B37" s="44"/>
      <c r="C37" s="53" t="s">
        <v>26</v>
      </c>
      <c r="D37" s="53"/>
      <c r="E37" s="36">
        <v>1486.6825745454535</v>
      </c>
      <c r="F37" s="54">
        <v>1486.6825745454535</v>
      </c>
      <c r="G37" s="52"/>
    </row>
    <row r="38" spans="2:7">
      <c r="B38" s="44">
        <v>122</v>
      </c>
      <c r="C38" s="39" t="s">
        <v>27</v>
      </c>
      <c r="D38" s="39"/>
      <c r="E38" s="36"/>
      <c r="F38" s="50"/>
      <c r="G38" s="55"/>
    </row>
    <row r="39" spans="2:7">
      <c r="B39" s="44"/>
      <c r="C39" s="48" t="s">
        <v>28</v>
      </c>
      <c r="D39" s="48"/>
      <c r="E39" s="49">
        <v>176.17848000000001</v>
      </c>
      <c r="F39" s="50">
        <v>176.17848000000001</v>
      </c>
      <c r="G39" s="52"/>
    </row>
    <row r="40" spans="2:7">
      <c r="B40" s="44"/>
      <c r="C40" s="48" t="s">
        <v>29</v>
      </c>
      <c r="D40" s="48"/>
      <c r="E40" s="49">
        <v>0</v>
      </c>
      <c r="F40" s="50">
        <v>0</v>
      </c>
      <c r="G40" s="52"/>
    </row>
    <row r="41" spans="2:7">
      <c r="B41" s="44"/>
      <c r="C41" s="48" t="s">
        <v>30</v>
      </c>
      <c r="D41" s="48"/>
      <c r="E41" s="49">
        <v>233.64846545454537</v>
      </c>
      <c r="F41" s="50">
        <v>233.64846545454537</v>
      </c>
      <c r="G41" s="52"/>
    </row>
    <row r="42" spans="2:7">
      <c r="B42" s="44"/>
      <c r="C42" s="48" t="s">
        <v>31</v>
      </c>
      <c r="D42" s="48"/>
      <c r="E42" s="49">
        <v>41.453760000000003</v>
      </c>
      <c r="F42" s="50">
        <v>41.453760000000003</v>
      </c>
      <c r="G42" s="52"/>
    </row>
    <row r="43" spans="2:7">
      <c r="B43" s="44"/>
      <c r="C43" s="48" t="s">
        <v>32</v>
      </c>
      <c r="D43" s="48"/>
      <c r="E43" s="49">
        <v>165.81504000000001</v>
      </c>
      <c r="F43" s="50">
        <v>165.81504000000001</v>
      </c>
      <c r="G43" s="52"/>
    </row>
    <row r="44" spans="2:7">
      <c r="B44" s="44"/>
      <c r="C44" s="48" t="s">
        <v>33</v>
      </c>
      <c r="D44" s="48"/>
      <c r="E44" s="49">
        <v>0</v>
      </c>
      <c r="F44" s="50">
        <v>0</v>
      </c>
      <c r="G44" s="52"/>
    </row>
    <row r="45" spans="2:7">
      <c r="B45" s="44"/>
      <c r="C45" s="48" t="s">
        <v>34</v>
      </c>
      <c r="D45" s="48"/>
      <c r="E45" s="49">
        <v>0</v>
      </c>
      <c r="F45" s="50">
        <v>0</v>
      </c>
      <c r="G45" s="52"/>
    </row>
    <row r="46" spans="2:7">
      <c r="B46" s="44"/>
      <c r="C46" s="48" t="s">
        <v>35</v>
      </c>
      <c r="D46" s="48"/>
      <c r="E46" s="49">
        <v>0</v>
      </c>
      <c r="F46" s="50">
        <v>0</v>
      </c>
      <c r="G46" s="52"/>
    </row>
    <row r="47" spans="2:7">
      <c r="B47" s="44"/>
      <c r="C47" s="53" t="s">
        <v>26</v>
      </c>
      <c r="D47" s="53"/>
      <c r="E47" s="36">
        <v>617.09574545454529</v>
      </c>
      <c r="F47" s="54">
        <v>617.09574545454529</v>
      </c>
      <c r="G47" s="52"/>
    </row>
    <row r="48" spans="2:7">
      <c r="B48" s="44">
        <v>123</v>
      </c>
      <c r="C48" s="39" t="s">
        <v>36</v>
      </c>
      <c r="D48" s="39"/>
      <c r="E48" s="56"/>
      <c r="F48" s="57"/>
      <c r="G48" s="52"/>
    </row>
    <row r="49" spans="2:7">
      <c r="B49" s="44"/>
      <c r="C49" s="48" t="s">
        <v>37</v>
      </c>
      <c r="D49" s="48"/>
      <c r="E49" s="49">
        <v>150.7409454545454</v>
      </c>
      <c r="F49" s="50">
        <v>150.7409454545454</v>
      </c>
      <c r="G49" s="52"/>
    </row>
    <row r="50" spans="2:7">
      <c r="B50" s="44"/>
      <c r="C50" s="48" t="s">
        <v>38</v>
      </c>
      <c r="D50" s="48"/>
      <c r="E50" s="49">
        <v>0</v>
      </c>
      <c r="F50" s="50">
        <v>0</v>
      </c>
      <c r="G50" s="52"/>
    </row>
    <row r="51" spans="2:7">
      <c r="B51" s="44"/>
      <c r="C51" s="48" t="s">
        <v>39</v>
      </c>
      <c r="D51" s="48"/>
      <c r="E51" s="49">
        <v>177.1206109090908</v>
      </c>
      <c r="F51" s="50">
        <v>177.1206109090908</v>
      </c>
      <c r="G51" s="52"/>
    </row>
    <row r="52" spans="2:7">
      <c r="B52" s="44"/>
      <c r="C52" s="48" t="s">
        <v>40</v>
      </c>
      <c r="D52" s="48"/>
      <c r="E52" s="49">
        <v>135.66685090909078</v>
      </c>
      <c r="F52" s="50">
        <v>135.66685090909078</v>
      </c>
      <c r="G52" s="52"/>
    </row>
    <row r="53" spans="2:7">
      <c r="B53" s="44"/>
      <c r="C53" s="48" t="s">
        <v>41</v>
      </c>
      <c r="D53" s="48"/>
      <c r="E53" s="49">
        <v>0</v>
      </c>
      <c r="F53" s="50">
        <v>0</v>
      </c>
      <c r="G53" s="52"/>
    </row>
    <row r="54" spans="2:7">
      <c r="B54" s="44"/>
      <c r="C54" s="48" t="s">
        <v>42</v>
      </c>
      <c r="D54" s="48"/>
      <c r="E54" s="49">
        <v>238.35912000000002</v>
      </c>
      <c r="F54" s="50">
        <v>238.35912000000002</v>
      </c>
      <c r="G54" s="52"/>
    </row>
    <row r="55" spans="2:7">
      <c r="B55" s="44"/>
      <c r="C55" s="53" t="s">
        <v>26</v>
      </c>
      <c r="D55" s="53"/>
      <c r="E55" s="36">
        <v>701.88752727272697</v>
      </c>
      <c r="F55" s="54">
        <v>701.88752727272697</v>
      </c>
      <c r="G55" s="52"/>
    </row>
    <row r="56" spans="2:7">
      <c r="B56" s="44">
        <v>124</v>
      </c>
      <c r="C56" s="39" t="s">
        <v>43</v>
      </c>
      <c r="D56" s="39"/>
      <c r="E56" s="56"/>
      <c r="F56" s="57"/>
      <c r="G56" s="52"/>
    </row>
    <row r="57" spans="2:7">
      <c r="B57" s="44"/>
      <c r="C57" s="48" t="s">
        <v>44</v>
      </c>
      <c r="D57" s="48"/>
      <c r="E57" s="49">
        <v>448.45431272727234</v>
      </c>
      <c r="F57" s="50">
        <v>448.45431272727234</v>
      </c>
      <c r="G57" s="52"/>
    </row>
    <row r="58" spans="2:7">
      <c r="B58" s="44"/>
      <c r="C58" s="48" t="s">
        <v>45</v>
      </c>
      <c r="D58" s="48"/>
      <c r="E58" s="49">
        <v>0</v>
      </c>
      <c r="F58" s="50">
        <v>0</v>
      </c>
      <c r="G58" s="52"/>
    </row>
    <row r="59" spans="2:7">
      <c r="B59" s="44"/>
      <c r="C59" s="48" t="s">
        <v>46</v>
      </c>
      <c r="D59" s="48"/>
      <c r="E59" s="49">
        <v>0</v>
      </c>
      <c r="F59" s="50">
        <v>0</v>
      </c>
      <c r="G59" s="52"/>
    </row>
    <row r="60" spans="2:7">
      <c r="B60" s="44"/>
      <c r="C60" s="53" t="s">
        <v>26</v>
      </c>
      <c r="D60" s="53"/>
      <c r="E60" s="36">
        <v>448.45431272727234</v>
      </c>
      <c r="F60" s="54">
        <v>448.45431272727234</v>
      </c>
      <c r="G60" s="52"/>
    </row>
    <row r="61" spans="2:7">
      <c r="B61" s="44">
        <v>125</v>
      </c>
      <c r="C61" s="39" t="s">
        <v>47</v>
      </c>
      <c r="D61" s="39"/>
      <c r="E61" s="36"/>
      <c r="F61" s="50"/>
      <c r="G61" s="52"/>
    </row>
    <row r="62" spans="2:7">
      <c r="B62" s="44"/>
      <c r="C62" s="48" t="s">
        <v>48</v>
      </c>
      <c r="D62" s="48"/>
      <c r="E62" s="58">
        <v>0</v>
      </c>
      <c r="F62" s="50">
        <v>0</v>
      </c>
      <c r="G62" s="52"/>
    </row>
    <row r="63" spans="2:7">
      <c r="B63" s="44"/>
      <c r="C63" s="48" t="s">
        <v>49</v>
      </c>
      <c r="D63" s="48"/>
      <c r="E63" s="58">
        <v>0</v>
      </c>
      <c r="F63" s="50">
        <v>0</v>
      </c>
      <c r="G63" s="52"/>
    </row>
    <row r="64" spans="2:7">
      <c r="B64" s="44"/>
      <c r="C64" s="48" t="s">
        <v>50</v>
      </c>
      <c r="D64" s="48"/>
      <c r="E64" s="58">
        <v>725.44080000000008</v>
      </c>
      <c r="F64" s="50">
        <v>725.44080000000008</v>
      </c>
      <c r="G64" s="52"/>
    </row>
    <row r="65" spans="2:7">
      <c r="B65" s="44"/>
      <c r="C65" s="48" t="s">
        <v>51</v>
      </c>
      <c r="D65" s="48"/>
      <c r="E65" s="58">
        <v>165.81504000000001</v>
      </c>
      <c r="F65" s="50">
        <v>165.81504000000001</v>
      </c>
      <c r="G65" s="52"/>
    </row>
    <row r="66" spans="2:7">
      <c r="B66" s="44"/>
      <c r="C66" s="53" t="s">
        <v>26</v>
      </c>
      <c r="D66" s="53"/>
      <c r="E66" s="56">
        <v>891.25584000000003</v>
      </c>
      <c r="F66" s="54">
        <v>891.25584000000003</v>
      </c>
      <c r="G66" s="52"/>
    </row>
    <row r="67" spans="2:7">
      <c r="B67" s="44">
        <v>126</v>
      </c>
      <c r="C67" s="39" t="s">
        <v>52</v>
      </c>
      <c r="D67" s="39"/>
      <c r="E67" s="56"/>
      <c r="F67" s="50"/>
      <c r="G67" s="52"/>
    </row>
    <row r="68" spans="2:7">
      <c r="B68" s="44"/>
      <c r="C68" s="48" t="s">
        <v>53</v>
      </c>
      <c r="D68" s="48"/>
      <c r="E68" s="49">
        <v>0</v>
      </c>
      <c r="F68" s="50">
        <v>0</v>
      </c>
      <c r="G68" s="52"/>
    </row>
    <row r="69" spans="2:7">
      <c r="B69" s="44"/>
      <c r="C69" s="48" t="s">
        <v>54</v>
      </c>
      <c r="D69" s="48"/>
      <c r="E69" s="49">
        <v>0</v>
      </c>
      <c r="F69" s="50"/>
      <c r="G69" s="52"/>
    </row>
    <row r="70" spans="2:7">
      <c r="B70" s="44"/>
      <c r="C70" s="48" t="s">
        <v>55</v>
      </c>
      <c r="D70" s="48"/>
      <c r="E70" s="49">
        <v>0</v>
      </c>
      <c r="F70" s="50"/>
      <c r="G70" s="52"/>
    </row>
    <row r="71" spans="2:7">
      <c r="B71" s="44"/>
      <c r="C71" s="48" t="s">
        <v>56</v>
      </c>
      <c r="D71" s="48"/>
      <c r="E71" s="49">
        <v>0</v>
      </c>
      <c r="F71" s="57"/>
      <c r="G71" s="52"/>
    </row>
    <row r="72" spans="2:7">
      <c r="B72" s="44"/>
      <c r="C72" s="53" t="s">
        <v>26</v>
      </c>
      <c r="D72" s="53"/>
      <c r="E72" s="56">
        <v>0</v>
      </c>
      <c r="F72" s="54">
        <v>0</v>
      </c>
      <c r="G72" s="52"/>
    </row>
    <row r="73" spans="2:7">
      <c r="B73" s="44">
        <v>127</v>
      </c>
      <c r="C73" s="39" t="s">
        <v>57</v>
      </c>
      <c r="D73" s="39"/>
      <c r="E73" s="56"/>
      <c r="F73" s="54"/>
      <c r="G73" s="52"/>
    </row>
    <row r="74" spans="2:7">
      <c r="B74" s="44"/>
      <c r="C74" s="48" t="s">
        <v>58</v>
      </c>
      <c r="D74" s="48"/>
      <c r="E74" s="49">
        <v>0</v>
      </c>
      <c r="F74" s="50">
        <v>0</v>
      </c>
      <c r="G74" s="52"/>
    </row>
    <row r="75" spans="2:7">
      <c r="B75" s="44"/>
      <c r="C75" s="48" t="s">
        <v>59</v>
      </c>
      <c r="D75" s="48"/>
      <c r="E75" s="49">
        <v>0</v>
      </c>
      <c r="F75" s="50">
        <v>0</v>
      </c>
      <c r="G75" s="52"/>
    </row>
    <row r="76" spans="2:7">
      <c r="B76" s="44"/>
      <c r="C76" s="48" t="s">
        <v>60</v>
      </c>
      <c r="D76" s="48"/>
      <c r="E76" s="49">
        <v>0</v>
      </c>
      <c r="F76" s="50">
        <v>0</v>
      </c>
      <c r="G76" s="52"/>
    </row>
    <row r="77" spans="2:7">
      <c r="B77" s="44"/>
      <c r="C77" s="59" t="s">
        <v>61</v>
      </c>
      <c r="D77" s="59"/>
      <c r="E77" s="49">
        <v>0</v>
      </c>
      <c r="F77" s="50">
        <v>0</v>
      </c>
      <c r="G77" s="52"/>
    </row>
    <row r="78" spans="2:7">
      <c r="B78" s="44"/>
      <c r="C78" s="53" t="s">
        <v>26</v>
      </c>
      <c r="D78" s="53"/>
      <c r="E78" s="56">
        <v>0</v>
      </c>
      <c r="F78" s="54">
        <v>0</v>
      </c>
      <c r="G78" s="52"/>
    </row>
    <row r="79" spans="2:7">
      <c r="B79" s="44">
        <v>128</v>
      </c>
      <c r="C79" s="39" t="s">
        <v>62</v>
      </c>
      <c r="D79" s="39"/>
      <c r="E79" s="56"/>
      <c r="F79" s="54"/>
      <c r="G79" s="52"/>
    </row>
    <row r="80" spans="2:7">
      <c r="B80" s="44"/>
      <c r="C80" s="48" t="s">
        <v>63</v>
      </c>
      <c r="D80" s="48"/>
      <c r="E80" s="49">
        <v>0</v>
      </c>
      <c r="F80" s="50">
        <v>0</v>
      </c>
      <c r="G80" s="52"/>
    </row>
    <row r="81" spans="2:7">
      <c r="B81" s="44"/>
      <c r="C81" s="48" t="s">
        <v>64</v>
      </c>
      <c r="D81" s="48"/>
      <c r="E81" s="49">
        <v>0</v>
      </c>
      <c r="F81" s="50">
        <v>0</v>
      </c>
      <c r="G81" s="52"/>
    </row>
    <row r="82" spans="2:7">
      <c r="B82" s="44"/>
      <c r="C82" s="48" t="s">
        <v>65</v>
      </c>
      <c r="D82" s="48"/>
      <c r="E82" s="49">
        <v>0</v>
      </c>
      <c r="F82" s="50">
        <v>0</v>
      </c>
      <c r="G82" s="52"/>
    </row>
    <row r="83" spans="2:7">
      <c r="B83" s="44"/>
      <c r="C83" s="48" t="s">
        <v>66</v>
      </c>
      <c r="D83" s="48"/>
      <c r="E83" s="49">
        <v>0</v>
      </c>
      <c r="F83" s="50">
        <v>0</v>
      </c>
      <c r="G83" s="52"/>
    </row>
    <row r="84" spans="2:7">
      <c r="B84" s="44"/>
      <c r="C84" s="48" t="s">
        <v>67</v>
      </c>
      <c r="D84" s="48"/>
      <c r="E84" s="49">
        <v>0</v>
      </c>
      <c r="F84" s="50">
        <v>0</v>
      </c>
      <c r="G84" s="52"/>
    </row>
    <row r="85" spans="2:7">
      <c r="B85" s="44"/>
      <c r="C85" s="53" t="s">
        <v>26</v>
      </c>
      <c r="D85" s="53"/>
      <c r="E85" s="56">
        <v>0</v>
      </c>
      <c r="F85" s="54">
        <v>0</v>
      </c>
      <c r="G85" s="52"/>
    </row>
    <row r="86" spans="2:7">
      <c r="B86" s="44">
        <v>135</v>
      </c>
      <c r="C86" s="39" t="s">
        <v>68</v>
      </c>
      <c r="D86" s="39"/>
      <c r="E86" s="56"/>
      <c r="F86" s="50"/>
      <c r="G86" s="52"/>
    </row>
    <row r="87" spans="2:7">
      <c r="B87" s="44"/>
      <c r="C87" s="48" t="s">
        <v>69</v>
      </c>
      <c r="D87" s="48"/>
      <c r="E87" s="49">
        <v>0</v>
      </c>
      <c r="F87" s="50">
        <v>0</v>
      </c>
      <c r="G87" s="52"/>
    </row>
    <row r="88" spans="2:7">
      <c r="B88" s="44"/>
      <c r="C88" s="48" t="s">
        <v>70</v>
      </c>
      <c r="D88" s="48"/>
      <c r="E88" s="49">
        <v>0</v>
      </c>
      <c r="F88" s="50">
        <v>0</v>
      </c>
      <c r="G88" s="52"/>
    </row>
    <row r="89" spans="2:7">
      <c r="B89" s="44"/>
      <c r="C89" s="48" t="s">
        <v>71</v>
      </c>
      <c r="D89" s="48"/>
      <c r="E89" s="49">
        <v>0</v>
      </c>
      <c r="F89" s="50">
        <v>0</v>
      </c>
      <c r="G89" s="52"/>
    </row>
    <row r="90" spans="2:7">
      <c r="B90" s="44"/>
      <c r="C90" s="48" t="s">
        <v>72</v>
      </c>
      <c r="D90" s="48"/>
      <c r="E90" s="49">
        <v>0</v>
      </c>
      <c r="F90" s="50">
        <v>0</v>
      </c>
      <c r="G90" s="52"/>
    </row>
    <row r="91" spans="2:7">
      <c r="B91" s="44"/>
      <c r="C91" s="48" t="s">
        <v>73</v>
      </c>
      <c r="D91" s="48"/>
      <c r="E91" s="49">
        <v>0</v>
      </c>
      <c r="F91" s="50">
        <v>0</v>
      </c>
      <c r="G91" s="52"/>
    </row>
    <row r="92" spans="2:7">
      <c r="B92" s="44"/>
      <c r="C92" s="48" t="s">
        <v>74</v>
      </c>
      <c r="D92" s="48"/>
      <c r="E92" s="49">
        <v>0</v>
      </c>
      <c r="F92" s="50">
        <v>0</v>
      </c>
      <c r="G92" s="52"/>
    </row>
    <row r="93" spans="2:7">
      <c r="B93" s="44"/>
      <c r="C93" s="48" t="s">
        <v>75</v>
      </c>
      <c r="D93" s="48"/>
      <c r="E93" s="49">
        <v>0</v>
      </c>
      <c r="F93" s="50">
        <v>0</v>
      </c>
      <c r="G93" s="52"/>
    </row>
    <row r="94" spans="2:7">
      <c r="B94" s="44"/>
      <c r="C94" s="48" t="s">
        <v>76</v>
      </c>
      <c r="D94" s="48"/>
      <c r="E94" s="49">
        <v>0</v>
      </c>
      <c r="F94" s="50">
        <v>0</v>
      </c>
      <c r="G94" s="52"/>
    </row>
    <row r="95" spans="2:7">
      <c r="B95" s="44"/>
      <c r="C95" s="48" t="s">
        <v>77</v>
      </c>
      <c r="D95" s="48"/>
      <c r="E95" s="49">
        <v>0</v>
      </c>
      <c r="F95" s="50">
        <v>0</v>
      </c>
      <c r="G95" s="52"/>
    </row>
    <row r="96" spans="2:7">
      <c r="B96" s="44"/>
      <c r="C96" s="53" t="s">
        <v>26</v>
      </c>
      <c r="D96" s="53"/>
      <c r="E96" s="56">
        <v>0</v>
      </c>
      <c r="F96" s="54">
        <v>0</v>
      </c>
      <c r="G96" s="52"/>
    </row>
    <row r="97" spans="2:7">
      <c r="B97" s="44">
        <v>136</v>
      </c>
      <c r="C97" s="39" t="s">
        <v>78</v>
      </c>
      <c r="D97" s="39"/>
      <c r="E97" s="56"/>
      <c r="F97" s="50"/>
      <c r="G97" s="52"/>
    </row>
    <row r="98" spans="2:7">
      <c r="B98" s="44"/>
      <c r="C98" s="48" t="s">
        <v>79</v>
      </c>
      <c r="D98" s="48"/>
      <c r="E98" s="49">
        <v>0</v>
      </c>
      <c r="F98" s="50">
        <v>0</v>
      </c>
      <c r="G98" s="52"/>
    </row>
    <row r="99" spans="2:7">
      <c r="B99" s="44"/>
      <c r="C99" s="48" t="s">
        <v>80</v>
      </c>
      <c r="D99" s="48"/>
      <c r="E99" s="49">
        <v>0</v>
      </c>
      <c r="F99" s="50">
        <v>0</v>
      </c>
      <c r="G99" s="52"/>
    </row>
    <row r="100" spans="2:7">
      <c r="B100" s="44"/>
      <c r="C100" s="48" t="s">
        <v>81</v>
      </c>
      <c r="D100" s="48"/>
      <c r="E100" s="49">
        <v>0</v>
      </c>
      <c r="F100" s="50">
        <v>0</v>
      </c>
      <c r="G100" s="52"/>
    </row>
    <row r="101" spans="2:7">
      <c r="B101" s="44"/>
      <c r="C101" s="48" t="s">
        <v>82</v>
      </c>
      <c r="D101" s="48"/>
      <c r="E101" s="49">
        <v>0</v>
      </c>
      <c r="F101" s="50">
        <v>0</v>
      </c>
      <c r="G101" s="52"/>
    </row>
    <row r="102" spans="2:7">
      <c r="B102" s="44"/>
      <c r="C102" s="48" t="s">
        <v>83</v>
      </c>
      <c r="D102" s="48"/>
      <c r="E102" s="49">
        <v>0</v>
      </c>
      <c r="F102" s="50">
        <v>0</v>
      </c>
      <c r="G102" s="52"/>
    </row>
    <row r="103" spans="2:7">
      <c r="B103" s="44"/>
      <c r="C103" s="48" t="s">
        <v>84</v>
      </c>
      <c r="D103" s="48"/>
      <c r="E103" s="49">
        <v>0</v>
      </c>
      <c r="F103" s="50">
        <v>0</v>
      </c>
      <c r="G103" s="52"/>
    </row>
    <row r="104" spans="2:7">
      <c r="B104" s="44"/>
      <c r="C104" s="53" t="s">
        <v>26</v>
      </c>
      <c r="D104" s="53"/>
      <c r="E104" s="56">
        <v>0</v>
      </c>
      <c r="F104" s="54">
        <v>0</v>
      </c>
      <c r="G104" s="52"/>
    </row>
    <row r="105" spans="2:7">
      <c r="B105" s="44">
        <v>142</v>
      </c>
      <c r="C105" s="39" t="s">
        <v>85</v>
      </c>
      <c r="D105" s="39"/>
      <c r="E105" s="56"/>
      <c r="F105" s="50"/>
      <c r="G105" s="52"/>
    </row>
    <row r="106" spans="2:7">
      <c r="B106" s="44"/>
      <c r="C106" s="48" t="s">
        <v>86</v>
      </c>
      <c r="D106" s="48"/>
      <c r="E106" s="49">
        <v>0</v>
      </c>
      <c r="F106" s="50">
        <v>0</v>
      </c>
      <c r="G106" s="52"/>
    </row>
    <row r="107" spans="2:7">
      <c r="B107" s="44"/>
      <c r="C107" s="48" t="s">
        <v>87</v>
      </c>
      <c r="D107" s="48"/>
      <c r="E107" s="49">
        <v>0</v>
      </c>
      <c r="F107" s="50">
        <v>0</v>
      </c>
      <c r="G107" s="52"/>
    </row>
    <row r="108" spans="2:7">
      <c r="B108" s="44"/>
      <c r="C108" s="53" t="s">
        <v>26</v>
      </c>
      <c r="D108" s="53"/>
      <c r="E108" s="56">
        <v>0</v>
      </c>
      <c r="F108" s="54">
        <v>0</v>
      </c>
      <c r="G108" s="52"/>
    </row>
    <row r="109" spans="2:7">
      <c r="B109" s="44">
        <v>144</v>
      </c>
      <c r="C109" s="39" t="s">
        <v>88</v>
      </c>
      <c r="D109" s="39"/>
      <c r="E109" s="49">
        <v>0</v>
      </c>
      <c r="F109" s="54">
        <v>0</v>
      </c>
      <c r="G109" s="52"/>
    </row>
    <row r="110" spans="2:7">
      <c r="B110" s="44">
        <v>221</v>
      </c>
      <c r="C110" s="39" t="s">
        <v>89</v>
      </c>
      <c r="D110" s="39"/>
      <c r="E110" s="49">
        <v>0</v>
      </c>
      <c r="F110" s="54">
        <v>0</v>
      </c>
      <c r="G110" s="52"/>
    </row>
    <row r="111" spans="2:7">
      <c r="B111" s="44">
        <v>222</v>
      </c>
      <c r="C111" s="39" t="s">
        <v>90</v>
      </c>
      <c r="D111" s="39"/>
      <c r="E111" s="49">
        <v>0</v>
      </c>
      <c r="F111" s="54">
        <v>0</v>
      </c>
      <c r="G111" s="52"/>
    </row>
    <row r="112" spans="2:7">
      <c r="B112" s="44">
        <v>224</v>
      </c>
      <c r="C112" s="39" t="s">
        <v>91</v>
      </c>
      <c r="D112" s="39"/>
      <c r="E112" s="49">
        <v>0</v>
      </c>
      <c r="F112" s="54">
        <v>0</v>
      </c>
      <c r="G112" s="52"/>
    </row>
    <row r="113" spans="2:7">
      <c r="B113" s="44">
        <v>225</v>
      </c>
      <c r="C113" s="39" t="s">
        <v>92</v>
      </c>
      <c r="D113" s="39"/>
      <c r="E113" s="49">
        <v>0</v>
      </c>
      <c r="F113" s="54">
        <v>0</v>
      </c>
      <c r="G113" s="38"/>
    </row>
    <row r="114" spans="2:7">
      <c r="B114" s="44">
        <v>226</v>
      </c>
      <c r="C114" s="39" t="s">
        <v>93</v>
      </c>
      <c r="D114" s="39"/>
      <c r="E114" s="49">
        <v>0</v>
      </c>
      <c r="F114" s="54">
        <v>0</v>
      </c>
      <c r="G114" s="60"/>
    </row>
    <row r="115" spans="2:7" ht="15.75" thickBot="1">
      <c r="B115" s="61"/>
      <c r="C115" s="62" t="s">
        <v>94</v>
      </c>
      <c r="D115" s="62"/>
      <c r="E115" s="90">
        <v>0</v>
      </c>
      <c r="F115" s="63">
        <v>0</v>
      </c>
      <c r="G115" s="38"/>
    </row>
    <row r="116" spans="2:7">
      <c r="B116" s="64"/>
      <c r="C116" s="65" t="s">
        <v>95</v>
      </c>
      <c r="D116" s="66"/>
      <c r="E116" s="91">
        <v>4145.3759999999975</v>
      </c>
      <c r="F116" s="68">
        <v>4145.3759999999975</v>
      </c>
      <c r="G116" s="69"/>
    </row>
    <row r="117" spans="2:7" ht="15.75" thickBot="1">
      <c r="B117" s="64"/>
      <c r="C117" s="70"/>
      <c r="D117" s="71"/>
      <c r="E117" s="92"/>
      <c r="F117" s="73"/>
      <c r="G117" s="69"/>
    </row>
    <row r="118" spans="2:7" ht="15.75" thickBot="1">
      <c r="B118" s="64"/>
      <c r="C118" s="70" t="s">
        <v>96</v>
      </c>
      <c r="D118" s="71"/>
      <c r="E118" s="93">
        <v>14540.2111927273</v>
      </c>
      <c r="F118" s="75">
        <v>14540.2111927273</v>
      </c>
      <c r="G118" s="76"/>
    </row>
    <row r="119" spans="2:7" ht="8.25" customHeight="1" thickBot="1">
      <c r="B119" s="77"/>
      <c r="C119" s="81"/>
      <c r="D119" s="81"/>
      <c r="E119" s="78"/>
      <c r="F119" s="78"/>
      <c r="G119" s="79"/>
    </row>
    <row r="120" spans="2:7">
      <c r="B120" s="83"/>
      <c r="C120" s="84"/>
      <c r="D120" s="84"/>
      <c r="E120" s="85"/>
      <c r="F120" s="83"/>
      <c r="G120" s="85"/>
    </row>
    <row r="121" spans="2:7" ht="6" customHeight="1" thickBot="1"/>
    <row r="122" spans="2:7">
      <c r="B122" s="1"/>
      <c r="C122" s="2"/>
      <c r="D122" s="2"/>
      <c r="E122" s="2"/>
      <c r="F122" s="2"/>
      <c r="G122" s="3"/>
    </row>
    <row r="123" spans="2:7">
      <c r="B123" s="4"/>
      <c r="C123" s="5"/>
      <c r="D123" s="5"/>
      <c r="E123" s="5"/>
      <c r="F123" s="5"/>
      <c r="G123" s="6"/>
    </row>
    <row r="124" spans="2:7">
      <c r="B124" s="4"/>
      <c r="C124" s="5"/>
      <c r="D124" s="5"/>
      <c r="E124" s="5"/>
      <c r="F124" s="5"/>
      <c r="G124" s="6"/>
    </row>
    <row r="125" spans="2:7">
      <c r="B125" s="4"/>
      <c r="C125" s="5"/>
      <c r="D125" s="5"/>
      <c r="E125" s="5"/>
      <c r="F125" s="5"/>
      <c r="G125" s="6"/>
    </row>
    <row r="126" spans="2:7">
      <c r="B126" s="4"/>
      <c r="C126" s="5"/>
      <c r="D126" s="5"/>
      <c r="E126" s="5"/>
      <c r="F126" s="5"/>
      <c r="G126" s="6"/>
    </row>
    <row r="127" spans="2:7" ht="16.5" customHeight="1">
      <c r="B127" s="4"/>
      <c r="C127" s="5"/>
      <c r="D127" s="5"/>
      <c r="E127" s="5"/>
      <c r="F127" s="5"/>
      <c r="G127" s="6"/>
    </row>
    <row r="128" spans="2:7" ht="22.5" customHeight="1" thickBot="1">
      <c r="B128" s="4"/>
      <c r="C128" s="95" t="s">
        <v>0</v>
      </c>
      <c r="D128" s="95"/>
      <c r="E128" s="95"/>
      <c r="F128" s="5"/>
      <c r="G128" s="6"/>
    </row>
    <row r="129" spans="1:7" ht="21" thickTop="1">
      <c r="B129" s="4"/>
      <c r="C129" s="7"/>
      <c r="D129" s="7"/>
      <c r="E129" s="5"/>
      <c r="F129" s="5"/>
      <c r="G129" s="6"/>
    </row>
    <row r="130" spans="1:7">
      <c r="B130" s="8" t="s">
        <v>1</v>
      </c>
      <c r="C130" s="9" t="s">
        <v>97</v>
      </c>
      <c r="D130" s="5"/>
      <c r="E130" s="10" t="s">
        <v>2</v>
      </c>
      <c r="F130" s="9" t="s">
        <v>98</v>
      </c>
      <c r="G130" s="6"/>
    </row>
    <row r="131" spans="1:7" ht="3.75" customHeight="1">
      <c r="A131" s="80"/>
      <c r="B131" s="5"/>
      <c r="C131" s="5"/>
      <c r="D131" s="5"/>
      <c r="E131" s="11"/>
      <c r="F131" s="5"/>
      <c r="G131" s="6"/>
    </row>
    <row r="132" spans="1:7">
      <c r="A132" s="80"/>
      <c r="B132" s="12" t="s">
        <v>3</v>
      </c>
      <c r="C132" s="9" t="s">
        <v>99</v>
      </c>
      <c r="D132" s="5"/>
      <c r="E132" s="10" t="s">
        <v>4</v>
      </c>
      <c r="F132" s="82" t="s">
        <v>100</v>
      </c>
      <c r="G132" s="6"/>
    </row>
    <row r="133" spans="1:7" ht="3.75" customHeight="1">
      <c r="A133" s="80"/>
      <c r="B133" s="5"/>
      <c r="C133" s="5"/>
      <c r="D133" s="5"/>
      <c r="E133" s="11"/>
      <c r="F133" s="5"/>
      <c r="G133" s="6"/>
    </row>
    <row r="134" spans="1:7">
      <c r="A134" s="80"/>
      <c r="B134" s="10" t="s">
        <v>5</v>
      </c>
      <c r="C134" s="9" t="s">
        <v>101</v>
      </c>
      <c r="D134" s="5"/>
      <c r="E134" s="10" t="s">
        <v>6</v>
      </c>
      <c r="F134" s="9" t="s">
        <v>107</v>
      </c>
      <c r="G134" s="6"/>
    </row>
    <row r="135" spans="1:7" ht="4.5" customHeight="1">
      <c r="A135" s="80"/>
      <c r="B135" s="13"/>
      <c r="C135" s="5"/>
      <c r="D135" s="5"/>
      <c r="E135" s="11"/>
      <c r="F135" s="5"/>
      <c r="G135" s="6"/>
    </row>
    <row r="136" spans="1:7">
      <c r="A136" s="80"/>
      <c r="B136" s="10" t="s">
        <v>7</v>
      </c>
      <c r="C136" s="9" t="s">
        <v>114</v>
      </c>
      <c r="D136" s="5"/>
      <c r="E136" s="11"/>
      <c r="F136" s="5"/>
      <c r="G136" s="6"/>
    </row>
    <row r="137" spans="1:7" ht="3.75" customHeight="1">
      <c r="A137" s="80"/>
      <c r="B137" s="5"/>
      <c r="C137" s="5"/>
      <c r="D137" s="5"/>
      <c r="E137" s="11"/>
      <c r="F137" s="5"/>
      <c r="G137" s="6"/>
    </row>
    <row r="138" spans="1:7">
      <c r="B138" s="14" t="s">
        <v>8</v>
      </c>
      <c r="C138" s="15" t="s">
        <v>104</v>
      </c>
      <c r="D138" s="5"/>
      <c r="E138" s="86" t="s">
        <v>109</v>
      </c>
      <c r="F138" s="87">
        <v>45323</v>
      </c>
      <c r="G138" s="6"/>
    </row>
    <row r="139" spans="1:7">
      <c r="B139" s="16" t="s">
        <v>9</v>
      </c>
      <c r="C139" s="17" t="s">
        <v>130</v>
      </c>
      <c r="D139" s="5"/>
      <c r="E139" s="88" t="s">
        <v>110</v>
      </c>
      <c r="F139" s="89">
        <v>45351</v>
      </c>
      <c r="G139" s="18"/>
    </row>
    <row r="140" spans="1:7" ht="15.75" thickBot="1">
      <c r="B140" s="4"/>
      <c r="C140" s="19"/>
      <c r="D140" s="19"/>
      <c r="E140" s="20"/>
      <c r="F140" s="21"/>
      <c r="G140" s="18"/>
    </row>
    <row r="141" spans="1:7" ht="18.75" thickBot="1">
      <c r="B141" s="4"/>
      <c r="C141" s="22" t="s">
        <v>10</v>
      </c>
      <c r="D141" s="23"/>
      <c r="E141" s="24"/>
      <c r="F141" s="25" t="s">
        <v>11</v>
      </c>
      <c r="G141" s="18"/>
    </row>
    <row r="142" spans="1:7">
      <c r="B142" s="4"/>
      <c r="C142" s="26" t="s">
        <v>12</v>
      </c>
      <c r="D142" s="26"/>
      <c r="E142" s="27">
        <v>14540.2111927273</v>
      </c>
      <c r="F142" s="28">
        <v>14540.2111927273</v>
      </c>
      <c r="G142" s="29"/>
    </row>
    <row r="143" spans="1:7">
      <c r="B143" s="30">
        <v>143</v>
      </c>
      <c r="C143" s="31" t="s">
        <v>13</v>
      </c>
      <c r="D143" s="31"/>
      <c r="E143" s="27">
        <v>5596.0880000000006</v>
      </c>
      <c r="F143" s="32">
        <v>5596.0880000000006</v>
      </c>
      <c r="G143" s="33"/>
    </row>
    <row r="144" spans="1:7">
      <c r="B144" s="30"/>
      <c r="C144" s="34" t="s">
        <v>14</v>
      </c>
      <c r="D144" s="34"/>
      <c r="E144" s="27">
        <v>0</v>
      </c>
      <c r="F144" s="32">
        <v>0</v>
      </c>
      <c r="G144" s="33"/>
    </row>
    <row r="145" spans="2:7">
      <c r="B145" s="30"/>
      <c r="C145" s="34" t="s">
        <v>15</v>
      </c>
      <c r="D145" s="34"/>
      <c r="E145" s="27">
        <v>0</v>
      </c>
      <c r="F145" s="32">
        <v>0</v>
      </c>
      <c r="G145" s="33"/>
    </row>
    <row r="146" spans="2:7">
      <c r="B146" s="30"/>
      <c r="C146" s="34" t="s">
        <v>16</v>
      </c>
      <c r="D146" s="34"/>
      <c r="E146" s="27">
        <v>0</v>
      </c>
      <c r="F146" s="32">
        <v>0</v>
      </c>
      <c r="G146" s="33"/>
    </row>
    <row r="147" spans="2:7">
      <c r="B147" s="30"/>
      <c r="C147" s="34" t="s">
        <v>17</v>
      </c>
      <c r="D147" s="34"/>
      <c r="E147" s="27">
        <v>0</v>
      </c>
      <c r="F147" s="32">
        <v>0</v>
      </c>
      <c r="G147" s="33"/>
    </row>
    <row r="148" spans="2:7">
      <c r="B148" s="30"/>
      <c r="C148" s="35" t="s">
        <v>18</v>
      </c>
      <c r="D148" s="35"/>
      <c r="E148" s="36">
        <v>20136.2991927273</v>
      </c>
      <c r="F148" s="37">
        <v>20136.2991927273</v>
      </c>
      <c r="G148" s="38"/>
    </row>
    <row r="149" spans="2:7" ht="15.75" thickBot="1">
      <c r="B149" s="30"/>
      <c r="C149" s="39"/>
      <c r="D149" s="39"/>
      <c r="E149" s="40"/>
      <c r="F149" s="41"/>
      <c r="G149" s="38"/>
    </row>
    <row r="150" spans="2:7" ht="18.75" thickBot="1">
      <c r="B150" s="30"/>
      <c r="C150" s="22" t="s">
        <v>19</v>
      </c>
      <c r="D150" s="23"/>
      <c r="E150" s="42"/>
      <c r="F150" s="43"/>
      <c r="G150" s="38"/>
    </row>
    <row r="151" spans="2:7">
      <c r="B151" s="44">
        <v>121</v>
      </c>
      <c r="C151" s="39" t="s">
        <v>20</v>
      </c>
      <c r="D151" s="39"/>
      <c r="E151" s="45"/>
      <c r="F151" s="46"/>
      <c r="G151" s="47"/>
    </row>
    <row r="152" spans="2:7">
      <c r="B152" s="44"/>
      <c r="C152" s="48" t="s">
        <v>21</v>
      </c>
      <c r="D152" s="48"/>
      <c r="E152" s="49">
        <v>0</v>
      </c>
      <c r="F152" s="50">
        <v>0</v>
      </c>
      <c r="G152" s="47"/>
    </row>
    <row r="153" spans="2:7">
      <c r="B153" s="44"/>
      <c r="C153" s="48" t="s">
        <v>22</v>
      </c>
      <c r="D153" s="48"/>
      <c r="E153" s="49">
        <v>0</v>
      </c>
      <c r="F153" s="50">
        <v>0</v>
      </c>
      <c r="G153" s="47"/>
    </row>
    <row r="154" spans="2:7">
      <c r="B154" s="51"/>
      <c r="C154" s="48" t="s">
        <v>23</v>
      </c>
      <c r="D154" s="48"/>
      <c r="E154" s="49">
        <v>0</v>
      </c>
      <c r="F154" s="50">
        <v>0</v>
      </c>
      <c r="G154" s="52"/>
    </row>
    <row r="155" spans="2:7">
      <c r="B155" s="51"/>
      <c r="C155" s="48" t="s">
        <v>24</v>
      </c>
      <c r="D155" s="48"/>
      <c r="E155" s="49">
        <v>0</v>
      </c>
      <c r="F155" s="50">
        <v>0</v>
      </c>
      <c r="G155" s="52"/>
    </row>
    <row r="156" spans="2:7">
      <c r="B156" s="44"/>
      <c r="C156" s="48" t="s">
        <v>25</v>
      </c>
      <c r="D156" s="48"/>
      <c r="E156" s="49">
        <v>0</v>
      </c>
      <c r="F156" s="50">
        <v>0</v>
      </c>
      <c r="G156" s="52"/>
    </row>
    <row r="157" spans="2:7">
      <c r="B157" s="44"/>
      <c r="C157" s="53" t="s">
        <v>26</v>
      </c>
      <c r="D157" s="53"/>
      <c r="E157" s="36">
        <v>0</v>
      </c>
      <c r="F157" s="54">
        <v>0</v>
      </c>
      <c r="G157" s="52"/>
    </row>
    <row r="158" spans="2:7">
      <c r="B158" s="44">
        <v>122</v>
      </c>
      <c r="C158" s="39" t="s">
        <v>27</v>
      </c>
      <c r="D158" s="39"/>
      <c r="E158" s="36"/>
      <c r="F158" s="50"/>
      <c r="G158" s="55"/>
    </row>
    <row r="159" spans="2:7">
      <c r="B159" s="44"/>
      <c r="C159" s="48" t="s">
        <v>28</v>
      </c>
      <c r="D159" s="48"/>
      <c r="E159" s="49">
        <v>0</v>
      </c>
      <c r="F159" s="50">
        <v>0</v>
      </c>
      <c r="G159" s="52"/>
    </row>
    <row r="160" spans="2:7">
      <c r="B160" s="44"/>
      <c r="C160" s="48" t="s">
        <v>29</v>
      </c>
      <c r="D160" s="48"/>
      <c r="E160" s="49">
        <v>0</v>
      </c>
      <c r="F160" s="50">
        <v>0</v>
      </c>
      <c r="G160" s="52"/>
    </row>
    <row r="161" spans="2:7">
      <c r="B161" s="44"/>
      <c r="C161" s="48" t="s">
        <v>30</v>
      </c>
      <c r="D161" s="48"/>
      <c r="E161" s="49">
        <v>0</v>
      </c>
      <c r="F161" s="50">
        <v>0</v>
      </c>
      <c r="G161" s="52"/>
    </row>
    <row r="162" spans="2:7">
      <c r="B162" s="44"/>
      <c r="C162" s="48" t="s">
        <v>31</v>
      </c>
      <c r="D162" s="48"/>
      <c r="E162" s="49">
        <v>0</v>
      </c>
      <c r="F162" s="50">
        <v>0</v>
      </c>
      <c r="G162" s="52"/>
    </row>
    <row r="163" spans="2:7">
      <c r="B163" s="44"/>
      <c r="C163" s="48" t="s">
        <v>32</v>
      </c>
      <c r="D163" s="48"/>
      <c r="E163" s="49">
        <v>108.5334807272726</v>
      </c>
      <c r="F163" s="50">
        <v>108.5334807272726</v>
      </c>
      <c r="G163" s="52"/>
    </row>
    <row r="164" spans="2:7">
      <c r="B164" s="44"/>
      <c r="C164" s="48" t="s">
        <v>33</v>
      </c>
      <c r="D164" s="48"/>
      <c r="E164" s="49">
        <v>0</v>
      </c>
      <c r="F164" s="50">
        <v>0</v>
      </c>
      <c r="G164" s="52"/>
    </row>
    <row r="165" spans="2:7">
      <c r="B165" s="44"/>
      <c r="C165" s="48" t="s">
        <v>34</v>
      </c>
      <c r="D165" s="48"/>
      <c r="E165" s="49">
        <v>0</v>
      </c>
      <c r="F165" s="50">
        <v>0</v>
      </c>
      <c r="G165" s="52"/>
    </row>
    <row r="166" spans="2:7">
      <c r="B166" s="44"/>
      <c r="C166" s="48" t="s">
        <v>35</v>
      </c>
      <c r="D166" s="48"/>
      <c r="E166" s="49">
        <v>0</v>
      </c>
      <c r="F166" s="50">
        <v>0</v>
      </c>
      <c r="G166" s="52"/>
    </row>
    <row r="167" spans="2:7">
      <c r="B167" s="44"/>
      <c r="C167" s="53" t="s">
        <v>26</v>
      </c>
      <c r="D167" s="53"/>
      <c r="E167" s="36">
        <v>108.5334807272726</v>
      </c>
      <c r="F167" s="54">
        <v>108.5334807272726</v>
      </c>
      <c r="G167" s="52"/>
    </row>
    <row r="168" spans="2:7">
      <c r="B168" s="44">
        <v>123</v>
      </c>
      <c r="C168" s="39" t="s">
        <v>36</v>
      </c>
      <c r="D168" s="39"/>
      <c r="E168" s="56"/>
      <c r="F168" s="57"/>
      <c r="G168" s="52"/>
    </row>
    <row r="169" spans="2:7">
      <c r="B169" s="44"/>
      <c r="C169" s="48" t="s">
        <v>37</v>
      </c>
      <c r="D169" s="48"/>
      <c r="E169" s="49">
        <v>108.5334807272726</v>
      </c>
      <c r="F169" s="50">
        <v>108.5334807272726</v>
      </c>
      <c r="G169" s="52"/>
    </row>
    <row r="170" spans="2:7">
      <c r="B170" s="44"/>
      <c r="C170" s="48" t="s">
        <v>38</v>
      </c>
      <c r="D170" s="48"/>
      <c r="E170" s="49">
        <v>0</v>
      </c>
      <c r="F170" s="50">
        <v>0</v>
      </c>
      <c r="G170" s="52"/>
    </row>
    <row r="171" spans="2:7">
      <c r="B171" s="44"/>
      <c r="C171" s="48" t="s">
        <v>39</v>
      </c>
      <c r="D171" s="48"/>
      <c r="E171" s="49">
        <v>940.62349963636279</v>
      </c>
      <c r="F171" s="50">
        <v>940.62349963636279</v>
      </c>
      <c r="G171" s="52"/>
    </row>
    <row r="172" spans="2:7">
      <c r="B172" s="44"/>
      <c r="C172" s="48" t="s">
        <v>40</v>
      </c>
      <c r="D172" s="48"/>
      <c r="E172" s="49">
        <v>0</v>
      </c>
      <c r="F172" s="50">
        <v>0</v>
      </c>
      <c r="G172" s="52"/>
    </row>
    <row r="173" spans="2:7">
      <c r="B173" s="44"/>
      <c r="C173" s="48" t="s">
        <v>41</v>
      </c>
      <c r="D173" s="48"/>
      <c r="E173" s="49">
        <v>0</v>
      </c>
      <c r="F173" s="50">
        <v>0</v>
      </c>
      <c r="G173" s="52"/>
    </row>
    <row r="174" spans="2:7">
      <c r="B174" s="44"/>
      <c r="C174" s="48" t="s">
        <v>42</v>
      </c>
      <c r="D174" s="48"/>
      <c r="E174" s="49">
        <v>217.06696145454521</v>
      </c>
      <c r="F174" s="50">
        <v>217.06696145454521</v>
      </c>
      <c r="G174" s="52"/>
    </row>
    <row r="175" spans="2:7">
      <c r="B175" s="44"/>
      <c r="C175" s="53" t="s">
        <v>26</v>
      </c>
      <c r="D175" s="53"/>
      <c r="E175" s="36">
        <v>1266.2239418181805</v>
      </c>
      <c r="F175" s="54">
        <v>1266.2239418181805</v>
      </c>
      <c r="G175" s="52"/>
    </row>
    <row r="176" spans="2:7">
      <c r="B176" s="44">
        <v>124</v>
      </c>
      <c r="C176" s="39" t="s">
        <v>43</v>
      </c>
      <c r="D176" s="39"/>
      <c r="E176" s="56"/>
      <c r="F176" s="57"/>
      <c r="G176" s="52"/>
    </row>
    <row r="177" spans="2:7">
      <c r="B177" s="44"/>
      <c r="C177" s="48" t="s">
        <v>44</v>
      </c>
      <c r="D177" s="48"/>
      <c r="E177" s="49">
        <v>165.81503999999998</v>
      </c>
      <c r="F177" s="50">
        <v>165.81503999999998</v>
      </c>
      <c r="G177" s="52"/>
    </row>
    <row r="178" spans="2:7">
      <c r="B178" s="44"/>
      <c r="C178" s="48" t="s">
        <v>45</v>
      </c>
      <c r="D178" s="48"/>
      <c r="E178" s="49">
        <v>0</v>
      </c>
      <c r="F178" s="50">
        <v>0</v>
      </c>
      <c r="G178" s="52"/>
    </row>
    <row r="179" spans="2:7">
      <c r="B179" s="44"/>
      <c r="C179" s="48" t="s">
        <v>46</v>
      </c>
      <c r="D179" s="48"/>
      <c r="E179" s="49">
        <v>0</v>
      </c>
      <c r="F179" s="50">
        <v>0</v>
      </c>
      <c r="G179" s="52"/>
    </row>
    <row r="180" spans="2:7">
      <c r="B180" s="44"/>
      <c r="C180" s="53" t="s">
        <v>26</v>
      </c>
      <c r="D180" s="53"/>
      <c r="E180" s="36">
        <v>165.81503999999998</v>
      </c>
      <c r="F180" s="54">
        <v>165.81503999999998</v>
      </c>
      <c r="G180" s="52"/>
    </row>
    <row r="181" spans="2:7">
      <c r="B181" s="44">
        <v>125</v>
      </c>
      <c r="C181" s="39" t="s">
        <v>47</v>
      </c>
      <c r="D181" s="39"/>
      <c r="E181" s="36"/>
      <c r="F181" s="50"/>
      <c r="G181" s="52"/>
    </row>
    <row r="182" spans="2:7">
      <c r="B182" s="44"/>
      <c r="C182" s="48" t="s">
        <v>48</v>
      </c>
      <c r="D182" s="48"/>
      <c r="E182" s="58">
        <v>0</v>
      </c>
      <c r="F182" s="50">
        <v>0</v>
      </c>
      <c r="G182" s="52"/>
    </row>
    <row r="183" spans="2:7">
      <c r="B183" s="44"/>
      <c r="C183" s="48" t="s">
        <v>49</v>
      </c>
      <c r="D183" s="48"/>
      <c r="E183" s="58">
        <v>0</v>
      </c>
      <c r="F183" s="50">
        <v>0</v>
      </c>
      <c r="G183" s="52"/>
    </row>
    <row r="184" spans="2:7">
      <c r="B184" s="44"/>
      <c r="C184" s="48" t="s">
        <v>50</v>
      </c>
      <c r="D184" s="48"/>
      <c r="E184" s="58">
        <v>132.65203199999999</v>
      </c>
      <c r="F184" s="50">
        <v>132.65203199999999</v>
      </c>
      <c r="G184" s="52"/>
    </row>
    <row r="185" spans="2:7">
      <c r="B185" s="44"/>
      <c r="C185" s="48" t="s">
        <v>51</v>
      </c>
      <c r="D185" s="48"/>
      <c r="E185" s="58">
        <v>0</v>
      </c>
      <c r="F185" s="50">
        <v>0</v>
      </c>
      <c r="G185" s="52"/>
    </row>
    <row r="186" spans="2:7">
      <c r="B186" s="44"/>
      <c r="C186" s="53" t="s">
        <v>26</v>
      </c>
      <c r="D186" s="53"/>
      <c r="E186" s="56">
        <v>132.65203199999999</v>
      </c>
      <c r="F186" s="54">
        <v>132.65203199999999</v>
      </c>
      <c r="G186" s="52"/>
    </row>
    <row r="187" spans="2:7">
      <c r="B187" s="44">
        <v>126</v>
      </c>
      <c r="C187" s="39" t="s">
        <v>52</v>
      </c>
      <c r="D187" s="39"/>
      <c r="E187" s="56"/>
      <c r="F187" s="50"/>
      <c r="G187" s="52"/>
    </row>
    <row r="188" spans="2:7">
      <c r="B188" s="44"/>
      <c r="C188" s="48" t="s">
        <v>53</v>
      </c>
      <c r="D188" s="48"/>
      <c r="E188" s="49">
        <v>0</v>
      </c>
      <c r="F188" s="50">
        <v>0</v>
      </c>
      <c r="G188" s="52"/>
    </row>
    <row r="189" spans="2:7">
      <c r="B189" s="44"/>
      <c r="C189" s="48" t="s">
        <v>54</v>
      </c>
      <c r="D189" s="48"/>
      <c r="E189" s="49">
        <v>0</v>
      </c>
      <c r="F189" s="50"/>
      <c r="G189" s="52"/>
    </row>
    <row r="190" spans="2:7">
      <c r="B190" s="44"/>
      <c r="C190" s="48" t="s">
        <v>55</v>
      </c>
      <c r="D190" s="48"/>
      <c r="E190" s="49">
        <v>0</v>
      </c>
      <c r="F190" s="50"/>
      <c r="G190" s="52"/>
    </row>
    <row r="191" spans="2:7">
      <c r="B191" s="44"/>
      <c r="C191" s="48" t="s">
        <v>56</v>
      </c>
      <c r="D191" s="48"/>
      <c r="E191" s="49">
        <v>0</v>
      </c>
      <c r="F191" s="57"/>
      <c r="G191" s="52"/>
    </row>
    <row r="192" spans="2:7">
      <c r="B192" s="44"/>
      <c r="C192" s="53" t="s">
        <v>26</v>
      </c>
      <c r="D192" s="53"/>
      <c r="E192" s="56">
        <v>0</v>
      </c>
      <c r="F192" s="54">
        <v>0</v>
      </c>
      <c r="G192" s="52"/>
    </row>
    <row r="193" spans="2:7">
      <c r="B193" s="44">
        <v>127</v>
      </c>
      <c r="C193" s="39" t="s">
        <v>57</v>
      </c>
      <c r="D193" s="39"/>
      <c r="E193" s="56"/>
      <c r="F193" s="54"/>
      <c r="G193" s="52"/>
    </row>
    <row r="194" spans="2:7">
      <c r="B194" s="44"/>
      <c r="C194" s="48" t="s">
        <v>58</v>
      </c>
      <c r="D194" s="48"/>
      <c r="E194" s="49">
        <v>0</v>
      </c>
      <c r="F194" s="50">
        <v>0</v>
      </c>
      <c r="G194" s="52"/>
    </row>
    <row r="195" spans="2:7">
      <c r="B195" s="44"/>
      <c r="C195" s="48" t="s">
        <v>59</v>
      </c>
      <c r="D195" s="48"/>
      <c r="E195" s="49">
        <v>0</v>
      </c>
      <c r="F195" s="50">
        <v>0</v>
      </c>
      <c r="G195" s="52"/>
    </row>
    <row r="196" spans="2:7">
      <c r="B196" s="44"/>
      <c r="C196" s="48" t="s">
        <v>60</v>
      </c>
      <c r="D196" s="48"/>
      <c r="E196" s="49">
        <v>0</v>
      </c>
      <c r="F196" s="50">
        <v>0</v>
      </c>
      <c r="G196" s="52"/>
    </row>
    <row r="197" spans="2:7">
      <c r="B197" s="44"/>
      <c r="C197" s="59" t="s">
        <v>61</v>
      </c>
      <c r="D197" s="59"/>
      <c r="E197" s="49">
        <v>0</v>
      </c>
      <c r="F197" s="50">
        <v>0</v>
      </c>
      <c r="G197" s="52"/>
    </row>
    <row r="198" spans="2:7">
      <c r="B198" s="44"/>
      <c r="C198" s="53" t="s">
        <v>26</v>
      </c>
      <c r="D198" s="53"/>
      <c r="E198" s="56">
        <v>0</v>
      </c>
      <c r="F198" s="54">
        <v>0</v>
      </c>
      <c r="G198" s="52"/>
    </row>
    <row r="199" spans="2:7">
      <c r="B199" s="44">
        <v>128</v>
      </c>
      <c r="C199" s="39" t="s">
        <v>62</v>
      </c>
      <c r="D199" s="39"/>
      <c r="E199" s="56"/>
      <c r="F199" s="54"/>
      <c r="G199" s="52"/>
    </row>
    <row r="200" spans="2:7">
      <c r="B200" s="44"/>
      <c r="C200" s="48" t="s">
        <v>63</v>
      </c>
      <c r="D200" s="48"/>
      <c r="E200" s="49">
        <v>0</v>
      </c>
      <c r="F200" s="50">
        <v>0</v>
      </c>
      <c r="G200" s="52"/>
    </row>
    <row r="201" spans="2:7">
      <c r="B201" s="44"/>
      <c r="C201" s="48" t="s">
        <v>64</v>
      </c>
      <c r="D201" s="48"/>
      <c r="E201" s="49">
        <v>0</v>
      </c>
      <c r="F201" s="50">
        <v>0</v>
      </c>
      <c r="G201" s="52"/>
    </row>
    <row r="202" spans="2:7">
      <c r="B202" s="44"/>
      <c r="C202" s="48" t="s">
        <v>65</v>
      </c>
      <c r="D202" s="48"/>
      <c r="E202" s="49">
        <v>397.95609599999995</v>
      </c>
      <c r="F202" s="50">
        <v>397.95609599999995</v>
      </c>
      <c r="G202" s="52"/>
    </row>
    <row r="203" spans="2:7">
      <c r="B203" s="44"/>
      <c r="C203" s="48" t="s">
        <v>66</v>
      </c>
      <c r="D203" s="48"/>
      <c r="E203" s="49">
        <v>0</v>
      </c>
      <c r="F203" s="50">
        <v>0</v>
      </c>
      <c r="G203" s="52"/>
    </row>
    <row r="204" spans="2:7">
      <c r="B204" s="44"/>
      <c r="C204" s="48" t="s">
        <v>67</v>
      </c>
      <c r="D204" s="48"/>
      <c r="E204" s="49">
        <v>0</v>
      </c>
      <c r="F204" s="50">
        <v>0</v>
      </c>
      <c r="G204" s="52"/>
    </row>
    <row r="205" spans="2:7">
      <c r="B205" s="44"/>
      <c r="C205" s="53" t="s">
        <v>26</v>
      </c>
      <c r="D205" s="53"/>
      <c r="E205" s="56">
        <v>397.95609599999995</v>
      </c>
      <c r="F205" s="54">
        <v>397.95609599999995</v>
      </c>
      <c r="G205" s="52"/>
    </row>
    <row r="206" spans="2:7">
      <c r="B206" s="44">
        <v>135</v>
      </c>
      <c r="C206" s="39" t="s">
        <v>68</v>
      </c>
      <c r="D206" s="39"/>
      <c r="E206" s="56"/>
      <c r="F206" s="50"/>
      <c r="G206" s="52"/>
    </row>
    <row r="207" spans="2:7">
      <c r="B207" s="44"/>
      <c r="C207" s="48" t="s">
        <v>69</v>
      </c>
      <c r="D207" s="48"/>
      <c r="E207" s="49">
        <v>0</v>
      </c>
      <c r="F207" s="50">
        <v>0</v>
      </c>
      <c r="G207" s="52"/>
    </row>
    <row r="208" spans="2:7">
      <c r="B208" s="44"/>
      <c r="C208" s="48" t="s">
        <v>70</v>
      </c>
      <c r="D208" s="48"/>
      <c r="E208" s="49">
        <v>0</v>
      </c>
      <c r="F208" s="50">
        <v>0</v>
      </c>
      <c r="G208" s="52"/>
    </row>
    <row r="209" spans="2:7">
      <c r="B209" s="44"/>
      <c r="C209" s="48" t="s">
        <v>71</v>
      </c>
      <c r="D209" s="48"/>
      <c r="E209" s="49">
        <v>0</v>
      </c>
      <c r="F209" s="50">
        <v>0</v>
      </c>
      <c r="G209" s="52"/>
    </row>
    <row r="210" spans="2:7">
      <c r="B210" s="44"/>
      <c r="C210" s="48" t="s">
        <v>72</v>
      </c>
      <c r="D210" s="48"/>
      <c r="E210" s="49">
        <v>0</v>
      </c>
      <c r="F210" s="50">
        <v>0</v>
      </c>
      <c r="G210" s="52"/>
    </row>
    <row r="211" spans="2:7">
      <c r="B211" s="44"/>
      <c r="C211" s="48" t="s">
        <v>73</v>
      </c>
      <c r="D211" s="48"/>
      <c r="E211" s="49">
        <v>217.06696145454521</v>
      </c>
      <c r="F211" s="50">
        <v>217.06696145454521</v>
      </c>
      <c r="G211" s="52"/>
    </row>
    <row r="212" spans="2:7">
      <c r="B212" s="44"/>
      <c r="C212" s="48" t="s">
        <v>74</v>
      </c>
      <c r="D212" s="48"/>
      <c r="E212" s="49">
        <v>0</v>
      </c>
      <c r="F212" s="50">
        <v>0</v>
      </c>
      <c r="G212" s="52"/>
    </row>
    <row r="213" spans="2:7">
      <c r="B213" s="44"/>
      <c r="C213" s="48" t="s">
        <v>75</v>
      </c>
      <c r="D213" s="48"/>
      <c r="E213" s="49">
        <v>1028.0532479999999</v>
      </c>
      <c r="F213" s="50">
        <v>1028.0532479999999</v>
      </c>
      <c r="G213" s="52"/>
    </row>
    <row r="214" spans="2:7">
      <c r="B214" s="44"/>
      <c r="C214" s="48" t="s">
        <v>76</v>
      </c>
      <c r="D214" s="48"/>
      <c r="E214" s="49">
        <v>0</v>
      </c>
      <c r="F214" s="50">
        <v>0</v>
      </c>
      <c r="G214" s="52"/>
    </row>
    <row r="215" spans="2:7">
      <c r="B215" s="44"/>
      <c r="C215" s="48" t="s">
        <v>77</v>
      </c>
      <c r="D215" s="48"/>
      <c r="E215" s="49">
        <v>0</v>
      </c>
      <c r="F215" s="50">
        <v>0</v>
      </c>
      <c r="G215" s="52"/>
    </row>
    <row r="216" spans="2:7">
      <c r="B216" s="44"/>
      <c r="C216" s="53" t="s">
        <v>26</v>
      </c>
      <c r="D216" s="53"/>
      <c r="E216" s="56">
        <v>1245.1202094545451</v>
      </c>
      <c r="F216" s="54">
        <v>1245.1202094545451</v>
      </c>
      <c r="G216" s="52"/>
    </row>
    <row r="217" spans="2:7">
      <c r="B217" s="44">
        <v>136</v>
      </c>
      <c r="C217" s="39" t="s">
        <v>78</v>
      </c>
      <c r="D217" s="39"/>
      <c r="E217" s="56"/>
      <c r="F217" s="50"/>
      <c r="G217" s="52"/>
    </row>
    <row r="218" spans="2:7">
      <c r="B218" s="44"/>
      <c r="C218" s="48" t="s">
        <v>79</v>
      </c>
      <c r="D218" s="48"/>
      <c r="E218" s="49">
        <v>0</v>
      </c>
      <c r="F218" s="50">
        <v>0</v>
      </c>
      <c r="G218" s="52"/>
    </row>
    <row r="219" spans="2:7">
      <c r="B219" s="44"/>
      <c r="C219" s="48" t="s">
        <v>80</v>
      </c>
      <c r="D219" s="48"/>
      <c r="E219" s="49">
        <v>0</v>
      </c>
      <c r="F219" s="50">
        <v>0</v>
      </c>
      <c r="G219" s="52"/>
    </row>
    <row r="220" spans="2:7">
      <c r="B220" s="44"/>
      <c r="C220" s="48" t="s">
        <v>81</v>
      </c>
      <c r="D220" s="48"/>
      <c r="E220" s="49">
        <v>0</v>
      </c>
      <c r="F220" s="50">
        <v>0</v>
      </c>
      <c r="G220" s="52"/>
    </row>
    <row r="221" spans="2:7">
      <c r="B221" s="44"/>
      <c r="C221" s="48" t="s">
        <v>82</v>
      </c>
      <c r="D221" s="48"/>
      <c r="E221" s="49">
        <v>0</v>
      </c>
      <c r="F221" s="50">
        <v>0</v>
      </c>
      <c r="G221" s="52"/>
    </row>
    <row r="222" spans="2:7">
      <c r="B222" s="44"/>
      <c r="C222" s="48" t="s">
        <v>83</v>
      </c>
      <c r="D222" s="48"/>
      <c r="E222" s="49">
        <v>0</v>
      </c>
      <c r="F222" s="50">
        <v>0</v>
      </c>
      <c r="G222" s="52"/>
    </row>
    <row r="223" spans="2:7">
      <c r="B223" s="44"/>
      <c r="C223" s="48" t="s">
        <v>84</v>
      </c>
      <c r="D223" s="48"/>
      <c r="E223" s="49">
        <v>0</v>
      </c>
      <c r="F223" s="50">
        <v>0</v>
      </c>
      <c r="G223" s="52"/>
    </row>
    <row r="224" spans="2:7">
      <c r="B224" s="44"/>
      <c r="C224" s="53" t="s">
        <v>26</v>
      </c>
      <c r="D224" s="53"/>
      <c r="E224" s="56">
        <v>0</v>
      </c>
      <c r="F224" s="54">
        <v>0</v>
      </c>
      <c r="G224" s="52"/>
    </row>
    <row r="225" spans="2:7">
      <c r="B225" s="44">
        <v>142</v>
      </c>
      <c r="C225" s="39" t="s">
        <v>85</v>
      </c>
      <c r="D225" s="39"/>
      <c r="E225" s="56"/>
      <c r="F225" s="50"/>
      <c r="G225" s="52"/>
    </row>
    <row r="226" spans="2:7">
      <c r="B226" s="44"/>
      <c r="C226" s="48" t="s">
        <v>86</v>
      </c>
      <c r="D226" s="48"/>
      <c r="E226" s="49">
        <v>0</v>
      </c>
      <c r="F226" s="50">
        <v>0</v>
      </c>
      <c r="G226" s="52"/>
    </row>
    <row r="227" spans="2:7">
      <c r="B227" s="44"/>
      <c r="C227" s="48" t="s">
        <v>87</v>
      </c>
      <c r="D227" s="48"/>
      <c r="E227" s="49">
        <v>0</v>
      </c>
      <c r="F227" s="50">
        <v>0</v>
      </c>
      <c r="G227" s="52"/>
    </row>
    <row r="228" spans="2:7">
      <c r="B228" s="44"/>
      <c r="C228" s="53" t="s">
        <v>26</v>
      </c>
      <c r="D228" s="53"/>
      <c r="E228" s="56">
        <v>0</v>
      </c>
      <c r="F228" s="54">
        <v>0</v>
      </c>
      <c r="G228" s="52"/>
    </row>
    <row r="229" spans="2:7">
      <c r="B229" s="44">
        <v>144</v>
      </c>
      <c r="C229" s="39" t="s">
        <v>88</v>
      </c>
      <c r="D229" s="39"/>
      <c r="E229" s="49">
        <v>0</v>
      </c>
      <c r="F229" s="54">
        <v>0</v>
      </c>
      <c r="G229" s="52"/>
    </row>
    <row r="230" spans="2:7">
      <c r="B230" s="44">
        <v>221</v>
      </c>
      <c r="C230" s="39" t="s">
        <v>89</v>
      </c>
      <c r="D230" s="39"/>
      <c r="E230" s="49">
        <v>0</v>
      </c>
      <c r="F230" s="54">
        <v>0</v>
      </c>
      <c r="G230" s="52"/>
    </row>
    <row r="231" spans="2:7">
      <c r="B231" s="44">
        <v>222</v>
      </c>
      <c r="C231" s="39" t="s">
        <v>90</v>
      </c>
      <c r="D231" s="39"/>
      <c r="E231" s="49">
        <v>0</v>
      </c>
      <c r="F231" s="54">
        <v>0</v>
      </c>
      <c r="G231" s="52"/>
    </row>
    <row r="232" spans="2:7">
      <c r="B232" s="44">
        <v>224</v>
      </c>
      <c r="C232" s="39" t="s">
        <v>91</v>
      </c>
      <c r="D232" s="39"/>
      <c r="E232" s="49">
        <v>0</v>
      </c>
      <c r="F232" s="54">
        <v>0</v>
      </c>
      <c r="G232" s="52"/>
    </row>
    <row r="233" spans="2:7">
      <c r="B233" s="44">
        <v>225</v>
      </c>
      <c r="C233" s="39" t="s">
        <v>92</v>
      </c>
      <c r="D233" s="39"/>
      <c r="E233" s="49">
        <v>0</v>
      </c>
      <c r="F233" s="54">
        <v>0</v>
      </c>
      <c r="G233" s="38"/>
    </row>
    <row r="234" spans="2:7">
      <c r="B234" s="44">
        <v>226</v>
      </c>
      <c r="C234" s="39" t="s">
        <v>93</v>
      </c>
      <c r="D234" s="39"/>
      <c r="E234" s="49">
        <v>0</v>
      </c>
      <c r="F234" s="54">
        <v>0</v>
      </c>
      <c r="G234" s="60"/>
    </row>
    <row r="235" spans="2:7" ht="15.75" thickBot="1">
      <c r="B235" s="61"/>
      <c r="C235" s="62" t="s">
        <v>94</v>
      </c>
      <c r="D235" s="62"/>
      <c r="E235" s="94">
        <v>0</v>
      </c>
      <c r="F235" s="63">
        <v>0</v>
      </c>
      <c r="G235" s="38"/>
    </row>
    <row r="236" spans="2:7">
      <c r="B236" s="64"/>
      <c r="C236" s="65" t="s">
        <v>95</v>
      </c>
      <c r="D236" s="66"/>
      <c r="E236" s="67">
        <v>3316.3007999999982</v>
      </c>
      <c r="F236" s="68">
        <v>3316.3007999999982</v>
      </c>
      <c r="G236" s="69"/>
    </row>
    <row r="237" spans="2:7" ht="15.75" thickBot="1">
      <c r="B237" s="64"/>
      <c r="C237" s="70"/>
      <c r="D237" s="71"/>
      <c r="E237" s="72"/>
      <c r="F237" s="73"/>
      <c r="G237" s="69"/>
    </row>
    <row r="238" spans="2:7" ht="15.75" thickBot="1">
      <c r="B238" s="64"/>
      <c r="C238" s="70" t="s">
        <v>96</v>
      </c>
      <c r="D238" s="71"/>
      <c r="E238" s="74">
        <v>16819.998392727302</v>
      </c>
      <c r="F238" s="75">
        <v>16819.998392727302</v>
      </c>
      <c r="G238" s="76"/>
    </row>
    <row r="239" spans="2:7" ht="8.25" customHeight="1" thickBot="1">
      <c r="B239" s="77"/>
      <c r="C239" s="81"/>
      <c r="D239" s="81"/>
      <c r="E239" s="78"/>
      <c r="F239" s="78"/>
      <c r="G239" s="79"/>
    </row>
    <row r="240" spans="2:7">
      <c r="B240" s="85"/>
      <c r="C240" s="84"/>
      <c r="D240" s="84"/>
      <c r="E240" s="85"/>
      <c r="F240" s="85"/>
      <c r="G240" s="85"/>
    </row>
    <row r="241" spans="1:7" ht="6" customHeight="1" thickBot="1"/>
    <row r="242" spans="1:7">
      <c r="B242" s="1"/>
      <c r="C242" s="2"/>
      <c r="D242" s="2"/>
      <c r="E242" s="2"/>
      <c r="F242" s="2"/>
      <c r="G242" s="3"/>
    </row>
    <row r="243" spans="1:7">
      <c r="B243" s="4"/>
      <c r="C243" s="5"/>
      <c r="D243" s="5"/>
      <c r="E243" s="5"/>
      <c r="F243" s="5"/>
      <c r="G243" s="6"/>
    </row>
    <row r="244" spans="1:7">
      <c r="B244" s="4"/>
      <c r="C244" s="5"/>
      <c r="D244" s="5"/>
      <c r="E244" s="5"/>
      <c r="F244" s="5"/>
      <c r="G244" s="6"/>
    </row>
    <row r="245" spans="1:7">
      <c r="B245" s="4"/>
      <c r="C245" s="5"/>
      <c r="D245" s="5"/>
      <c r="E245" s="5"/>
      <c r="F245" s="5"/>
      <c r="G245" s="6"/>
    </row>
    <row r="246" spans="1:7">
      <c r="B246" s="4"/>
      <c r="C246" s="5"/>
      <c r="D246" s="5"/>
      <c r="E246" s="5"/>
      <c r="F246" s="5"/>
      <c r="G246" s="6"/>
    </row>
    <row r="247" spans="1:7" ht="16.5" customHeight="1">
      <c r="B247" s="4"/>
      <c r="C247" s="5"/>
      <c r="D247" s="5"/>
      <c r="E247" s="5"/>
      <c r="F247" s="5"/>
      <c r="G247" s="6"/>
    </row>
    <row r="248" spans="1:7" ht="22.5" customHeight="1" thickBot="1">
      <c r="B248" s="4"/>
      <c r="C248" s="95" t="s">
        <v>0</v>
      </c>
      <c r="D248" s="95"/>
      <c r="E248" s="95"/>
      <c r="F248" s="5"/>
      <c r="G248" s="6"/>
    </row>
    <row r="249" spans="1:7" ht="21" thickTop="1">
      <c r="B249" s="4"/>
      <c r="C249" s="7"/>
      <c r="D249" s="7"/>
      <c r="E249" s="5"/>
      <c r="F249" s="5"/>
      <c r="G249" s="6"/>
    </row>
    <row r="250" spans="1:7">
      <c r="B250" s="8" t="s">
        <v>1</v>
      </c>
      <c r="C250" s="9" t="s">
        <v>97</v>
      </c>
      <c r="D250" s="5"/>
      <c r="E250" s="10" t="s">
        <v>2</v>
      </c>
      <c r="F250" s="9" t="s">
        <v>98</v>
      </c>
      <c r="G250" s="6"/>
    </row>
    <row r="251" spans="1:7" ht="3.75" customHeight="1">
      <c r="A251" s="80"/>
      <c r="B251" s="5"/>
      <c r="C251" s="5"/>
      <c r="D251" s="5"/>
      <c r="E251" s="11"/>
      <c r="F251" s="5"/>
      <c r="G251" s="6"/>
    </row>
    <row r="252" spans="1:7">
      <c r="A252" s="80"/>
      <c r="B252" s="12" t="s">
        <v>3</v>
      </c>
      <c r="C252" s="9" t="s">
        <v>99</v>
      </c>
      <c r="D252" s="5"/>
      <c r="E252" s="10" t="s">
        <v>4</v>
      </c>
      <c r="F252" s="82" t="s">
        <v>100</v>
      </c>
      <c r="G252" s="6"/>
    </row>
    <row r="253" spans="1:7" ht="3.75" customHeight="1">
      <c r="A253" s="80"/>
      <c r="B253" s="5"/>
      <c r="C253" s="5"/>
      <c r="D253" s="5"/>
      <c r="E253" s="11"/>
      <c r="F253" s="5"/>
      <c r="G253" s="6"/>
    </row>
    <row r="254" spans="1:7">
      <c r="A254" s="80"/>
      <c r="B254" s="10" t="s">
        <v>5</v>
      </c>
      <c r="C254" s="9" t="s">
        <v>101</v>
      </c>
      <c r="D254" s="5"/>
      <c r="E254" s="10" t="s">
        <v>6</v>
      </c>
      <c r="F254" s="9" t="s">
        <v>107</v>
      </c>
      <c r="G254" s="6"/>
    </row>
    <row r="255" spans="1:7" ht="4.5" customHeight="1">
      <c r="A255" s="80"/>
      <c r="B255" s="13"/>
      <c r="C255" s="5"/>
      <c r="D255" s="5"/>
      <c r="E255" s="11"/>
      <c r="F255" s="5"/>
      <c r="G255" s="6"/>
    </row>
    <row r="256" spans="1:7">
      <c r="A256" s="80"/>
      <c r="B256" s="10" t="s">
        <v>7</v>
      </c>
      <c r="C256" s="9" t="s">
        <v>114</v>
      </c>
      <c r="D256" s="5"/>
      <c r="E256" s="11"/>
      <c r="F256" s="5"/>
      <c r="G256" s="6"/>
    </row>
    <row r="257" spans="1:7" ht="3.75" customHeight="1">
      <c r="A257" s="80"/>
      <c r="B257" s="5"/>
      <c r="C257" s="5"/>
      <c r="D257" s="5"/>
      <c r="E257" s="11"/>
      <c r="F257" s="5"/>
      <c r="G257" s="6"/>
    </row>
    <row r="258" spans="1:7">
      <c r="B258" s="14" t="s">
        <v>8</v>
      </c>
      <c r="C258" s="15" t="s">
        <v>105</v>
      </c>
      <c r="D258" s="5"/>
      <c r="E258" s="86" t="s">
        <v>109</v>
      </c>
      <c r="F258" s="87">
        <v>45352</v>
      </c>
      <c r="G258" s="6"/>
    </row>
    <row r="259" spans="1:7">
      <c r="B259" s="16" t="s">
        <v>9</v>
      </c>
      <c r="C259" s="17" t="s">
        <v>130</v>
      </c>
      <c r="D259" s="5"/>
      <c r="E259" s="88" t="s">
        <v>110</v>
      </c>
      <c r="F259" s="89">
        <v>45382</v>
      </c>
      <c r="G259" s="18"/>
    </row>
    <row r="260" spans="1:7" ht="15.75" thickBot="1">
      <c r="B260" s="4"/>
      <c r="C260" s="19"/>
      <c r="D260" s="19"/>
      <c r="E260" s="20"/>
      <c r="F260" s="21"/>
      <c r="G260" s="18"/>
    </row>
    <row r="261" spans="1:7" ht="18.75" thickBot="1">
      <c r="B261" s="4"/>
      <c r="C261" s="22" t="s">
        <v>10</v>
      </c>
      <c r="D261" s="23"/>
      <c r="E261" s="24"/>
      <c r="F261" s="25" t="s">
        <v>11</v>
      </c>
      <c r="G261" s="18"/>
    </row>
    <row r="262" spans="1:7">
      <c r="B262" s="4"/>
      <c r="C262" s="26" t="s">
        <v>12</v>
      </c>
      <c r="D262" s="26"/>
      <c r="E262" s="27">
        <v>16819.998392727302</v>
      </c>
      <c r="F262" s="28">
        <v>16819.998392727302</v>
      </c>
      <c r="G262" s="29"/>
    </row>
    <row r="263" spans="1:7">
      <c r="B263" s="30">
        <v>143</v>
      </c>
      <c r="C263" s="31" t="s">
        <v>13</v>
      </c>
      <c r="D263" s="31"/>
      <c r="E263" s="27">
        <v>5596.0880000000006</v>
      </c>
      <c r="F263" s="32">
        <v>5596.0880000000006</v>
      </c>
      <c r="G263" s="33"/>
    </row>
    <row r="264" spans="1:7">
      <c r="B264" s="30"/>
      <c r="C264" s="34" t="s">
        <v>14</v>
      </c>
      <c r="D264" s="34"/>
      <c r="E264" s="27">
        <v>0</v>
      </c>
      <c r="F264" s="32">
        <v>0</v>
      </c>
      <c r="G264" s="33"/>
    </row>
    <row r="265" spans="1:7">
      <c r="B265" s="30"/>
      <c r="C265" s="34" t="s">
        <v>15</v>
      </c>
      <c r="D265" s="34"/>
      <c r="E265" s="27">
        <v>0</v>
      </c>
      <c r="F265" s="32">
        <v>0</v>
      </c>
      <c r="G265" s="33"/>
    </row>
    <row r="266" spans="1:7">
      <c r="B266" s="30"/>
      <c r="C266" s="34" t="s">
        <v>16</v>
      </c>
      <c r="D266" s="34"/>
      <c r="E266" s="27">
        <v>0</v>
      </c>
      <c r="F266" s="32">
        <v>0</v>
      </c>
      <c r="G266" s="33"/>
    </row>
    <row r="267" spans="1:7">
      <c r="B267" s="30"/>
      <c r="C267" s="34" t="s">
        <v>17</v>
      </c>
      <c r="D267" s="34"/>
      <c r="E267" s="27">
        <v>0</v>
      </c>
      <c r="F267" s="32">
        <v>0</v>
      </c>
      <c r="G267" s="33"/>
    </row>
    <row r="268" spans="1:7">
      <c r="B268" s="30"/>
      <c r="C268" s="35" t="s">
        <v>18</v>
      </c>
      <c r="D268" s="35"/>
      <c r="E268" s="36">
        <v>22416.086392727302</v>
      </c>
      <c r="F268" s="37">
        <v>22416.086392727302</v>
      </c>
      <c r="G268" s="38"/>
    </row>
    <row r="269" spans="1:7" ht="15.75" thickBot="1">
      <c r="B269" s="30"/>
      <c r="C269" s="39"/>
      <c r="D269" s="39"/>
      <c r="E269" s="40"/>
      <c r="F269" s="41"/>
      <c r="G269" s="38"/>
    </row>
    <row r="270" spans="1:7" ht="18.75" thickBot="1">
      <c r="B270" s="30"/>
      <c r="C270" s="22" t="s">
        <v>19</v>
      </c>
      <c r="D270" s="23"/>
      <c r="E270" s="42"/>
      <c r="F270" s="43"/>
      <c r="G270" s="38"/>
    </row>
    <row r="271" spans="1:7">
      <c r="B271" s="44">
        <v>121</v>
      </c>
      <c r="C271" s="39" t="s">
        <v>20</v>
      </c>
      <c r="D271" s="39"/>
      <c r="E271" s="45"/>
      <c r="F271" s="46"/>
      <c r="G271" s="47"/>
    </row>
    <row r="272" spans="1:7">
      <c r="B272" s="44"/>
      <c r="C272" s="48" t="s">
        <v>21</v>
      </c>
      <c r="D272" s="48"/>
      <c r="E272" s="49">
        <v>0</v>
      </c>
      <c r="F272" s="50">
        <v>0</v>
      </c>
      <c r="G272" s="47"/>
    </row>
    <row r="273" spans="2:7">
      <c r="B273" s="44"/>
      <c r="C273" s="48" t="s">
        <v>22</v>
      </c>
      <c r="D273" s="48"/>
      <c r="E273" s="49">
        <v>0</v>
      </c>
      <c r="F273" s="50">
        <v>0</v>
      </c>
      <c r="G273" s="47"/>
    </row>
    <row r="274" spans="2:7">
      <c r="B274" s="51"/>
      <c r="C274" s="48" t="s">
        <v>23</v>
      </c>
      <c r="D274" s="48"/>
      <c r="E274" s="49">
        <v>0</v>
      </c>
      <c r="F274" s="50">
        <v>0</v>
      </c>
      <c r="G274" s="52"/>
    </row>
    <row r="275" spans="2:7">
      <c r="B275" s="51"/>
      <c r="C275" s="48" t="s">
        <v>24</v>
      </c>
      <c r="D275" s="48"/>
      <c r="E275" s="49">
        <v>994.89024000000006</v>
      </c>
      <c r="F275" s="50">
        <v>994.89024000000006</v>
      </c>
      <c r="G275" s="52"/>
    </row>
    <row r="276" spans="2:7">
      <c r="B276" s="44"/>
      <c r="C276" s="48" t="s">
        <v>25</v>
      </c>
      <c r="D276" s="48"/>
      <c r="E276" s="49">
        <v>0</v>
      </c>
      <c r="F276" s="50">
        <v>0</v>
      </c>
      <c r="G276" s="52"/>
    </row>
    <row r="277" spans="2:7">
      <c r="B277" s="44"/>
      <c r="C277" s="53" t="s">
        <v>26</v>
      </c>
      <c r="D277" s="53"/>
      <c r="E277" s="36">
        <v>994.89024000000006</v>
      </c>
      <c r="F277" s="54">
        <v>994.89024000000006</v>
      </c>
      <c r="G277" s="52"/>
    </row>
    <row r="278" spans="2:7">
      <c r="B278" s="44">
        <v>122</v>
      </c>
      <c r="C278" s="39" t="s">
        <v>27</v>
      </c>
      <c r="D278" s="39"/>
      <c r="E278" s="36"/>
      <c r="F278" s="50"/>
      <c r="G278" s="55"/>
    </row>
    <row r="279" spans="2:7">
      <c r="B279" s="44"/>
      <c r="C279" s="48" t="s">
        <v>28</v>
      </c>
      <c r="D279" s="48"/>
      <c r="E279" s="49">
        <v>0</v>
      </c>
      <c r="F279" s="50">
        <v>0</v>
      </c>
      <c r="G279" s="52"/>
    </row>
    <row r="280" spans="2:7">
      <c r="B280" s="44"/>
      <c r="C280" s="48" t="s">
        <v>29</v>
      </c>
      <c r="D280" s="48"/>
      <c r="E280" s="49">
        <v>0</v>
      </c>
      <c r="F280" s="50">
        <v>0</v>
      </c>
      <c r="G280" s="52"/>
    </row>
    <row r="281" spans="2:7">
      <c r="B281" s="44"/>
      <c r="C281" s="48" t="s">
        <v>30</v>
      </c>
      <c r="D281" s="48"/>
      <c r="E281" s="49">
        <v>0</v>
      </c>
      <c r="F281" s="50">
        <v>0</v>
      </c>
      <c r="G281" s="52"/>
    </row>
    <row r="282" spans="2:7">
      <c r="B282" s="44"/>
      <c r="C282" s="48" t="s">
        <v>31</v>
      </c>
      <c r="D282" s="48"/>
      <c r="E282" s="49">
        <v>0</v>
      </c>
      <c r="F282" s="50">
        <v>0</v>
      </c>
      <c r="G282" s="52"/>
    </row>
    <row r="283" spans="2:7">
      <c r="B283" s="44"/>
      <c r="C283" s="48" t="s">
        <v>32</v>
      </c>
      <c r="D283" s="48"/>
      <c r="E283" s="49">
        <v>331.63008000000002</v>
      </c>
      <c r="F283" s="50">
        <v>331.63008000000002</v>
      </c>
      <c r="G283" s="52"/>
    </row>
    <row r="284" spans="2:7">
      <c r="B284" s="44"/>
      <c r="C284" s="48" t="s">
        <v>33</v>
      </c>
      <c r="D284" s="48"/>
      <c r="E284" s="49">
        <v>0</v>
      </c>
      <c r="F284" s="50">
        <v>0</v>
      </c>
      <c r="G284" s="52"/>
    </row>
    <row r="285" spans="2:7">
      <c r="B285" s="44"/>
      <c r="C285" s="48" t="s">
        <v>34</v>
      </c>
      <c r="D285" s="48"/>
      <c r="E285" s="49">
        <v>0</v>
      </c>
      <c r="F285" s="50">
        <v>0</v>
      </c>
      <c r="G285" s="52"/>
    </row>
    <row r="286" spans="2:7">
      <c r="B286" s="44"/>
      <c r="C286" s="48" t="s">
        <v>35</v>
      </c>
      <c r="D286" s="48"/>
      <c r="E286" s="49">
        <v>0</v>
      </c>
      <c r="F286" s="50">
        <v>0</v>
      </c>
      <c r="G286" s="52"/>
    </row>
    <row r="287" spans="2:7">
      <c r="B287" s="44"/>
      <c r="C287" s="53" t="s">
        <v>26</v>
      </c>
      <c r="D287" s="53"/>
      <c r="E287" s="36">
        <v>331.63008000000002</v>
      </c>
      <c r="F287" s="54">
        <v>331.63008000000002</v>
      </c>
      <c r="G287" s="52"/>
    </row>
    <row r="288" spans="2:7">
      <c r="B288" s="44">
        <v>123</v>
      </c>
      <c r="C288" s="39" t="s">
        <v>36</v>
      </c>
      <c r="D288" s="39"/>
      <c r="E288" s="56"/>
      <c r="F288" s="57"/>
      <c r="G288" s="52"/>
    </row>
    <row r="289" spans="2:7">
      <c r="B289" s="44"/>
      <c r="C289" s="48" t="s">
        <v>37</v>
      </c>
      <c r="D289" s="48"/>
      <c r="E289" s="49">
        <v>271.33370181818157</v>
      </c>
      <c r="F289" s="50">
        <v>271.33370181818157</v>
      </c>
      <c r="G289" s="52"/>
    </row>
    <row r="290" spans="2:7">
      <c r="B290" s="44"/>
      <c r="C290" s="48" t="s">
        <v>38</v>
      </c>
      <c r="D290" s="48"/>
      <c r="E290" s="49">
        <v>2230.9659927272705</v>
      </c>
      <c r="F290" s="50">
        <v>2230.9659927272705</v>
      </c>
      <c r="G290" s="52"/>
    </row>
    <row r="291" spans="2:7">
      <c r="B291" s="44"/>
      <c r="C291" s="48" t="s">
        <v>39</v>
      </c>
      <c r="D291" s="48"/>
      <c r="E291" s="49">
        <v>271.33370181818157</v>
      </c>
      <c r="F291" s="50">
        <v>271.33370181818157</v>
      </c>
      <c r="G291" s="52"/>
    </row>
    <row r="292" spans="2:7">
      <c r="B292" s="44"/>
      <c r="C292" s="48" t="s">
        <v>40</v>
      </c>
      <c r="D292" s="48"/>
      <c r="E292" s="49">
        <v>0</v>
      </c>
      <c r="F292" s="50">
        <v>0</v>
      </c>
      <c r="G292" s="52"/>
    </row>
    <row r="293" spans="2:7">
      <c r="B293" s="44"/>
      <c r="C293" s="48" t="s">
        <v>41</v>
      </c>
      <c r="D293" s="48"/>
      <c r="E293" s="49">
        <v>0</v>
      </c>
      <c r="F293" s="50">
        <v>0</v>
      </c>
      <c r="G293" s="52"/>
    </row>
    <row r="294" spans="2:7">
      <c r="B294" s="44"/>
      <c r="C294" s="48" t="s">
        <v>42</v>
      </c>
      <c r="D294" s="48"/>
      <c r="E294" s="49">
        <v>542.66740363636313</v>
      </c>
      <c r="F294" s="50">
        <v>542.66740363636313</v>
      </c>
      <c r="G294" s="52"/>
    </row>
    <row r="295" spans="2:7">
      <c r="B295" s="44"/>
      <c r="C295" s="53" t="s">
        <v>26</v>
      </c>
      <c r="D295" s="53"/>
      <c r="E295" s="36">
        <v>3316.3007999999963</v>
      </c>
      <c r="F295" s="54">
        <v>3316.3007999999963</v>
      </c>
      <c r="G295" s="52"/>
    </row>
    <row r="296" spans="2:7">
      <c r="B296" s="44">
        <v>124</v>
      </c>
      <c r="C296" s="39" t="s">
        <v>43</v>
      </c>
      <c r="D296" s="39"/>
      <c r="E296" s="56"/>
      <c r="F296" s="57"/>
      <c r="G296" s="52"/>
    </row>
    <row r="297" spans="2:7">
      <c r="B297" s="44"/>
      <c r="C297" s="48" t="s">
        <v>44</v>
      </c>
      <c r="D297" s="48"/>
      <c r="E297" s="49">
        <v>0</v>
      </c>
      <c r="F297" s="50">
        <v>0</v>
      </c>
      <c r="G297" s="52"/>
    </row>
    <row r="298" spans="2:7">
      <c r="B298" s="44"/>
      <c r="C298" s="48" t="s">
        <v>45</v>
      </c>
      <c r="D298" s="48"/>
      <c r="E298" s="49">
        <v>2570.13312</v>
      </c>
      <c r="F298" s="50">
        <v>2570.13312</v>
      </c>
      <c r="G298" s="52"/>
    </row>
    <row r="299" spans="2:7">
      <c r="B299" s="44"/>
      <c r="C299" s="48" t="s">
        <v>46</v>
      </c>
      <c r="D299" s="48"/>
      <c r="E299" s="49">
        <v>0</v>
      </c>
      <c r="F299" s="50">
        <v>0</v>
      </c>
      <c r="G299" s="52"/>
    </row>
    <row r="300" spans="2:7">
      <c r="B300" s="44"/>
      <c r="C300" s="53" t="s">
        <v>26</v>
      </c>
      <c r="D300" s="53"/>
      <c r="E300" s="36">
        <v>2570.13312</v>
      </c>
      <c r="F300" s="54">
        <v>2570.13312</v>
      </c>
      <c r="G300" s="52"/>
    </row>
    <row r="301" spans="2:7">
      <c r="B301" s="44">
        <v>125</v>
      </c>
      <c r="C301" s="39" t="s">
        <v>47</v>
      </c>
      <c r="D301" s="39"/>
      <c r="E301" s="36"/>
      <c r="F301" s="50"/>
      <c r="G301" s="52"/>
    </row>
    <row r="302" spans="2:7">
      <c r="B302" s="44"/>
      <c r="C302" s="48" t="s">
        <v>48</v>
      </c>
      <c r="D302" s="48"/>
      <c r="E302" s="58">
        <v>0</v>
      </c>
      <c r="F302" s="50">
        <v>0</v>
      </c>
      <c r="G302" s="52"/>
    </row>
    <row r="303" spans="2:7">
      <c r="B303" s="44"/>
      <c r="C303" s="48" t="s">
        <v>49</v>
      </c>
      <c r="D303" s="48"/>
      <c r="E303" s="58">
        <v>0</v>
      </c>
      <c r="F303" s="50">
        <v>0</v>
      </c>
      <c r="G303" s="52"/>
    </row>
    <row r="304" spans="2:7">
      <c r="B304" s="44"/>
      <c r="C304" s="48" t="s">
        <v>50</v>
      </c>
      <c r="D304" s="48"/>
      <c r="E304" s="58">
        <v>1077.7977600000002</v>
      </c>
      <c r="F304" s="50">
        <v>1077.7977600000002</v>
      </c>
      <c r="G304" s="52"/>
    </row>
    <row r="305" spans="2:7">
      <c r="B305" s="44"/>
      <c r="C305" s="48" t="s">
        <v>51</v>
      </c>
      <c r="D305" s="48"/>
      <c r="E305" s="58">
        <v>0</v>
      </c>
      <c r="F305" s="50">
        <v>0</v>
      </c>
      <c r="G305" s="52"/>
    </row>
    <row r="306" spans="2:7">
      <c r="B306" s="44"/>
      <c r="C306" s="53" t="s">
        <v>26</v>
      </c>
      <c r="D306" s="53"/>
      <c r="E306" s="56">
        <v>1077.7977600000002</v>
      </c>
      <c r="F306" s="54">
        <v>1077.7977600000002</v>
      </c>
      <c r="G306" s="52"/>
    </row>
    <row r="307" spans="2:7">
      <c r="B307" s="44">
        <v>126</v>
      </c>
      <c r="C307" s="39" t="s">
        <v>52</v>
      </c>
      <c r="D307" s="39"/>
      <c r="E307" s="56"/>
      <c r="F307" s="50"/>
      <c r="G307" s="52"/>
    </row>
    <row r="308" spans="2:7">
      <c r="B308" s="44"/>
      <c r="C308" s="48" t="s">
        <v>53</v>
      </c>
      <c r="D308" s="48"/>
      <c r="E308" s="49">
        <v>0</v>
      </c>
      <c r="F308" s="50">
        <v>0</v>
      </c>
      <c r="G308" s="52"/>
    </row>
    <row r="309" spans="2:7">
      <c r="B309" s="44"/>
      <c r="C309" s="48" t="s">
        <v>54</v>
      </c>
      <c r="D309" s="48"/>
      <c r="E309" s="49">
        <v>0</v>
      </c>
      <c r="F309" s="50"/>
      <c r="G309" s="52"/>
    </row>
    <row r="310" spans="2:7">
      <c r="B310" s="44"/>
      <c r="C310" s="48" t="s">
        <v>55</v>
      </c>
      <c r="D310" s="48"/>
      <c r="E310" s="49">
        <v>0</v>
      </c>
      <c r="F310" s="50"/>
      <c r="G310" s="52"/>
    </row>
    <row r="311" spans="2:7">
      <c r="B311" s="44"/>
      <c r="C311" s="48" t="s">
        <v>56</v>
      </c>
      <c r="D311" s="48"/>
      <c r="E311" s="49">
        <v>0</v>
      </c>
      <c r="F311" s="57"/>
      <c r="G311" s="52"/>
    </row>
    <row r="312" spans="2:7">
      <c r="B312" s="44"/>
      <c r="C312" s="53" t="s">
        <v>26</v>
      </c>
      <c r="D312" s="53"/>
      <c r="E312" s="56">
        <v>0</v>
      </c>
      <c r="F312" s="54">
        <v>0</v>
      </c>
      <c r="G312" s="52"/>
    </row>
    <row r="313" spans="2:7">
      <c r="B313" s="44">
        <v>127</v>
      </c>
      <c r="C313" s="39" t="s">
        <v>57</v>
      </c>
      <c r="D313" s="39"/>
      <c r="E313" s="56"/>
      <c r="F313" s="54"/>
      <c r="G313" s="52"/>
    </row>
    <row r="314" spans="2:7">
      <c r="B314" s="44"/>
      <c r="C314" s="48" t="s">
        <v>58</v>
      </c>
      <c r="D314" s="48"/>
      <c r="E314" s="49">
        <v>0</v>
      </c>
      <c r="F314" s="50">
        <v>0</v>
      </c>
      <c r="G314" s="52"/>
    </row>
    <row r="315" spans="2:7">
      <c r="B315" s="44"/>
      <c r="C315" s="48" t="s">
        <v>59</v>
      </c>
      <c r="D315" s="48"/>
      <c r="E315" s="49">
        <v>0</v>
      </c>
      <c r="F315" s="50">
        <v>0</v>
      </c>
      <c r="G315" s="52"/>
    </row>
    <row r="316" spans="2:7">
      <c r="B316" s="44"/>
      <c r="C316" s="48" t="s">
        <v>60</v>
      </c>
      <c r="D316" s="48"/>
      <c r="E316" s="49">
        <v>0</v>
      </c>
      <c r="F316" s="50">
        <v>0</v>
      </c>
      <c r="G316" s="52"/>
    </row>
    <row r="317" spans="2:7">
      <c r="B317" s="44"/>
      <c r="C317" s="59" t="s">
        <v>61</v>
      </c>
      <c r="D317" s="59"/>
      <c r="E317" s="49">
        <v>0</v>
      </c>
      <c r="F317" s="50">
        <v>0</v>
      </c>
      <c r="G317" s="52"/>
    </row>
    <row r="318" spans="2:7">
      <c r="B318" s="44"/>
      <c r="C318" s="53" t="s">
        <v>26</v>
      </c>
      <c r="D318" s="53"/>
      <c r="E318" s="56">
        <v>0</v>
      </c>
      <c r="F318" s="54">
        <v>0</v>
      </c>
      <c r="G318" s="52"/>
    </row>
    <row r="319" spans="2:7">
      <c r="B319" s="44">
        <v>128</v>
      </c>
      <c r="C319" s="39" t="s">
        <v>62</v>
      </c>
      <c r="D319" s="39"/>
      <c r="E319" s="56"/>
      <c r="F319" s="54"/>
      <c r="G319" s="52"/>
    </row>
    <row r="320" spans="2:7">
      <c r="B320" s="44"/>
      <c r="C320" s="48" t="s">
        <v>63</v>
      </c>
      <c r="D320" s="48"/>
      <c r="E320" s="49">
        <v>0</v>
      </c>
      <c r="F320" s="50">
        <v>0</v>
      </c>
      <c r="G320" s="52"/>
    </row>
    <row r="321" spans="2:7">
      <c r="B321" s="44"/>
      <c r="C321" s="48" t="s">
        <v>64</v>
      </c>
      <c r="D321" s="48"/>
      <c r="E321" s="49">
        <v>0</v>
      </c>
      <c r="F321" s="50">
        <v>0</v>
      </c>
      <c r="G321" s="52"/>
    </row>
    <row r="322" spans="2:7">
      <c r="B322" s="44"/>
      <c r="C322" s="48" t="s">
        <v>65</v>
      </c>
      <c r="D322" s="48"/>
      <c r="E322" s="49">
        <v>0</v>
      </c>
      <c r="F322" s="50">
        <v>0</v>
      </c>
      <c r="G322" s="52"/>
    </row>
    <row r="323" spans="2:7">
      <c r="B323" s="44"/>
      <c r="C323" s="48" t="s">
        <v>66</v>
      </c>
      <c r="D323" s="48"/>
      <c r="E323" s="49">
        <v>0</v>
      </c>
      <c r="F323" s="50">
        <v>0</v>
      </c>
      <c r="G323" s="52"/>
    </row>
    <row r="324" spans="2:7">
      <c r="B324" s="44"/>
      <c r="C324" s="48" t="s">
        <v>67</v>
      </c>
      <c r="D324" s="48"/>
      <c r="E324" s="49">
        <v>0</v>
      </c>
      <c r="F324" s="50">
        <v>0</v>
      </c>
      <c r="G324" s="52"/>
    </row>
    <row r="325" spans="2:7">
      <c r="B325" s="44"/>
      <c r="C325" s="53" t="s">
        <v>26</v>
      </c>
      <c r="D325" s="53"/>
      <c r="E325" s="56">
        <v>0</v>
      </c>
      <c r="F325" s="54">
        <v>0</v>
      </c>
      <c r="G325" s="52"/>
    </row>
    <row r="326" spans="2:7">
      <c r="B326" s="44">
        <v>135</v>
      </c>
      <c r="C326" s="39" t="s">
        <v>68</v>
      </c>
      <c r="D326" s="39"/>
      <c r="E326" s="56"/>
      <c r="F326" s="50"/>
      <c r="G326" s="52"/>
    </row>
    <row r="327" spans="2:7">
      <c r="B327" s="44"/>
      <c r="C327" s="48" t="s">
        <v>69</v>
      </c>
      <c r="D327" s="48"/>
      <c r="E327" s="49">
        <v>0</v>
      </c>
      <c r="F327" s="50">
        <v>0</v>
      </c>
      <c r="G327" s="52"/>
    </row>
    <row r="328" spans="2:7">
      <c r="B328" s="44"/>
      <c r="C328" s="48" t="s">
        <v>70</v>
      </c>
      <c r="D328" s="48"/>
      <c r="E328" s="49">
        <v>0</v>
      </c>
      <c r="F328" s="50">
        <v>0</v>
      </c>
      <c r="G328" s="52"/>
    </row>
    <row r="329" spans="2:7">
      <c r="B329" s="44"/>
      <c r="C329" s="48" t="s">
        <v>71</v>
      </c>
      <c r="D329" s="48"/>
      <c r="E329" s="49">
        <v>0</v>
      </c>
      <c r="F329" s="50">
        <v>0</v>
      </c>
      <c r="G329" s="52"/>
    </row>
    <row r="330" spans="2:7">
      <c r="B330" s="44"/>
      <c r="C330" s="48" t="s">
        <v>72</v>
      </c>
      <c r="D330" s="48"/>
      <c r="E330" s="49">
        <v>0</v>
      </c>
      <c r="F330" s="50">
        <v>0</v>
      </c>
      <c r="G330" s="52"/>
    </row>
    <row r="331" spans="2:7">
      <c r="B331" s="44"/>
      <c r="C331" s="48" t="s">
        <v>73</v>
      </c>
      <c r="D331" s="48"/>
      <c r="E331" s="49">
        <v>0</v>
      </c>
      <c r="F331" s="50">
        <v>0</v>
      </c>
      <c r="G331" s="52"/>
    </row>
    <row r="332" spans="2:7">
      <c r="B332" s="44"/>
      <c r="C332" s="48" t="s">
        <v>74</v>
      </c>
      <c r="D332" s="48"/>
      <c r="E332" s="49">
        <v>0</v>
      </c>
      <c r="F332" s="50">
        <v>0</v>
      </c>
      <c r="G332" s="52"/>
    </row>
    <row r="333" spans="2:7">
      <c r="B333" s="44"/>
      <c r="C333" s="48" t="s">
        <v>75</v>
      </c>
      <c r="D333" s="48"/>
      <c r="E333" s="49">
        <v>0</v>
      </c>
      <c r="F333" s="50">
        <v>0</v>
      </c>
      <c r="G333" s="52"/>
    </row>
    <row r="334" spans="2:7">
      <c r="B334" s="44"/>
      <c r="C334" s="48" t="s">
        <v>76</v>
      </c>
      <c r="D334" s="48"/>
      <c r="E334" s="49">
        <v>0</v>
      </c>
      <c r="F334" s="50">
        <v>0</v>
      </c>
      <c r="G334" s="52"/>
    </row>
    <row r="335" spans="2:7">
      <c r="B335" s="44"/>
      <c r="C335" s="48" t="s">
        <v>77</v>
      </c>
      <c r="D335" s="48"/>
      <c r="E335" s="49">
        <v>0</v>
      </c>
      <c r="F335" s="50">
        <v>0</v>
      </c>
      <c r="G335" s="52"/>
    </row>
    <row r="336" spans="2:7">
      <c r="B336" s="44"/>
      <c r="C336" s="53" t="s">
        <v>26</v>
      </c>
      <c r="D336" s="53"/>
      <c r="E336" s="56">
        <v>0</v>
      </c>
      <c r="F336" s="54">
        <v>0</v>
      </c>
      <c r="G336" s="52"/>
    </row>
    <row r="337" spans="2:7">
      <c r="B337" s="44">
        <v>136</v>
      </c>
      <c r="C337" s="39" t="s">
        <v>78</v>
      </c>
      <c r="D337" s="39"/>
      <c r="E337" s="56"/>
      <c r="F337" s="50"/>
      <c r="G337" s="52"/>
    </row>
    <row r="338" spans="2:7">
      <c r="B338" s="44"/>
      <c r="C338" s="48" t="s">
        <v>79</v>
      </c>
      <c r="D338" s="48"/>
      <c r="E338" s="49">
        <v>0</v>
      </c>
      <c r="F338" s="50">
        <v>0</v>
      </c>
      <c r="G338" s="52"/>
    </row>
    <row r="339" spans="2:7">
      <c r="B339" s="44"/>
      <c r="C339" s="48" t="s">
        <v>80</v>
      </c>
      <c r="D339" s="48"/>
      <c r="E339" s="49">
        <v>0</v>
      </c>
      <c r="F339" s="50">
        <v>0</v>
      </c>
      <c r="G339" s="52"/>
    </row>
    <row r="340" spans="2:7">
      <c r="B340" s="44"/>
      <c r="C340" s="48" t="s">
        <v>81</v>
      </c>
      <c r="D340" s="48"/>
      <c r="E340" s="49">
        <v>0</v>
      </c>
      <c r="F340" s="50">
        <v>0</v>
      </c>
      <c r="G340" s="52"/>
    </row>
    <row r="341" spans="2:7">
      <c r="B341" s="44"/>
      <c r="C341" s="48" t="s">
        <v>82</v>
      </c>
      <c r="D341" s="48"/>
      <c r="E341" s="49">
        <v>0</v>
      </c>
      <c r="F341" s="50">
        <v>0</v>
      </c>
      <c r="G341" s="52"/>
    </row>
    <row r="342" spans="2:7">
      <c r="B342" s="44"/>
      <c r="C342" s="48" t="s">
        <v>83</v>
      </c>
      <c r="D342" s="48"/>
      <c r="E342" s="49">
        <v>0</v>
      </c>
      <c r="F342" s="50">
        <v>0</v>
      </c>
      <c r="G342" s="52"/>
    </row>
    <row r="343" spans="2:7">
      <c r="B343" s="44"/>
      <c r="C343" s="48" t="s">
        <v>84</v>
      </c>
      <c r="D343" s="48"/>
      <c r="E343" s="49">
        <v>0</v>
      </c>
      <c r="F343" s="50">
        <v>0</v>
      </c>
      <c r="G343" s="52"/>
    </row>
    <row r="344" spans="2:7">
      <c r="B344" s="44"/>
      <c r="C344" s="53" t="s">
        <v>26</v>
      </c>
      <c r="D344" s="53"/>
      <c r="E344" s="56">
        <v>0</v>
      </c>
      <c r="F344" s="54">
        <v>0</v>
      </c>
      <c r="G344" s="52"/>
    </row>
    <row r="345" spans="2:7">
      <c r="B345" s="44">
        <v>142</v>
      </c>
      <c r="C345" s="39" t="s">
        <v>85</v>
      </c>
      <c r="D345" s="39"/>
      <c r="E345" s="56"/>
      <c r="F345" s="50"/>
      <c r="G345" s="52"/>
    </row>
    <row r="346" spans="2:7">
      <c r="B346" s="44"/>
      <c r="C346" s="48" t="s">
        <v>86</v>
      </c>
      <c r="D346" s="48"/>
      <c r="E346" s="49">
        <v>0</v>
      </c>
      <c r="F346" s="50">
        <v>0</v>
      </c>
      <c r="G346" s="52"/>
    </row>
    <row r="347" spans="2:7">
      <c r="B347" s="44"/>
      <c r="C347" s="48" t="s">
        <v>87</v>
      </c>
      <c r="D347" s="48"/>
      <c r="E347" s="49">
        <v>0</v>
      </c>
      <c r="F347" s="50">
        <v>0</v>
      </c>
      <c r="G347" s="52"/>
    </row>
    <row r="348" spans="2:7">
      <c r="B348" s="44"/>
      <c r="C348" s="53" t="s">
        <v>26</v>
      </c>
      <c r="D348" s="53"/>
      <c r="E348" s="56">
        <v>0</v>
      </c>
      <c r="F348" s="54">
        <v>0</v>
      </c>
      <c r="G348" s="52"/>
    </row>
    <row r="349" spans="2:7">
      <c r="B349" s="44">
        <v>144</v>
      </c>
      <c r="C349" s="39" t="s">
        <v>88</v>
      </c>
      <c r="D349" s="39"/>
      <c r="E349" s="49">
        <v>0</v>
      </c>
      <c r="F349" s="54">
        <v>0</v>
      </c>
      <c r="G349" s="52"/>
    </row>
    <row r="350" spans="2:7">
      <c r="B350" s="44">
        <v>221</v>
      </c>
      <c r="C350" s="39" t="s">
        <v>89</v>
      </c>
      <c r="D350" s="39"/>
      <c r="E350" s="49">
        <v>0</v>
      </c>
      <c r="F350" s="54">
        <v>0</v>
      </c>
      <c r="G350" s="52"/>
    </row>
    <row r="351" spans="2:7">
      <c r="B351" s="44">
        <v>222</v>
      </c>
      <c r="C351" s="39" t="s">
        <v>90</v>
      </c>
      <c r="D351" s="39"/>
      <c r="E351" s="49">
        <v>0</v>
      </c>
      <c r="F351" s="54">
        <v>0</v>
      </c>
      <c r="G351" s="52"/>
    </row>
    <row r="352" spans="2:7">
      <c r="B352" s="44">
        <v>224</v>
      </c>
      <c r="C352" s="39" t="s">
        <v>91</v>
      </c>
      <c r="D352" s="39"/>
      <c r="E352" s="49">
        <v>0</v>
      </c>
      <c r="F352" s="54">
        <v>0</v>
      </c>
      <c r="G352" s="52"/>
    </row>
    <row r="353" spans="2:7">
      <c r="B353" s="44">
        <v>225</v>
      </c>
      <c r="C353" s="39" t="s">
        <v>92</v>
      </c>
      <c r="D353" s="39"/>
      <c r="E353" s="49">
        <v>0</v>
      </c>
      <c r="F353" s="54">
        <v>0</v>
      </c>
      <c r="G353" s="38"/>
    </row>
    <row r="354" spans="2:7">
      <c r="B354" s="44">
        <v>226</v>
      </c>
      <c r="C354" s="39" t="s">
        <v>93</v>
      </c>
      <c r="D354" s="39"/>
      <c r="E354" s="49">
        <v>0</v>
      </c>
      <c r="F354" s="54">
        <v>0</v>
      </c>
      <c r="G354" s="60"/>
    </row>
    <row r="355" spans="2:7" ht="15.75" thickBot="1">
      <c r="B355" s="61"/>
      <c r="C355" s="62" t="s">
        <v>94</v>
      </c>
      <c r="D355" s="62"/>
      <c r="E355" s="94">
        <v>0</v>
      </c>
      <c r="F355" s="63">
        <v>0</v>
      </c>
      <c r="G355" s="38"/>
    </row>
    <row r="356" spans="2:7">
      <c r="B356" s="64"/>
      <c r="C356" s="65" t="s">
        <v>95</v>
      </c>
      <c r="D356" s="66"/>
      <c r="E356" s="67">
        <v>8290.7519999999968</v>
      </c>
      <c r="F356" s="68">
        <v>8290.7519999999968</v>
      </c>
      <c r="G356" s="69"/>
    </row>
    <row r="357" spans="2:7" ht="15.75" thickBot="1">
      <c r="B357" s="64"/>
      <c r="C357" s="70"/>
      <c r="D357" s="71"/>
      <c r="E357" s="72"/>
      <c r="F357" s="73"/>
      <c r="G357" s="69"/>
    </row>
    <row r="358" spans="2:7" ht="15.75" thickBot="1">
      <c r="B358" s="64"/>
      <c r="C358" s="70" t="s">
        <v>96</v>
      </c>
      <c r="D358" s="71"/>
      <c r="E358" s="74">
        <v>14125.334392727305</v>
      </c>
      <c r="F358" s="75">
        <v>14125.334392727305</v>
      </c>
      <c r="G358" s="76"/>
    </row>
    <row r="359" spans="2:7" ht="8.25" customHeight="1" thickBot="1">
      <c r="B359" s="77"/>
      <c r="C359" s="81"/>
      <c r="D359" s="81"/>
      <c r="E359" s="78"/>
      <c r="F359" s="78"/>
      <c r="G359" s="79"/>
    </row>
    <row r="360" spans="2:7">
      <c r="B360" s="85"/>
      <c r="C360" s="84"/>
      <c r="D360" s="84"/>
      <c r="E360" s="85"/>
      <c r="F360" s="85"/>
      <c r="G360" s="85"/>
    </row>
  </sheetData>
  <mergeCells count="3">
    <mergeCell ref="C8:E8"/>
    <mergeCell ref="C128:E128"/>
    <mergeCell ref="C248:E248"/>
  </mergeCells>
  <dataValidations count="1">
    <dataValidation type="list" allowBlank="1" showInputMessage="1" showErrorMessage="1" sqref="C136 C16 C256" xr:uid="{5A84F61D-DB82-4C99-AB9C-746536B515F3}">
      <formula1>FacList</formula1>
    </dataValidation>
  </dataValidations>
  <hyperlinks>
    <hyperlink ref="F12" r:id="rId1" xr:uid="{EC590866-6966-4CDE-9B29-FA97A1F3D9D8}"/>
    <hyperlink ref="F132" r:id="rId2" xr:uid="{CAE837FA-8299-4E42-BB71-A63B40A14964}"/>
    <hyperlink ref="F252" r:id="rId3" xr:uid="{D91D6FF4-8DC1-42EE-80AC-DE55D3E4D073}"/>
  </hyperlinks>
  <pageMargins left="0.7" right="0.7" top="0.75" bottom="0.75" header="0.3" footer="0.3"/>
  <pageSetup paperSize="9" orientation="portrait" r:id="rId4"/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45ED4-95C6-433C-89CB-D9DC8F3CD632}">
  <dimension ref="A1:G360"/>
  <sheetViews>
    <sheetView topLeftCell="C1" zoomScale="90" zoomScaleNormal="90" workbookViewId="0">
      <selection sqref="A1:XFD1048576"/>
    </sheetView>
  </sheetViews>
  <sheetFormatPr defaultColWidth="8.85546875" defaultRowHeight="15"/>
  <cols>
    <col min="1" max="1" width="1.140625" customWidth="1"/>
    <col min="2" max="2" width="27.42578125" customWidth="1"/>
    <col min="3" max="3" width="42.7109375" bestFit="1" customWidth="1"/>
    <col min="4" max="4" width="4" customWidth="1"/>
    <col min="5" max="5" width="25.42578125" customWidth="1"/>
    <col min="6" max="6" width="27.42578125" customWidth="1"/>
    <col min="7" max="7" width="4.7109375" customWidth="1"/>
  </cols>
  <sheetData>
    <row r="1" spans="1:7" ht="6" customHeight="1" thickBot="1"/>
    <row r="2" spans="1:7">
      <c r="B2" s="1"/>
      <c r="C2" s="2"/>
      <c r="D2" s="2"/>
      <c r="E2" s="2"/>
      <c r="F2" s="2"/>
      <c r="G2" s="3"/>
    </row>
    <row r="3" spans="1:7">
      <c r="B3" s="4"/>
      <c r="C3" s="5"/>
      <c r="D3" s="5"/>
      <c r="E3" s="5"/>
      <c r="F3" s="5"/>
      <c r="G3" s="6"/>
    </row>
    <row r="4" spans="1:7">
      <c r="B4" s="4"/>
      <c r="C4" s="5"/>
      <c r="D4" s="5"/>
      <c r="E4" s="5"/>
      <c r="F4" s="5"/>
      <c r="G4" s="6"/>
    </row>
    <row r="5" spans="1:7">
      <c r="B5" s="4"/>
      <c r="C5" s="5"/>
      <c r="D5" s="5"/>
      <c r="E5" s="5"/>
      <c r="F5" s="5"/>
      <c r="G5" s="6"/>
    </row>
    <row r="6" spans="1:7">
      <c r="B6" s="4"/>
      <c r="C6" s="5"/>
      <c r="D6" s="5"/>
      <c r="E6" s="5"/>
      <c r="F6" s="5"/>
      <c r="G6" s="6"/>
    </row>
    <row r="7" spans="1:7" ht="16.5" customHeight="1">
      <c r="B7" s="4"/>
      <c r="C7" s="5"/>
      <c r="D7" s="5"/>
      <c r="E7" s="5"/>
      <c r="F7" s="5"/>
      <c r="G7" s="6"/>
    </row>
    <row r="8" spans="1:7" ht="22.5" customHeight="1" thickBot="1">
      <c r="B8" s="4"/>
      <c r="C8" s="95" t="s">
        <v>0</v>
      </c>
      <c r="D8" s="95"/>
      <c r="E8" s="95"/>
      <c r="F8" s="5"/>
      <c r="G8" s="6"/>
    </row>
    <row r="9" spans="1:7" ht="21" thickTop="1">
      <c r="B9" s="4"/>
      <c r="C9" s="7"/>
      <c r="D9" s="7"/>
      <c r="E9" s="5"/>
      <c r="F9" s="5"/>
      <c r="G9" s="6"/>
    </row>
    <row r="10" spans="1:7">
      <c r="B10" s="8" t="s">
        <v>1</v>
      </c>
      <c r="C10" s="9" t="s">
        <v>97</v>
      </c>
      <c r="D10" s="5"/>
      <c r="E10" s="10" t="s">
        <v>2</v>
      </c>
      <c r="F10" s="9" t="s">
        <v>98</v>
      </c>
      <c r="G10" s="6"/>
    </row>
    <row r="11" spans="1:7" ht="3.75" customHeight="1">
      <c r="A11" s="80"/>
      <c r="B11" s="5"/>
      <c r="C11" s="5"/>
      <c r="D11" s="5"/>
      <c r="E11" s="11"/>
      <c r="F11" s="5"/>
      <c r="G11" s="6"/>
    </row>
    <row r="12" spans="1:7">
      <c r="A12" s="80"/>
      <c r="B12" s="12" t="s">
        <v>3</v>
      </c>
      <c r="C12" s="9" t="s">
        <v>99</v>
      </c>
      <c r="D12" s="5"/>
      <c r="E12" s="10" t="s">
        <v>4</v>
      </c>
      <c r="F12" s="82" t="s">
        <v>100</v>
      </c>
      <c r="G12" s="6"/>
    </row>
    <row r="13" spans="1:7" ht="3.75" customHeight="1">
      <c r="A13" s="80"/>
      <c r="B13" s="5"/>
      <c r="C13" s="5"/>
      <c r="D13" s="5"/>
      <c r="E13" s="11"/>
      <c r="F13" s="5"/>
      <c r="G13" s="6"/>
    </row>
    <row r="14" spans="1:7">
      <c r="A14" s="80"/>
      <c r="B14" s="10" t="s">
        <v>5</v>
      </c>
      <c r="C14" s="9" t="s">
        <v>101</v>
      </c>
      <c r="D14" s="5"/>
      <c r="E14" s="10" t="s">
        <v>6</v>
      </c>
      <c r="F14" s="9" t="s">
        <v>107</v>
      </c>
      <c r="G14" s="6"/>
    </row>
    <row r="15" spans="1:7" ht="4.5" customHeight="1">
      <c r="A15" s="80"/>
      <c r="B15" s="13"/>
      <c r="C15" s="5"/>
      <c r="D15" s="5"/>
      <c r="E15" s="11"/>
      <c r="F15" s="5"/>
      <c r="G15" s="6"/>
    </row>
    <row r="16" spans="1:7">
      <c r="A16" s="80"/>
      <c r="B16" s="10" t="s">
        <v>7</v>
      </c>
      <c r="C16" s="9" t="s">
        <v>115</v>
      </c>
      <c r="D16" s="5"/>
      <c r="E16" s="11"/>
      <c r="F16" s="5"/>
      <c r="G16" s="6"/>
    </row>
    <row r="17" spans="1:7" ht="3.75" customHeight="1">
      <c r="A17" s="80"/>
      <c r="B17" s="5"/>
      <c r="C17" s="5"/>
      <c r="D17" s="5"/>
      <c r="E17" s="11"/>
      <c r="F17" s="5"/>
      <c r="G17" s="6"/>
    </row>
    <row r="18" spans="1:7">
      <c r="B18" s="14" t="s">
        <v>8</v>
      </c>
      <c r="C18" s="15" t="s">
        <v>103</v>
      </c>
      <c r="D18" s="5"/>
      <c r="E18" s="86" t="s">
        <v>109</v>
      </c>
      <c r="F18" s="87">
        <v>45292</v>
      </c>
      <c r="G18" s="6"/>
    </row>
    <row r="19" spans="1:7">
      <c r="B19" s="16" t="s">
        <v>9</v>
      </c>
      <c r="C19" s="17" t="s">
        <v>130</v>
      </c>
      <c r="D19" s="5"/>
      <c r="E19" s="88" t="s">
        <v>110</v>
      </c>
      <c r="F19" s="89">
        <v>45322</v>
      </c>
      <c r="G19" s="18"/>
    </row>
    <row r="20" spans="1:7" ht="15.75" thickBot="1">
      <c r="B20" s="4"/>
      <c r="C20" s="19"/>
      <c r="D20" s="19"/>
      <c r="E20" s="20"/>
      <c r="F20" s="21"/>
      <c r="G20" s="18"/>
    </row>
    <row r="21" spans="1:7" ht="18.75" thickBot="1">
      <c r="B21" s="4"/>
      <c r="C21" s="22" t="s">
        <v>10</v>
      </c>
      <c r="D21" s="23"/>
      <c r="E21" s="24"/>
      <c r="F21" s="25" t="s">
        <v>11</v>
      </c>
      <c r="G21" s="18"/>
    </row>
    <row r="22" spans="1:7">
      <c r="B22" s="4"/>
      <c r="C22" s="26" t="s">
        <v>12</v>
      </c>
      <c r="D22" s="26"/>
      <c r="E22" s="27">
        <v>13089.499192727297</v>
      </c>
      <c r="F22" s="28">
        <v>13089.499192727297</v>
      </c>
      <c r="G22" s="29"/>
    </row>
    <row r="23" spans="1:7">
      <c r="B23" s="30">
        <v>143</v>
      </c>
      <c r="C23" s="31" t="s">
        <v>13</v>
      </c>
      <c r="D23" s="31"/>
      <c r="E23" s="27">
        <v>5596.0880000000006</v>
      </c>
      <c r="F23" s="32">
        <v>5596.0880000000006</v>
      </c>
      <c r="G23" s="33"/>
    </row>
    <row r="24" spans="1:7">
      <c r="B24" s="30"/>
      <c r="C24" s="34" t="s">
        <v>14</v>
      </c>
      <c r="D24" s="34"/>
      <c r="E24" s="27">
        <v>0</v>
      </c>
      <c r="F24" s="32">
        <v>0</v>
      </c>
      <c r="G24" s="33"/>
    </row>
    <row r="25" spans="1:7">
      <c r="B25" s="30"/>
      <c r="C25" s="34" t="s">
        <v>15</v>
      </c>
      <c r="D25" s="34"/>
      <c r="E25" s="27">
        <v>0</v>
      </c>
      <c r="F25" s="32">
        <v>0</v>
      </c>
      <c r="G25" s="33"/>
    </row>
    <row r="26" spans="1:7">
      <c r="B26" s="30"/>
      <c r="C26" s="34" t="s">
        <v>16</v>
      </c>
      <c r="D26" s="34"/>
      <c r="E26" s="27">
        <v>0</v>
      </c>
      <c r="F26" s="32">
        <v>0</v>
      </c>
      <c r="G26" s="33"/>
    </row>
    <row r="27" spans="1:7">
      <c r="B27" s="30"/>
      <c r="C27" s="34" t="s">
        <v>17</v>
      </c>
      <c r="D27" s="34"/>
      <c r="E27" s="27">
        <v>0</v>
      </c>
      <c r="F27" s="32">
        <v>0</v>
      </c>
      <c r="G27" s="33"/>
    </row>
    <row r="28" spans="1:7">
      <c r="B28" s="30"/>
      <c r="C28" s="35" t="s">
        <v>18</v>
      </c>
      <c r="D28" s="35"/>
      <c r="E28" s="36">
        <v>18685.587192727296</v>
      </c>
      <c r="F28" s="37">
        <v>18685.587192727296</v>
      </c>
      <c r="G28" s="38"/>
    </row>
    <row r="29" spans="1:7" ht="15.75" thickBot="1">
      <c r="B29" s="30"/>
      <c r="C29" s="39"/>
      <c r="D29" s="39"/>
      <c r="E29" s="40"/>
      <c r="F29" s="41"/>
      <c r="G29" s="38"/>
    </row>
    <row r="30" spans="1:7" ht="18.75" thickBot="1">
      <c r="B30" s="30"/>
      <c r="C30" s="22" t="s">
        <v>19</v>
      </c>
      <c r="D30" s="23"/>
      <c r="E30" s="42"/>
      <c r="F30" s="43"/>
      <c r="G30" s="38"/>
    </row>
    <row r="31" spans="1:7">
      <c r="B31" s="44">
        <v>121</v>
      </c>
      <c r="C31" s="39" t="s">
        <v>20</v>
      </c>
      <c r="D31" s="39"/>
      <c r="E31" s="45"/>
      <c r="F31" s="46"/>
      <c r="G31" s="47"/>
    </row>
    <row r="32" spans="1:7">
      <c r="B32" s="44"/>
      <c r="C32" s="48" t="s">
        <v>21</v>
      </c>
      <c r="D32" s="48"/>
      <c r="E32" s="49">
        <v>362.72039999999993</v>
      </c>
      <c r="F32" s="50">
        <v>362.72039999999993</v>
      </c>
      <c r="G32" s="47"/>
    </row>
    <row r="33" spans="2:7">
      <c r="B33" s="44"/>
      <c r="C33" s="48" t="s">
        <v>22</v>
      </c>
      <c r="D33" s="48"/>
      <c r="E33" s="49">
        <v>373.08383999999955</v>
      </c>
      <c r="F33" s="50">
        <v>373.08383999999955</v>
      </c>
      <c r="G33" s="47"/>
    </row>
    <row r="34" spans="2:7">
      <c r="B34" s="51"/>
      <c r="C34" s="48" t="s">
        <v>23</v>
      </c>
      <c r="D34" s="48"/>
      <c r="E34" s="49">
        <v>445.62792000000002</v>
      </c>
      <c r="F34" s="50">
        <v>445.62792000000002</v>
      </c>
      <c r="G34" s="52"/>
    </row>
    <row r="35" spans="2:7">
      <c r="B35" s="51"/>
      <c r="C35" s="48" t="s">
        <v>24</v>
      </c>
      <c r="D35" s="48"/>
      <c r="E35" s="49">
        <v>305.25041454545419</v>
      </c>
      <c r="F35" s="50">
        <v>305.25041454545419</v>
      </c>
      <c r="G35" s="52"/>
    </row>
    <row r="36" spans="2:7">
      <c r="B36" s="44"/>
      <c r="C36" s="48" t="s">
        <v>25</v>
      </c>
      <c r="D36" s="48"/>
      <c r="E36" s="49">
        <v>0</v>
      </c>
      <c r="F36" s="50">
        <v>0</v>
      </c>
      <c r="G36" s="52"/>
    </row>
    <row r="37" spans="2:7">
      <c r="B37" s="44"/>
      <c r="C37" s="53" t="s">
        <v>26</v>
      </c>
      <c r="D37" s="53"/>
      <c r="E37" s="36">
        <v>1486.6825745454535</v>
      </c>
      <c r="F37" s="54">
        <v>1486.6825745454535</v>
      </c>
      <c r="G37" s="52"/>
    </row>
    <row r="38" spans="2:7">
      <c r="B38" s="44">
        <v>122</v>
      </c>
      <c r="C38" s="39" t="s">
        <v>27</v>
      </c>
      <c r="D38" s="39"/>
      <c r="E38" s="36"/>
      <c r="F38" s="50"/>
      <c r="G38" s="55"/>
    </row>
    <row r="39" spans="2:7">
      <c r="B39" s="44"/>
      <c r="C39" s="48" t="s">
        <v>28</v>
      </c>
      <c r="D39" s="48"/>
      <c r="E39" s="49">
        <v>176.17848000000001</v>
      </c>
      <c r="F39" s="50">
        <v>176.17848000000001</v>
      </c>
      <c r="G39" s="52"/>
    </row>
    <row r="40" spans="2:7">
      <c r="B40" s="44"/>
      <c r="C40" s="48" t="s">
        <v>29</v>
      </c>
      <c r="D40" s="48"/>
      <c r="E40" s="49">
        <v>0</v>
      </c>
      <c r="F40" s="50">
        <v>0</v>
      </c>
      <c r="G40" s="52"/>
    </row>
    <row r="41" spans="2:7">
      <c r="B41" s="44"/>
      <c r="C41" s="48" t="s">
        <v>30</v>
      </c>
      <c r="D41" s="48"/>
      <c r="E41" s="49">
        <v>233.64846545454537</v>
      </c>
      <c r="F41" s="50">
        <v>233.64846545454537</v>
      </c>
      <c r="G41" s="52"/>
    </row>
    <row r="42" spans="2:7">
      <c r="B42" s="44"/>
      <c r="C42" s="48" t="s">
        <v>31</v>
      </c>
      <c r="D42" s="48"/>
      <c r="E42" s="49">
        <v>41.453760000000003</v>
      </c>
      <c r="F42" s="50">
        <v>41.453760000000003</v>
      </c>
      <c r="G42" s="52"/>
    </row>
    <row r="43" spans="2:7">
      <c r="B43" s="44"/>
      <c r="C43" s="48" t="s">
        <v>32</v>
      </c>
      <c r="D43" s="48"/>
      <c r="E43" s="49">
        <v>165.81504000000001</v>
      </c>
      <c r="F43" s="50">
        <v>165.81504000000001</v>
      </c>
      <c r="G43" s="52"/>
    </row>
    <row r="44" spans="2:7">
      <c r="B44" s="44"/>
      <c r="C44" s="48" t="s">
        <v>33</v>
      </c>
      <c r="D44" s="48"/>
      <c r="E44" s="49">
        <v>0</v>
      </c>
      <c r="F44" s="50">
        <v>0</v>
      </c>
      <c r="G44" s="52"/>
    </row>
    <row r="45" spans="2:7">
      <c r="B45" s="44"/>
      <c r="C45" s="48" t="s">
        <v>34</v>
      </c>
      <c r="D45" s="48"/>
      <c r="E45" s="49">
        <v>0</v>
      </c>
      <c r="F45" s="50">
        <v>0</v>
      </c>
      <c r="G45" s="52"/>
    </row>
    <row r="46" spans="2:7">
      <c r="B46" s="44"/>
      <c r="C46" s="48" t="s">
        <v>35</v>
      </c>
      <c r="D46" s="48"/>
      <c r="E46" s="49">
        <v>0</v>
      </c>
      <c r="F46" s="50">
        <v>0</v>
      </c>
      <c r="G46" s="52"/>
    </row>
    <row r="47" spans="2:7">
      <c r="B47" s="44"/>
      <c r="C47" s="53" t="s">
        <v>26</v>
      </c>
      <c r="D47" s="53"/>
      <c r="E47" s="36">
        <v>617.09574545454529</v>
      </c>
      <c r="F47" s="54">
        <v>617.09574545454529</v>
      </c>
      <c r="G47" s="52"/>
    </row>
    <row r="48" spans="2:7">
      <c r="B48" s="44">
        <v>123</v>
      </c>
      <c r="C48" s="39" t="s">
        <v>36</v>
      </c>
      <c r="D48" s="39"/>
      <c r="E48" s="56"/>
      <c r="F48" s="57"/>
      <c r="G48" s="52"/>
    </row>
    <row r="49" spans="2:7">
      <c r="B49" s="44"/>
      <c r="C49" s="48" t="s">
        <v>37</v>
      </c>
      <c r="D49" s="48"/>
      <c r="E49" s="49">
        <v>150.7409454545454</v>
      </c>
      <c r="F49" s="50">
        <v>150.7409454545454</v>
      </c>
      <c r="G49" s="52"/>
    </row>
    <row r="50" spans="2:7">
      <c r="B50" s="44"/>
      <c r="C50" s="48" t="s">
        <v>38</v>
      </c>
      <c r="D50" s="48"/>
      <c r="E50" s="49">
        <v>0</v>
      </c>
      <c r="F50" s="50">
        <v>0</v>
      </c>
      <c r="G50" s="52"/>
    </row>
    <row r="51" spans="2:7">
      <c r="B51" s="44"/>
      <c r="C51" s="48" t="s">
        <v>39</v>
      </c>
      <c r="D51" s="48"/>
      <c r="E51" s="49">
        <v>177.1206109090908</v>
      </c>
      <c r="F51" s="50">
        <v>177.1206109090908</v>
      </c>
      <c r="G51" s="52"/>
    </row>
    <row r="52" spans="2:7">
      <c r="B52" s="44"/>
      <c r="C52" s="48" t="s">
        <v>40</v>
      </c>
      <c r="D52" s="48"/>
      <c r="E52" s="49">
        <v>135.66685090909078</v>
      </c>
      <c r="F52" s="50">
        <v>135.66685090909078</v>
      </c>
      <c r="G52" s="52"/>
    </row>
    <row r="53" spans="2:7">
      <c r="B53" s="44"/>
      <c r="C53" s="48" t="s">
        <v>41</v>
      </c>
      <c r="D53" s="48"/>
      <c r="E53" s="49">
        <v>0</v>
      </c>
      <c r="F53" s="50">
        <v>0</v>
      </c>
      <c r="G53" s="52"/>
    </row>
    <row r="54" spans="2:7">
      <c r="B54" s="44"/>
      <c r="C54" s="48" t="s">
        <v>42</v>
      </c>
      <c r="D54" s="48"/>
      <c r="E54" s="49">
        <v>238.35912000000002</v>
      </c>
      <c r="F54" s="50">
        <v>238.35912000000002</v>
      </c>
      <c r="G54" s="52"/>
    </row>
    <row r="55" spans="2:7">
      <c r="B55" s="44"/>
      <c r="C55" s="53" t="s">
        <v>26</v>
      </c>
      <c r="D55" s="53"/>
      <c r="E55" s="36">
        <v>701.88752727272697</v>
      </c>
      <c r="F55" s="54">
        <v>701.88752727272697</v>
      </c>
      <c r="G55" s="52"/>
    </row>
    <row r="56" spans="2:7">
      <c r="B56" s="44">
        <v>124</v>
      </c>
      <c r="C56" s="39" t="s">
        <v>43</v>
      </c>
      <c r="D56" s="39"/>
      <c r="E56" s="56"/>
      <c r="F56" s="57"/>
      <c r="G56" s="52"/>
    </row>
    <row r="57" spans="2:7">
      <c r="B57" s="44"/>
      <c r="C57" s="48" t="s">
        <v>44</v>
      </c>
      <c r="D57" s="48"/>
      <c r="E57" s="49">
        <v>448.45431272727234</v>
      </c>
      <c r="F57" s="50">
        <v>448.45431272727234</v>
      </c>
      <c r="G57" s="52"/>
    </row>
    <row r="58" spans="2:7">
      <c r="B58" s="44"/>
      <c r="C58" s="48" t="s">
        <v>45</v>
      </c>
      <c r="D58" s="48"/>
      <c r="E58" s="49">
        <v>0</v>
      </c>
      <c r="F58" s="50">
        <v>0</v>
      </c>
      <c r="G58" s="52"/>
    </row>
    <row r="59" spans="2:7">
      <c r="B59" s="44"/>
      <c r="C59" s="48" t="s">
        <v>46</v>
      </c>
      <c r="D59" s="48"/>
      <c r="E59" s="49">
        <v>0</v>
      </c>
      <c r="F59" s="50">
        <v>0</v>
      </c>
      <c r="G59" s="52"/>
    </row>
    <row r="60" spans="2:7">
      <c r="B60" s="44"/>
      <c r="C60" s="53" t="s">
        <v>26</v>
      </c>
      <c r="D60" s="53"/>
      <c r="E60" s="36">
        <v>448.45431272727234</v>
      </c>
      <c r="F60" s="54">
        <v>448.45431272727234</v>
      </c>
      <c r="G60" s="52"/>
    </row>
    <row r="61" spans="2:7">
      <c r="B61" s="44">
        <v>125</v>
      </c>
      <c r="C61" s="39" t="s">
        <v>47</v>
      </c>
      <c r="D61" s="39"/>
      <c r="E61" s="36"/>
      <c r="F61" s="50"/>
      <c r="G61" s="52"/>
    </row>
    <row r="62" spans="2:7">
      <c r="B62" s="44"/>
      <c r="C62" s="48" t="s">
        <v>48</v>
      </c>
      <c r="D62" s="48"/>
      <c r="E62" s="58">
        <v>0</v>
      </c>
      <c r="F62" s="50">
        <v>0</v>
      </c>
      <c r="G62" s="52"/>
    </row>
    <row r="63" spans="2:7">
      <c r="B63" s="44"/>
      <c r="C63" s="48" t="s">
        <v>49</v>
      </c>
      <c r="D63" s="48"/>
      <c r="E63" s="58">
        <v>0</v>
      </c>
      <c r="F63" s="50">
        <v>0</v>
      </c>
      <c r="G63" s="52"/>
    </row>
    <row r="64" spans="2:7">
      <c r="B64" s="44"/>
      <c r="C64" s="48" t="s">
        <v>50</v>
      </c>
      <c r="D64" s="48"/>
      <c r="E64" s="58">
        <v>725.44080000000008</v>
      </c>
      <c r="F64" s="50">
        <v>725.44080000000008</v>
      </c>
      <c r="G64" s="52"/>
    </row>
    <row r="65" spans="2:7">
      <c r="B65" s="44"/>
      <c r="C65" s="48" t="s">
        <v>51</v>
      </c>
      <c r="D65" s="48"/>
      <c r="E65" s="58">
        <v>165.81504000000001</v>
      </c>
      <c r="F65" s="50">
        <v>165.81504000000001</v>
      </c>
      <c r="G65" s="52"/>
    </row>
    <row r="66" spans="2:7">
      <c r="B66" s="44"/>
      <c r="C66" s="53" t="s">
        <v>26</v>
      </c>
      <c r="D66" s="53"/>
      <c r="E66" s="56">
        <v>891.25584000000003</v>
      </c>
      <c r="F66" s="54">
        <v>891.25584000000003</v>
      </c>
      <c r="G66" s="52"/>
    </row>
    <row r="67" spans="2:7">
      <c r="B67" s="44">
        <v>126</v>
      </c>
      <c r="C67" s="39" t="s">
        <v>52</v>
      </c>
      <c r="D67" s="39"/>
      <c r="E67" s="56"/>
      <c r="F67" s="50"/>
      <c r="G67" s="52"/>
    </row>
    <row r="68" spans="2:7">
      <c r="B68" s="44"/>
      <c r="C68" s="48" t="s">
        <v>53</v>
      </c>
      <c r="D68" s="48"/>
      <c r="E68" s="49">
        <v>0</v>
      </c>
      <c r="F68" s="50">
        <v>0</v>
      </c>
      <c r="G68" s="52"/>
    </row>
    <row r="69" spans="2:7">
      <c r="B69" s="44"/>
      <c r="C69" s="48" t="s">
        <v>54</v>
      </c>
      <c r="D69" s="48"/>
      <c r="E69" s="49">
        <v>0</v>
      </c>
      <c r="F69" s="50"/>
      <c r="G69" s="52"/>
    </row>
    <row r="70" spans="2:7">
      <c r="B70" s="44"/>
      <c r="C70" s="48" t="s">
        <v>55</v>
      </c>
      <c r="D70" s="48"/>
      <c r="E70" s="49">
        <v>0</v>
      </c>
      <c r="F70" s="50"/>
      <c r="G70" s="52"/>
    </row>
    <row r="71" spans="2:7">
      <c r="B71" s="44"/>
      <c r="C71" s="48" t="s">
        <v>56</v>
      </c>
      <c r="D71" s="48"/>
      <c r="E71" s="49">
        <v>0</v>
      </c>
      <c r="F71" s="57"/>
      <c r="G71" s="52"/>
    </row>
    <row r="72" spans="2:7">
      <c r="B72" s="44"/>
      <c r="C72" s="53" t="s">
        <v>26</v>
      </c>
      <c r="D72" s="53"/>
      <c r="E72" s="56">
        <v>0</v>
      </c>
      <c r="F72" s="54">
        <v>0</v>
      </c>
      <c r="G72" s="52"/>
    </row>
    <row r="73" spans="2:7">
      <c r="B73" s="44">
        <v>127</v>
      </c>
      <c r="C73" s="39" t="s">
        <v>57</v>
      </c>
      <c r="D73" s="39"/>
      <c r="E73" s="56"/>
      <c r="F73" s="54"/>
      <c r="G73" s="52"/>
    </row>
    <row r="74" spans="2:7">
      <c r="B74" s="44"/>
      <c r="C74" s="48" t="s">
        <v>58</v>
      </c>
      <c r="D74" s="48"/>
      <c r="E74" s="49">
        <v>0</v>
      </c>
      <c r="F74" s="50">
        <v>0</v>
      </c>
      <c r="G74" s="52"/>
    </row>
    <row r="75" spans="2:7">
      <c r="B75" s="44"/>
      <c r="C75" s="48" t="s">
        <v>59</v>
      </c>
      <c r="D75" s="48"/>
      <c r="E75" s="49">
        <v>0</v>
      </c>
      <c r="F75" s="50">
        <v>0</v>
      </c>
      <c r="G75" s="52"/>
    </row>
    <row r="76" spans="2:7">
      <c r="B76" s="44"/>
      <c r="C76" s="48" t="s">
        <v>60</v>
      </c>
      <c r="D76" s="48"/>
      <c r="E76" s="49">
        <v>0</v>
      </c>
      <c r="F76" s="50">
        <v>0</v>
      </c>
      <c r="G76" s="52"/>
    </row>
    <row r="77" spans="2:7">
      <c r="B77" s="44"/>
      <c r="C77" s="59" t="s">
        <v>61</v>
      </c>
      <c r="D77" s="59"/>
      <c r="E77" s="49">
        <v>0</v>
      </c>
      <c r="F77" s="50">
        <v>0</v>
      </c>
      <c r="G77" s="52"/>
    </row>
    <row r="78" spans="2:7">
      <c r="B78" s="44"/>
      <c r="C78" s="53" t="s">
        <v>26</v>
      </c>
      <c r="D78" s="53"/>
      <c r="E78" s="56">
        <v>0</v>
      </c>
      <c r="F78" s="54">
        <v>0</v>
      </c>
      <c r="G78" s="52"/>
    </row>
    <row r="79" spans="2:7">
      <c r="B79" s="44">
        <v>128</v>
      </c>
      <c r="C79" s="39" t="s">
        <v>62</v>
      </c>
      <c r="D79" s="39"/>
      <c r="E79" s="56"/>
      <c r="F79" s="54"/>
      <c r="G79" s="52"/>
    </row>
    <row r="80" spans="2:7">
      <c r="B80" s="44"/>
      <c r="C80" s="48" t="s">
        <v>63</v>
      </c>
      <c r="D80" s="48"/>
      <c r="E80" s="49">
        <v>0</v>
      </c>
      <c r="F80" s="50">
        <v>0</v>
      </c>
      <c r="G80" s="52"/>
    </row>
    <row r="81" spans="2:7">
      <c r="B81" s="44"/>
      <c r="C81" s="48" t="s">
        <v>64</v>
      </c>
      <c r="D81" s="48"/>
      <c r="E81" s="49">
        <v>0</v>
      </c>
      <c r="F81" s="50">
        <v>0</v>
      </c>
      <c r="G81" s="52"/>
    </row>
    <row r="82" spans="2:7">
      <c r="B82" s="44"/>
      <c r="C82" s="48" t="s">
        <v>65</v>
      </c>
      <c r="D82" s="48"/>
      <c r="E82" s="49">
        <v>0</v>
      </c>
      <c r="F82" s="50">
        <v>0</v>
      </c>
      <c r="G82" s="52"/>
    </row>
    <row r="83" spans="2:7">
      <c r="B83" s="44"/>
      <c r="C83" s="48" t="s">
        <v>66</v>
      </c>
      <c r="D83" s="48"/>
      <c r="E83" s="49">
        <v>0</v>
      </c>
      <c r="F83" s="50">
        <v>0</v>
      </c>
      <c r="G83" s="52"/>
    </row>
    <row r="84" spans="2:7">
      <c r="B84" s="44"/>
      <c r="C84" s="48" t="s">
        <v>67</v>
      </c>
      <c r="D84" s="48"/>
      <c r="E84" s="49">
        <v>0</v>
      </c>
      <c r="F84" s="50">
        <v>0</v>
      </c>
      <c r="G84" s="52"/>
    </row>
    <row r="85" spans="2:7">
      <c r="B85" s="44"/>
      <c r="C85" s="53" t="s">
        <v>26</v>
      </c>
      <c r="D85" s="53"/>
      <c r="E85" s="56">
        <v>0</v>
      </c>
      <c r="F85" s="54">
        <v>0</v>
      </c>
      <c r="G85" s="52"/>
    </row>
    <row r="86" spans="2:7">
      <c r="B86" s="44">
        <v>135</v>
      </c>
      <c r="C86" s="39" t="s">
        <v>68</v>
      </c>
      <c r="D86" s="39"/>
      <c r="E86" s="56"/>
      <c r="F86" s="50"/>
      <c r="G86" s="52"/>
    </row>
    <row r="87" spans="2:7">
      <c r="B87" s="44"/>
      <c r="C87" s="48" t="s">
        <v>69</v>
      </c>
      <c r="D87" s="48"/>
      <c r="E87" s="49">
        <v>0</v>
      </c>
      <c r="F87" s="50">
        <v>0</v>
      </c>
      <c r="G87" s="52"/>
    </row>
    <row r="88" spans="2:7">
      <c r="B88" s="44"/>
      <c r="C88" s="48" t="s">
        <v>70</v>
      </c>
      <c r="D88" s="48"/>
      <c r="E88" s="49">
        <v>0</v>
      </c>
      <c r="F88" s="50">
        <v>0</v>
      </c>
      <c r="G88" s="52"/>
    </row>
    <row r="89" spans="2:7">
      <c r="B89" s="44"/>
      <c r="C89" s="48" t="s">
        <v>71</v>
      </c>
      <c r="D89" s="48"/>
      <c r="E89" s="49">
        <v>0</v>
      </c>
      <c r="F89" s="50">
        <v>0</v>
      </c>
      <c r="G89" s="52"/>
    </row>
    <row r="90" spans="2:7">
      <c r="B90" s="44"/>
      <c r="C90" s="48" t="s">
        <v>72</v>
      </c>
      <c r="D90" s="48"/>
      <c r="E90" s="49">
        <v>0</v>
      </c>
      <c r="F90" s="50">
        <v>0</v>
      </c>
      <c r="G90" s="52"/>
    </row>
    <row r="91" spans="2:7">
      <c r="B91" s="44"/>
      <c r="C91" s="48" t="s">
        <v>73</v>
      </c>
      <c r="D91" s="48"/>
      <c r="E91" s="49">
        <v>0</v>
      </c>
      <c r="F91" s="50">
        <v>0</v>
      </c>
      <c r="G91" s="52"/>
    </row>
    <row r="92" spans="2:7">
      <c r="B92" s="44"/>
      <c r="C92" s="48" t="s">
        <v>74</v>
      </c>
      <c r="D92" s="48"/>
      <c r="E92" s="49">
        <v>0</v>
      </c>
      <c r="F92" s="50">
        <v>0</v>
      </c>
      <c r="G92" s="52"/>
    </row>
    <row r="93" spans="2:7">
      <c r="B93" s="44"/>
      <c r="C93" s="48" t="s">
        <v>75</v>
      </c>
      <c r="D93" s="48"/>
      <c r="E93" s="49">
        <v>0</v>
      </c>
      <c r="F93" s="50">
        <v>0</v>
      </c>
      <c r="G93" s="52"/>
    </row>
    <row r="94" spans="2:7">
      <c r="B94" s="44"/>
      <c r="C94" s="48" t="s">
        <v>76</v>
      </c>
      <c r="D94" s="48"/>
      <c r="E94" s="49">
        <v>0</v>
      </c>
      <c r="F94" s="50">
        <v>0</v>
      </c>
      <c r="G94" s="52"/>
    </row>
    <row r="95" spans="2:7">
      <c r="B95" s="44"/>
      <c r="C95" s="48" t="s">
        <v>77</v>
      </c>
      <c r="D95" s="48"/>
      <c r="E95" s="49">
        <v>0</v>
      </c>
      <c r="F95" s="50">
        <v>0</v>
      </c>
      <c r="G95" s="52"/>
    </row>
    <row r="96" spans="2:7">
      <c r="B96" s="44"/>
      <c r="C96" s="53" t="s">
        <v>26</v>
      </c>
      <c r="D96" s="53"/>
      <c r="E96" s="56">
        <v>0</v>
      </c>
      <c r="F96" s="54">
        <v>0</v>
      </c>
      <c r="G96" s="52"/>
    </row>
    <row r="97" spans="2:7">
      <c r="B97" s="44">
        <v>136</v>
      </c>
      <c r="C97" s="39" t="s">
        <v>78</v>
      </c>
      <c r="D97" s="39"/>
      <c r="E97" s="56"/>
      <c r="F97" s="50"/>
      <c r="G97" s="52"/>
    </row>
    <row r="98" spans="2:7">
      <c r="B98" s="44"/>
      <c r="C98" s="48" t="s">
        <v>79</v>
      </c>
      <c r="D98" s="48"/>
      <c r="E98" s="49">
        <v>0</v>
      </c>
      <c r="F98" s="50">
        <v>0</v>
      </c>
      <c r="G98" s="52"/>
    </row>
    <row r="99" spans="2:7">
      <c r="B99" s="44"/>
      <c r="C99" s="48" t="s">
        <v>80</v>
      </c>
      <c r="D99" s="48"/>
      <c r="E99" s="49">
        <v>0</v>
      </c>
      <c r="F99" s="50">
        <v>0</v>
      </c>
      <c r="G99" s="52"/>
    </row>
    <row r="100" spans="2:7">
      <c r="B100" s="44"/>
      <c r="C100" s="48" t="s">
        <v>81</v>
      </c>
      <c r="D100" s="48"/>
      <c r="E100" s="49">
        <v>0</v>
      </c>
      <c r="F100" s="50">
        <v>0</v>
      </c>
      <c r="G100" s="52"/>
    </row>
    <row r="101" spans="2:7">
      <c r="B101" s="44"/>
      <c r="C101" s="48" t="s">
        <v>82</v>
      </c>
      <c r="D101" s="48"/>
      <c r="E101" s="49">
        <v>0</v>
      </c>
      <c r="F101" s="50">
        <v>0</v>
      </c>
      <c r="G101" s="52"/>
    </row>
    <row r="102" spans="2:7">
      <c r="B102" s="44"/>
      <c r="C102" s="48" t="s">
        <v>83</v>
      </c>
      <c r="D102" s="48"/>
      <c r="E102" s="49">
        <v>0</v>
      </c>
      <c r="F102" s="50">
        <v>0</v>
      </c>
      <c r="G102" s="52"/>
    </row>
    <row r="103" spans="2:7">
      <c r="B103" s="44"/>
      <c r="C103" s="48" t="s">
        <v>84</v>
      </c>
      <c r="D103" s="48"/>
      <c r="E103" s="49">
        <v>0</v>
      </c>
      <c r="F103" s="50">
        <v>0</v>
      </c>
      <c r="G103" s="52"/>
    </row>
    <row r="104" spans="2:7">
      <c r="B104" s="44"/>
      <c r="C104" s="53" t="s">
        <v>26</v>
      </c>
      <c r="D104" s="53"/>
      <c r="E104" s="56">
        <v>0</v>
      </c>
      <c r="F104" s="54">
        <v>0</v>
      </c>
      <c r="G104" s="52"/>
    </row>
    <row r="105" spans="2:7">
      <c r="B105" s="44">
        <v>142</v>
      </c>
      <c r="C105" s="39" t="s">
        <v>85</v>
      </c>
      <c r="D105" s="39"/>
      <c r="E105" s="56"/>
      <c r="F105" s="50"/>
      <c r="G105" s="52"/>
    </row>
    <row r="106" spans="2:7">
      <c r="B106" s="44"/>
      <c r="C106" s="48" t="s">
        <v>86</v>
      </c>
      <c r="D106" s="48"/>
      <c r="E106" s="49">
        <v>0</v>
      </c>
      <c r="F106" s="50">
        <v>0</v>
      </c>
      <c r="G106" s="52"/>
    </row>
    <row r="107" spans="2:7">
      <c r="B107" s="44"/>
      <c r="C107" s="48" t="s">
        <v>87</v>
      </c>
      <c r="D107" s="48"/>
      <c r="E107" s="49">
        <v>0</v>
      </c>
      <c r="F107" s="50">
        <v>0</v>
      </c>
      <c r="G107" s="52"/>
    </row>
    <row r="108" spans="2:7">
      <c r="B108" s="44"/>
      <c r="C108" s="53" t="s">
        <v>26</v>
      </c>
      <c r="D108" s="53"/>
      <c r="E108" s="56">
        <v>0</v>
      </c>
      <c r="F108" s="54">
        <v>0</v>
      </c>
      <c r="G108" s="52"/>
    </row>
    <row r="109" spans="2:7">
      <c r="B109" s="44">
        <v>144</v>
      </c>
      <c r="C109" s="39" t="s">
        <v>88</v>
      </c>
      <c r="D109" s="39"/>
      <c r="E109" s="49">
        <v>0</v>
      </c>
      <c r="F109" s="54">
        <v>0</v>
      </c>
      <c r="G109" s="52"/>
    </row>
    <row r="110" spans="2:7">
      <c r="B110" s="44">
        <v>221</v>
      </c>
      <c r="C110" s="39" t="s">
        <v>89</v>
      </c>
      <c r="D110" s="39"/>
      <c r="E110" s="49">
        <v>0</v>
      </c>
      <c r="F110" s="54">
        <v>0</v>
      </c>
      <c r="G110" s="52"/>
    </row>
    <row r="111" spans="2:7">
      <c r="B111" s="44">
        <v>222</v>
      </c>
      <c r="C111" s="39" t="s">
        <v>90</v>
      </c>
      <c r="D111" s="39"/>
      <c r="E111" s="49">
        <v>0</v>
      </c>
      <c r="F111" s="54">
        <v>0</v>
      </c>
      <c r="G111" s="52"/>
    </row>
    <row r="112" spans="2:7">
      <c r="B112" s="44">
        <v>224</v>
      </c>
      <c r="C112" s="39" t="s">
        <v>91</v>
      </c>
      <c r="D112" s="39"/>
      <c r="E112" s="49">
        <v>0</v>
      </c>
      <c r="F112" s="54">
        <v>0</v>
      </c>
      <c r="G112" s="52"/>
    </row>
    <row r="113" spans="2:7">
      <c r="B113" s="44">
        <v>225</v>
      </c>
      <c r="C113" s="39" t="s">
        <v>92</v>
      </c>
      <c r="D113" s="39"/>
      <c r="E113" s="49">
        <v>0</v>
      </c>
      <c r="F113" s="54">
        <v>0</v>
      </c>
      <c r="G113" s="38"/>
    </row>
    <row r="114" spans="2:7">
      <c r="B114" s="44">
        <v>226</v>
      </c>
      <c r="C114" s="39" t="s">
        <v>93</v>
      </c>
      <c r="D114" s="39"/>
      <c r="E114" s="49">
        <v>0</v>
      </c>
      <c r="F114" s="54">
        <v>0</v>
      </c>
      <c r="G114" s="60"/>
    </row>
    <row r="115" spans="2:7" ht="15.75" thickBot="1">
      <c r="B115" s="61"/>
      <c r="C115" s="62" t="s">
        <v>94</v>
      </c>
      <c r="D115" s="62"/>
      <c r="E115" s="90">
        <v>0</v>
      </c>
      <c r="F115" s="63">
        <v>0</v>
      </c>
      <c r="G115" s="38"/>
    </row>
    <row r="116" spans="2:7">
      <c r="B116" s="64"/>
      <c r="C116" s="65" t="s">
        <v>95</v>
      </c>
      <c r="D116" s="66"/>
      <c r="E116" s="91">
        <v>4145.3759999999975</v>
      </c>
      <c r="F116" s="68">
        <v>4145.3759999999975</v>
      </c>
      <c r="G116" s="69"/>
    </row>
    <row r="117" spans="2:7" ht="15.75" thickBot="1">
      <c r="B117" s="64"/>
      <c r="C117" s="70"/>
      <c r="D117" s="71"/>
      <c r="E117" s="92"/>
      <c r="F117" s="73"/>
      <c r="G117" s="69"/>
    </row>
    <row r="118" spans="2:7" ht="15.75" thickBot="1">
      <c r="B118" s="64"/>
      <c r="C118" s="70" t="s">
        <v>96</v>
      </c>
      <c r="D118" s="71"/>
      <c r="E118" s="93">
        <v>14540.2111927273</v>
      </c>
      <c r="F118" s="75">
        <v>14540.2111927273</v>
      </c>
      <c r="G118" s="76"/>
    </row>
    <row r="119" spans="2:7" ht="8.25" customHeight="1" thickBot="1">
      <c r="B119" s="77"/>
      <c r="C119" s="81"/>
      <c r="D119" s="81"/>
      <c r="E119" s="78"/>
      <c r="F119" s="78"/>
      <c r="G119" s="79"/>
    </row>
    <row r="120" spans="2:7">
      <c r="B120" s="83"/>
      <c r="C120" s="84"/>
      <c r="D120" s="84"/>
      <c r="E120" s="85"/>
      <c r="F120" s="83"/>
      <c r="G120" s="85"/>
    </row>
    <row r="121" spans="2:7" ht="6" customHeight="1" thickBot="1"/>
    <row r="122" spans="2:7">
      <c r="B122" s="1"/>
      <c r="C122" s="2"/>
      <c r="D122" s="2"/>
      <c r="E122" s="2"/>
      <c r="F122" s="2"/>
      <c r="G122" s="3"/>
    </row>
    <row r="123" spans="2:7">
      <c r="B123" s="4"/>
      <c r="C123" s="5"/>
      <c r="D123" s="5"/>
      <c r="E123" s="5"/>
      <c r="F123" s="5"/>
      <c r="G123" s="6"/>
    </row>
    <row r="124" spans="2:7">
      <c r="B124" s="4"/>
      <c r="C124" s="5"/>
      <c r="D124" s="5"/>
      <c r="E124" s="5"/>
      <c r="F124" s="5"/>
      <c r="G124" s="6"/>
    </row>
    <row r="125" spans="2:7">
      <c r="B125" s="4"/>
      <c r="C125" s="5"/>
      <c r="D125" s="5"/>
      <c r="E125" s="5"/>
      <c r="F125" s="5"/>
      <c r="G125" s="6"/>
    </row>
    <row r="126" spans="2:7">
      <c r="B126" s="4"/>
      <c r="C126" s="5"/>
      <c r="D126" s="5"/>
      <c r="E126" s="5"/>
      <c r="F126" s="5"/>
      <c r="G126" s="6"/>
    </row>
    <row r="127" spans="2:7" ht="16.5" customHeight="1">
      <c r="B127" s="4"/>
      <c r="C127" s="5"/>
      <c r="D127" s="5"/>
      <c r="E127" s="5"/>
      <c r="F127" s="5"/>
      <c r="G127" s="6"/>
    </row>
    <row r="128" spans="2:7" ht="22.5" customHeight="1" thickBot="1">
      <c r="B128" s="4"/>
      <c r="C128" s="95" t="s">
        <v>0</v>
      </c>
      <c r="D128" s="95"/>
      <c r="E128" s="95"/>
      <c r="F128" s="5"/>
      <c r="G128" s="6"/>
    </row>
    <row r="129" spans="1:7" ht="21" thickTop="1">
      <c r="B129" s="4"/>
      <c r="C129" s="7"/>
      <c r="D129" s="7"/>
      <c r="E129" s="5"/>
      <c r="F129" s="5"/>
      <c r="G129" s="6"/>
    </row>
    <row r="130" spans="1:7">
      <c r="B130" s="8" t="s">
        <v>1</v>
      </c>
      <c r="C130" s="9" t="s">
        <v>97</v>
      </c>
      <c r="D130" s="5"/>
      <c r="E130" s="10" t="s">
        <v>2</v>
      </c>
      <c r="F130" s="9" t="s">
        <v>98</v>
      </c>
      <c r="G130" s="6"/>
    </row>
    <row r="131" spans="1:7" ht="3.75" customHeight="1">
      <c r="A131" s="80"/>
      <c r="B131" s="5"/>
      <c r="C131" s="5"/>
      <c r="D131" s="5"/>
      <c r="E131" s="11"/>
      <c r="F131" s="5"/>
      <c r="G131" s="6"/>
    </row>
    <row r="132" spans="1:7">
      <c r="A132" s="80"/>
      <c r="B132" s="12" t="s">
        <v>3</v>
      </c>
      <c r="C132" s="9" t="s">
        <v>99</v>
      </c>
      <c r="D132" s="5"/>
      <c r="E132" s="10" t="s">
        <v>4</v>
      </c>
      <c r="F132" s="82" t="s">
        <v>100</v>
      </c>
      <c r="G132" s="6"/>
    </row>
    <row r="133" spans="1:7" ht="3.75" customHeight="1">
      <c r="A133" s="80"/>
      <c r="B133" s="5"/>
      <c r="C133" s="5"/>
      <c r="D133" s="5"/>
      <c r="E133" s="11"/>
      <c r="F133" s="5"/>
      <c r="G133" s="6"/>
    </row>
    <row r="134" spans="1:7">
      <c r="A134" s="80"/>
      <c r="B134" s="10" t="s">
        <v>5</v>
      </c>
      <c r="C134" s="9" t="s">
        <v>101</v>
      </c>
      <c r="D134" s="5"/>
      <c r="E134" s="10" t="s">
        <v>6</v>
      </c>
      <c r="F134" s="9" t="s">
        <v>107</v>
      </c>
      <c r="G134" s="6"/>
    </row>
    <row r="135" spans="1:7" ht="4.5" customHeight="1">
      <c r="A135" s="80"/>
      <c r="B135" s="13"/>
      <c r="C135" s="5"/>
      <c r="D135" s="5"/>
      <c r="E135" s="11"/>
      <c r="F135" s="5"/>
      <c r="G135" s="6"/>
    </row>
    <row r="136" spans="1:7">
      <c r="A136" s="80"/>
      <c r="B136" s="10" t="s">
        <v>7</v>
      </c>
      <c r="C136" s="9" t="s">
        <v>115</v>
      </c>
      <c r="D136" s="5"/>
      <c r="E136" s="11"/>
      <c r="F136" s="5"/>
      <c r="G136" s="6"/>
    </row>
    <row r="137" spans="1:7" ht="3.75" customHeight="1">
      <c r="A137" s="80"/>
      <c r="B137" s="5"/>
      <c r="C137" s="5"/>
      <c r="D137" s="5"/>
      <c r="E137" s="11"/>
      <c r="F137" s="5"/>
      <c r="G137" s="6"/>
    </row>
    <row r="138" spans="1:7">
      <c r="B138" s="14" t="s">
        <v>8</v>
      </c>
      <c r="C138" s="15" t="s">
        <v>104</v>
      </c>
      <c r="D138" s="5"/>
      <c r="E138" s="86" t="s">
        <v>109</v>
      </c>
      <c r="F138" s="87">
        <v>45323</v>
      </c>
      <c r="G138" s="6"/>
    </row>
    <row r="139" spans="1:7">
      <c r="B139" s="16" t="s">
        <v>9</v>
      </c>
      <c r="C139" s="17" t="s">
        <v>130</v>
      </c>
      <c r="D139" s="5"/>
      <c r="E139" s="88" t="s">
        <v>110</v>
      </c>
      <c r="F139" s="89">
        <v>45351</v>
      </c>
      <c r="G139" s="18"/>
    </row>
    <row r="140" spans="1:7" ht="15.75" thickBot="1">
      <c r="B140" s="4"/>
      <c r="C140" s="19"/>
      <c r="D140" s="19"/>
      <c r="E140" s="20"/>
      <c r="F140" s="21"/>
      <c r="G140" s="18"/>
    </row>
    <row r="141" spans="1:7" ht="18.75" thickBot="1">
      <c r="B141" s="4"/>
      <c r="C141" s="22" t="s">
        <v>10</v>
      </c>
      <c r="D141" s="23"/>
      <c r="E141" s="24"/>
      <c r="F141" s="25" t="s">
        <v>11</v>
      </c>
      <c r="G141" s="18"/>
    </row>
    <row r="142" spans="1:7">
      <c r="B142" s="4"/>
      <c r="C142" s="26" t="s">
        <v>12</v>
      </c>
      <c r="D142" s="26"/>
      <c r="E142" s="27">
        <v>14540.2111927273</v>
      </c>
      <c r="F142" s="28">
        <v>14540.2111927273</v>
      </c>
      <c r="G142" s="29"/>
    </row>
    <row r="143" spans="1:7">
      <c r="B143" s="30">
        <v>143</v>
      </c>
      <c r="C143" s="31" t="s">
        <v>13</v>
      </c>
      <c r="D143" s="31"/>
      <c r="E143" s="27">
        <v>5596.0880000000006</v>
      </c>
      <c r="F143" s="32">
        <v>5596.0880000000006</v>
      </c>
      <c r="G143" s="33"/>
    </row>
    <row r="144" spans="1:7">
      <c r="B144" s="30"/>
      <c r="C144" s="34" t="s">
        <v>14</v>
      </c>
      <c r="D144" s="34"/>
      <c r="E144" s="27">
        <v>0</v>
      </c>
      <c r="F144" s="32">
        <v>0</v>
      </c>
      <c r="G144" s="33"/>
    </row>
    <row r="145" spans="2:7">
      <c r="B145" s="30"/>
      <c r="C145" s="34" t="s">
        <v>15</v>
      </c>
      <c r="D145" s="34"/>
      <c r="E145" s="27">
        <v>0</v>
      </c>
      <c r="F145" s="32">
        <v>0</v>
      </c>
      <c r="G145" s="33"/>
    </row>
    <row r="146" spans="2:7">
      <c r="B146" s="30"/>
      <c r="C146" s="34" t="s">
        <v>16</v>
      </c>
      <c r="D146" s="34"/>
      <c r="E146" s="27">
        <v>0</v>
      </c>
      <c r="F146" s="32">
        <v>0</v>
      </c>
      <c r="G146" s="33"/>
    </row>
    <row r="147" spans="2:7">
      <c r="B147" s="30"/>
      <c r="C147" s="34" t="s">
        <v>17</v>
      </c>
      <c r="D147" s="34"/>
      <c r="E147" s="27">
        <v>0</v>
      </c>
      <c r="F147" s="32">
        <v>0</v>
      </c>
      <c r="G147" s="33"/>
    </row>
    <row r="148" spans="2:7">
      <c r="B148" s="30"/>
      <c r="C148" s="35" t="s">
        <v>18</v>
      </c>
      <c r="D148" s="35"/>
      <c r="E148" s="36">
        <v>20136.2991927273</v>
      </c>
      <c r="F148" s="37">
        <v>20136.2991927273</v>
      </c>
      <c r="G148" s="38"/>
    </row>
    <row r="149" spans="2:7" ht="15.75" thickBot="1">
      <c r="B149" s="30"/>
      <c r="C149" s="39"/>
      <c r="D149" s="39"/>
      <c r="E149" s="40"/>
      <c r="F149" s="41"/>
      <c r="G149" s="38"/>
    </row>
    <row r="150" spans="2:7" ht="18.75" thickBot="1">
      <c r="B150" s="30"/>
      <c r="C150" s="22" t="s">
        <v>19</v>
      </c>
      <c r="D150" s="23"/>
      <c r="E150" s="42"/>
      <c r="F150" s="43"/>
      <c r="G150" s="38"/>
    </row>
    <row r="151" spans="2:7">
      <c r="B151" s="44">
        <v>121</v>
      </c>
      <c r="C151" s="39" t="s">
        <v>20</v>
      </c>
      <c r="D151" s="39"/>
      <c r="E151" s="45"/>
      <c r="F151" s="46"/>
      <c r="G151" s="47"/>
    </row>
    <row r="152" spans="2:7">
      <c r="B152" s="44"/>
      <c r="C152" s="48" t="s">
        <v>21</v>
      </c>
      <c r="D152" s="48"/>
      <c r="E152" s="49">
        <v>0</v>
      </c>
      <c r="F152" s="50">
        <v>0</v>
      </c>
      <c r="G152" s="47"/>
    </row>
    <row r="153" spans="2:7">
      <c r="B153" s="44"/>
      <c r="C153" s="48" t="s">
        <v>22</v>
      </c>
      <c r="D153" s="48"/>
      <c r="E153" s="49">
        <v>0</v>
      </c>
      <c r="F153" s="50">
        <v>0</v>
      </c>
      <c r="G153" s="47"/>
    </row>
    <row r="154" spans="2:7">
      <c r="B154" s="51"/>
      <c r="C154" s="48" t="s">
        <v>23</v>
      </c>
      <c r="D154" s="48"/>
      <c r="E154" s="49">
        <v>0</v>
      </c>
      <c r="F154" s="50">
        <v>0</v>
      </c>
      <c r="G154" s="52"/>
    </row>
    <row r="155" spans="2:7">
      <c r="B155" s="51"/>
      <c r="C155" s="48" t="s">
        <v>24</v>
      </c>
      <c r="D155" s="48"/>
      <c r="E155" s="49">
        <v>0</v>
      </c>
      <c r="F155" s="50">
        <v>0</v>
      </c>
      <c r="G155" s="52"/>
    </row>
    <row r="156" spans="2:7">
      <c r="B156" s="44"/>
      <c r="C156" s="48" t="s">
        <v>25</v>
      </c>
      <c r="D156" s="48"/>
      <c r="E156" s="49">
        <v>0</v>
      </c>
      <c r="F156" s="50">
        <v>0</v>
      </c>
      <c r="G156" s="52"/>
    </row>
    <row r="157" spans="2:7">
      <c r="B157" s="44"/>
      <c r="C157" s="53" t="s">
        <v>26</v>
      </c>
      <c r="D157" s="53"/>
      <c r="E157" s="36">
        <v>0</v>
      </c>
      <c r="F157" s="54">
        <v>0</v>
      </c>
      <c r="G157" s="52"/>
    </row>
    <row r="158" spans="2:7">
      <c r="B158" s="44">
        <v>122</v>
      </c>
      <c r="C158" s="39" t="s">
        <v>27</v>
      </c>
      <c r="D158" s="39"/>
      <c r="E158" s="36"/>
      <c r="F158" s="50"/>
      <c r="G158" s="55"/>
    </row>
    <row r="159" spans="2:7">
      <c r="B159" s="44"/>
      <c r="C159" s="48" t="s">
        <v>28</v>
      </c>
      <c r="D159" s="48"/>
      <c r="E159" s="49">
        <v>0</v>
      </c>
      <c r="F159" s="50">
        <v>0</v>
      </c>
      <c r="G159" s="52"/>
    </row>
    <row r="160" spans="2:7">
      <c r="B160" s="44"/>
      <c r="C160" s="48" t="s">
        <v>29</v>
      </c>
      <c r="D160" s="48"/>
      <c r="E160" s="49">
        <v>0</v>
      </c>
      <c r="F160" s="50">
        <v>0</v>
      </c>
      <c r="G160" s="52"/>
    </row>
    <row r="161" spans="2:7">
      <c r="B161" s="44"/>
      <c r="C161" s="48" t="s">
        <v>30</v>
      </c>
      <c r="D161" s="48"/>
      <c r="E161" s="49">
        <v>0</v>
      </c>
      <c r="F161" s="50">
        <v>0</v>
      </c>
      <c r="G161" s="52"/>
    </row>
    <row r="162" spans="2:7">
      <c r="B162" s="44"/>
      <c r="C162" s="48" t="s">
        <v>31</v>
      </c>
      <c r="D162" s="48"/>
      <c r="E162" s="49">
        <v>0</v>
      </c>
      <c r="F162" s="50">
        <v>0</v>
      </c>
      <c r="G162" s="52"/>
    </row>
    <row r="163" spans="2:7">
      <c r="B163" s="44"/>
      <c r="C163" s="48" t="s">
        <v>32</v>
      </c>
      <c r="D163" s="48"/>
      <c r="E163" s="49">
        <v>108.5334807272726</v>
      </c>
      <c r="F163" s="50">
        <v>108.5334807272726</v>
      </c>
      <c r="G163" s="52"/>
    </row>
    <row r="164" spans="2:7">
      <c r="B164" s="44"/>
      <c r="C164" s="48" t="s">
        <v>33</v>
      </c>
      <c r="D164" s="48"/>
      <c r="E164" s="49">
        <v>0</v>
      </c>
      <c r="F164" s="50">
        <v>0</v>
      </c>
      <c r="G164" s="52"/>
    </row>
    <row r="165" spans="2:7">
      <c r="B165" s="44"/>
      <c r="C165" s="48" t="s">
        <v>34</v>
      </c>
      <c r="D165" s="48"/>
      <c r="E165" s="49">
        <v>0</v>
      </c>
      <c r="F165" s="50">
        <v>0</v>
      </c>
      <c r="G165" s="52"/>
    </row>
    <row r="166" spans="2:7">
      <c r="B166" s="44"/>
      <c r="C166" s="48" t="s">
        <v>35</v>
      </c>
      <c r="D166" s="48"/>
      <c r="E166" s="49">
        <v>0</v>
      </c>
      <c r="F166" s="50">
        <v>0</v>
      </c>
      <c r="G166" s="52"/>
    </row>
    <row r="167" spans="2:7">
      <c r="B167" s="44"/>
      <c r="C167" s="53" t="s">
        <v>26</v>
      </c>
      <c r="D167" s="53"/>
      <c r="E167" s="36">
        <v>108.5334807272726</v>
      </c>
      <c r="F167" s="54">
        <v>108.5334807272726</v>
      </c>
      <c r="G167" s="52"/>
    </row>
    <row r="168" spans="2:7">
      <c r="B168" s="44">
        <v>123</v>
      </c>
      <c r="C168" s="39" t="s">
        <v>36</v>
      </c>
      <c r="D168" s="39"/>
      <c r="E168" s="56"/>
      <c r="F168" s="57"/>
      <c r="G168" s="52"/>
    </row>
    <row r="169" spans="2:7">
      <c r="B169" s="44"/>
      <c r="C169" s="48" t="s">
        <v>37</v>
      </c>
      <c r="D169" s="48"/>
      <c r="E169" s="49">
        <v>108.5334807272726</v>
      </c>
      <c r="F169" s="50">
        <v>108.5334807272726</v>
      </c>
      <c r="G169" s="52"/>
    </row>
    <row r="170" spans="2:7">
      <c r="B170" s="44"/>
      <c r="C170" s="48" t="s">
        <v>38</v>
      </c>
      <c r="D170" s="48"/>
      <c r="E170" s="49">
        <v>0</v>
      </c>
      <c r="F170" s="50">
        <v>0</v>
      </c>
      <c r="G170" s="52"/>
    </row>
    <row r="171" spans="2:7">
      <c r="B171" s="44"/>
      <c r="C171" s="48" t="s">
        <v>39</v>
      </c>
      <c r="D171" s="48"/>
      <c r="E171" s="49">
        <v>940.62349963636279</v>
      </c>
      <c r="F171" s="50">
        <v>940.62349963636279</v>
      </c>
      <c r="G171" s="52"/>
    </row>
    <row r="172" spans="2:7">
      <c r="B172" s="44"/>
      <c r="C172" s="48" t="s">
        <v>40</v>
      </c>
      <c r="D172" s="48"/>
      <c r="E172" s="49">
        <v>0</v>
      </c>
      <c r="F172" s="50">
        <v>0</v>
      </c>
      <c r="G172" s="52"/>
    </row>
    <row r="173" spans="2:7">
      <c r="B173" s="44"/>
      <c r="C173" s="48" t="s">
        <v>41</v>
      </c>
      <c r="D173" s="48"/>
      <c r="E173" s="49">
        <v>0</v>
      </c>
      <c r="F173" s="50">
        <v>0</v>
      </c>
      <c r="G173" s="52"/>
    </row>
    <row r="174" spans="2:7">
      <c r="B174" s="44"/>
      <c r="C174" s="48" t="s">
        <v>42</v>
      </c>
      <c r="D174" s="48"/>
      <c r="E174" s="49">
        <v>217.06696145454521</v>
      </c>
      <c r="F174" s="50">
        <v>217.06696145454521</v>
      </c>
      <c r="G174" s="52"/>
    </row>
    <row r="175" spans="2:7">
      <c r="B175" s="44"/>
      <c r="C175" s="53" t="s">
        <v>26</v>
      </c>
      <c r="D175" s="53"/>
      <c r="E175" s="36">
        <v>1266.2239418181805</v>
      </c>
      <c r="F175" s="54">
        <v>1266.2239418181805</v>
      </c>
      <c r="G175" s="52"/>
    </row>
    <row r="176" spans="2:7">
      <c r="B176" s="44">
        <v>124</v>
      </c>
      <c r="C176" s="39" t="s">
        <v>43</v>
      </c>
      <c r="D176" s="39"/>
      <c r="E176" s="56"/>
      <c r="F176" s="57"/>
      <c r="G176" s="52"/>
    </row>
    <row r="177" spans="2:7">
      <c r="B177" s="44"/>
      <c r="C177" s="48" t="s">
        <v>44</v>
      </c>
      <c r="D177" s="48"/>
      <c r="E177" s="49">
        <v>165.81503999999998</v>
      </c>
      <c r="F177" s="50">
        <v>165.81503999999998</v>
      </c>
      <c r="G177" s="52"/>
    </row>
    <row r="178" spans="2:7">
      <c r="B178" s="44"/>
      <c r="C178" s="48" t="s">
        <v>45</v>
      </c>
      <c r="D178" s="48"/>
      <c r="E178" s="49">
        <v>0</v>
      </c>
      <c r="F178" s="50">
        <v>0</v>
      </c>
      <c r="G178" s="52"/>
    </row>
    <row r="179" spans="2:7">
      <c r="B179" s="44"/>
      <c r="C179" s="48" t="s">
        <v>46</v>
      </c>
      <c r="D179" s="48"/>
      <c r="E179" s="49">
        <v>0</v>
      </c>
      <c r="F179" s="50">
        <v>0</v>
      </c>
      <c r="G179" s="52"/>
    </row>
    <row r="180" spans="2:7">
      <c r="B180" s="44"/>
      <c r="C180" s="53" t="s">
        <v>26</v>
      </c>
      <c r="D180" s="53"/>
      <c r="E180" s="36">
        <v>165.81503999999998</v>
      </c>
      <c r="F180" s="54">
        <v>165.81503999999998</v>
      </c>
      <c r="G180" s="52"/>
    </row>
    <row r="181" spans="2:7">
      <c r="B181" s="44">
        <v>125</v>
      </c>
      <c r="C181" s="39" t="s">
        <v>47</v>
      </c>
      <c r="D181" s="39"/>
      <c r="E181" s="36"/>
      <c r="F181" s="50"/>
      <c r="G181" s="52"/>
    </row>
    <row r="182" spans="2:7">
      <c r="B182" s="44"/>
      <c r="C182" s="48" t="s">
        <v>48</v>
      </c>
      <c r="D182" s="48"/>
      <c r="E182" s="58">
        <v>0</v>
      </c>
      <c r="F182" s="50">
        <v>0</v>
      </c>
      <c r="G182" s="52"/>
    </row>
    <row r="183" spans="2:7">
      <c r="B183" s="44"/>
      <c r="C183" s="48" t="s">
        <v>49</v>
      </c>
      <c r="D183" s="48"/>
      <c r="E183" s="58">
        <v>0</v>
      </c>
      <c r="F183" s="50">
        <v>0</v>
      </c>
      <c r="G183" s="52"/>
    </row>
    <row r="184" spans="2:7">
      <c r="B184" s="44"/>
      <c r="C184" s="48" t="s">
        <v>50</v>
      </c>
      <c r="D184" s="48"/>
      <c r="E184" s="58">
        <v>132.65203199999999</v>
      </c>
      <c r="F184" s="50">
        <v>132.65203199999999</v>
      </c>
      <c r="G184" s="52"/>
    </row>
    <row r="185" spans="2:7">
      <c r="B185" s="44"/>
      <c r="C185" s="48" t="s">
        <v>51</v>
      </c>
      <c r="D185" s="48"/>
      <c r="E185" s="58">
        <v>0</v>
      </c>
      <c r="F185" s="50">
        <v>0</v>
      </c>
      <c r="G185" s="52"/>
    </row>
    <row r="186" spans="2:7">
      <c r="B186" s="44"/>
      <c r="C186" s="53" t="s">
        <v>26</v>
      </c>
      <c r="D186" s="53"/>
      <c r="E186" s="56">
        <v>132.65203199999999</v>
      </c>
      <c r="F186" s="54">
        <v>132.65203199999999</v>
      </c>
      <c r="G186" s="52"/>
    </row>
    <row r="187" spans="2:7">
      <c r="B187" s="44">
        <v>126</v>
      </c>
      <c r="C187" s="39" t="s">
        <v>52</v>
      </c>
      <c r="D187" s="39"/>
      <c r="E187" s="56"/>
      <c r="F187" s="50"/>
      <c r="G187" s="52"/>
    </row>
    <row r="188" spans="2:7">
      <c r="B188" s="44"/>
      <c r="C188" s="48" t="s">
        <v>53</v>
      </c>
      <c r="D188" s="48"/>
      <c r="E188" s="49">
        <v>0</v>
      </c>
      <c r="F188" s="50">
        <v>0</v>
      </c>
      <c r="G188" s="52"/>
    </row>
    <row r="189" spans="2:7">
      <c r="B189" s="44"/>
      <c r="C189" s="48" t="s">
        <v>54</v>
      </c>
      <c r="D189" s="48"/>
      <c r="E189" s="49">
        <v>0</v>
      </c>
      <c r="F189" s="50"/>
      <c r="G189" s="52"/>
    </row>
    <row r="190" spans="2:7">
      <c r="B190" s="44"/>
      <c r="C190" s="48" t="s">
        <v>55</v>
      </c>
      <c r="D190" s="48"/>
      <c r="E190" s="49">
        <v>0</v>
      </c>
      <c r="F190" s="50"/>
      <c r="G190" s="52"/>
    </row>
    <row r="191" spans="2:7">
      <c r="B191" s="44"/>
      <c r="C191" s="48" t="s">
        <v>56</v>
      </c>
      <c r="D191" s="48"/>
      <c r="E191" s="49">
        <v>0</v>
      </c>
      <c r="F191" s="57"/>
      <c r="G191" s="52"/>
    </row>
    <row r="192" spans="2:7">
      <c r="B192" s="44"/>
      <c r="C192" s="53" t="s">
        <v>26</v>
      </c>
      <c r="D192" s="53"/>
      <c r="E192" s="56">
        <v>0</v>
      </c>
      <c r="F192" s="54">
        <v>0</v>
      </c>
      <c r="G192" s="52"/>
    </row>
    <row r="193" spans="2:7">
      <c r="B193" s="44">
        <v>127</v>
      </c>
      <c r="C193" s="39" t="s">
        <v>57</v>
      </c>
      <c r="D193" s="39"/>
      <c r="E193" s="56"/>
      <c r="F193" s="54"/>
      <c r="G193" s="52"/>
    </row>
    <row r="194" spans="2:7">
      <c r="B194" s="44"/>
      <c r="C194" s="48" t="s">
        <v>58</v>
      </c>
      <c r="D194" s="48"/>
      <c r="E194" s="49">
        <v>0</v>
      </c>
      <c r="F194" s="50">
        <v>0</v>
      </c>
      <c r="G194" s="52"/>
    </row>
    <row r="195" spans="2:7">
      <c r="B195" s="44"/>
      <c r="C195" s="48" t="s">
        <v>59</v>
      </c>
      <c r="D195" s="48"/>
      <c r="E195" s="49">
        <v>0</v>
      </c>
      <c r="F195" s="50">
        <v>0</v>
      </c>
      <c r="G195" s="52"/>
    </row>
    <row r="196" spans="2:7">
      <c r="B196" s="44"/>
      <c r="C196" s="48" t="s">
        <v>60</v>
      </c>
      <c r="D196" s="48"/>
      <c r="E196" s="49">
        <v>0</v>
      </c>
      <c r="F196" s="50">
        <v>0</v>
      </c>
      <c r="G196" s="52"/>
    </row>
    <row r="197" spans="2:7">
      <c r="B197" s="44"/>
      <c r="C197" s="59" t="s">
        <v>61</v>
      </c>
      <c r="D197" s="59"/>
      <c r="E197" s="49">
        <v>0</v>
      </c>
      <c r="F197" s="50">
        <v>0</v>
      </c>
      <c r="G197" s="52"/>
    </row>
    <row r="198" spans="2:7">
      <c r="B198" s="44"/>
      <c r="C198" s="53" t="s">
        <v>26</v>
      </c>
      <c r="D198" s="53"/>
      <c r="E198" s="56">
        <v>0</v>
      </c>
      <c r="F198" s="54">
        <v>0</v>
      </c>
      <c r="G198" s="52"/>
    </row>
    <row r="199" spans="2:7">
      <c r="B199" s="44">
        <v>128</v>
      </c>
      <c r="C199" s="39" t="s">
        <v>62</v>
      </c>
      <c r="D199" s="39"/>
      <c r="E199" s="56"/>
      <c r="F199" s="54"/>
      <c r="G199" s="52"/>
    </row>
    <row r="200" spans="2:7">
      <c r="B200" s="44"/>
      <c r="C200" s="48" t="s">
        <v>63</v>
      </c>
      <c r="D200" s="48"/>
      <c r="E200" s="49">
        <v>0</v>
      </c>
      <c r="F200" s="50">
        <v>0</v>
      </c>
      <c r="G200" s="52"/>
    </row>
    <row r="201" spans="2:7">
      <c r="B201" s="44"/>
      <c r="C201" s="48" t="s">
        <v>64</v>
      </c>
      <c r="D201" s="48"/>
      <c r="E201" s="49">
        <v>0</v>
      </c>
      <c r="F201" s="50">
        <v>0</v>
      </c>
      <c r="G201" s="52"/>
    </row>
    <row r="202" spans="2:7">
      <c r="B202" s="44"/>
      <c r="C202" s="48" t="s">
        <v>65</v>
      </c>
      <c r="D202" s="48"/>
      <c r="E202" s="49">
        <v>397.95609599999995</v>
      </c>
      <c r="F202" s="50">
        <v>397.95609599999995</v>
      </c>
      <c r="G202" s="52"/>
    </row>
    <row r="203" spans="2:7">
      <c r="B203" s="44"/>
      <c r="C203" s="48" t="s">
        <v>66</v>
      </c>
      <c r="D203" s="48"/>
      <c r="E203" s="49">
        <v>0</v>
      </c>
      <c r="F203" s="50">
        <v>0</v>
      </c>
      <c r="G203" s="52"/>
    </row>
    <row r="204" spans="2:7">
      <c r="B204" s="44"/>
      <c r="C204" s="48" t="s">
        <v>67</v>
      </c>
      <c r="D204" s="48"/>
      <c r="E204" s="49">
        <v>0</v>
      </c>
      <c r="F204" s="50">
        <v>0</v>
      </c>
      <c r="G204" s="52"/>
    </row>
    <row r="205" spans="2:7">
      <c r="B205" s="44"/>
      <c r="C205" s="53" t="s">
        <v>26</v>
      </c>
      <c r="D205" s="53"/>
      <c r="E205" s="56">
        <v>397.95609599999995</v>
      </c>
      <c r="F205" s="54">
        <v>397.95609599999995</v>
      </c>
      <c r="G205" s="52"/>
    </row>
    <row r="206" spans="2:7">
      <c r="B206" s="44">
        <v>135</v>
      </c>
      <c r="C206" s="39" t="s">
        <v>68</v>
      </c>
      <c r="D206" s="39"/>
      <c r="E206" s="56"/>
      <c r="F206" s="50"/>
      <c r="G206" s="52"/>
    </row>
    <row r="207" spans="2:7">
      <c r="B207" s="44"/>
      <c r="C207" s="48" t="s">
        <v>69</v>
      </c>
      <c r="D207" s="48"/>
      <c r="E207" s="49">
        <v>0</v>
      </c>
      <c r="F207" s="50">
        <v>0</v>
      </c>
      <c r="G207" s="52"/>
    </row>
    <row r="208" spans="2:7">
      <c r="B208" s="44"/>
      <c r="C208" s="48" t="s">
        <v>70</v>
      </c>
      <c r="D208" s="48"/>
      <c r="E208" s="49">
        <v>0</v>
      </c>
      <c r="F208" s="50">
        <v>0</v>
      </c>
      <c r="G208" s="52"/>
    </row>
    <row r="209" spans="2:7">
      <c r="B209" s="44"/>
      <c r="C209" s="48" t="s">
        <v>71</v>
      </c>
      <c r="D209" s="48"/>
      <c r="E209" s="49">
        <v>0</v>
      </c>
      <c r="F209" s="50">
        <v>0</v>
      </c>
      <c r="G209" s="52"/>
    </row>
    <row r="210" spans="2:7">
      <c r="B210" s="44"/>
      <c r="C210" s="48" t="s">
        <v>72</v>
      </c>
      <c r="D210" s="48"/>
      <c r="E210" s="49">
        <v>0</v>
      </c>
      <c r="F210" s="50">
        <v>0</v>
      </c>
      <c r="G210" s="52"/>
    </row>
    <row r="211" spans="2:7">
      <c r="B211" s="44"/>
      <c r="C211" s="48" t="s">
        <v>73</v>
      </c>
      <c r="D211" s="48"/>
      <c r="E211" s="49">
        <v>217.06696145454521</v>
      </c>
      <c r="F211" s="50">
        <v>217.06696145454521</v>
      </c>
      <c r="G211" s="52"/>
    </row>
    <row r="212" spans="2:7">
      <c r="B212" s="44"/>
      <c r="C212" s="48" t="s">
        <v>74</v>
      </c>
      <c r="D212" s="48"/>
      <c r="E212" s="49">
        <v>0</v>
      </c>
      <c r="F212" s="50">
        <v>0</v>
      </c>
      <c r="G212" s="52"/>
    </row>
    <row r="213" spans="2:7">
      <c r="B213" s="44"/>
      <c r="C213" s="48" t="s">
        <v>75</v>
      </c>
      <c r="D213" s="48"/>
      <c r="E213" s="49">
        <v>1028.0532479999999</v>
      </c>
      <c r="F213" s="50">
        <v>1028.0532479999999</v>
      </c>
      <c r="G213" s="52"/>
    </row>
    <row r="214" spans="2:7">
      <c r="B214" s="44"/>
      <c r="C214" s="48" t="s">
        <v>76</v>
      </c>
      <c r="D214" s="48"/>
      <c r="E214" s="49">
        <v>0</v>
      </c>
      <c r="F214" s="50">
        <v>0</v>
      </c>
      <c r="G214" s="52"/>
    </row>
    <row r="215" spans="2:7">
      <c r="B215" s="44"/>
      <c r="C215" s="48" t="s">
        <v>77</v>
      </c>
      <c r="D215" s="48"/>
      <c r="E215" s="49">
        <v>0</v>
      </c>
      <c r="F215" s="50">
        <v>0</v>
      </c>
      <c r="G215" s="52"/>
    </row>
    <row r="216" spans="2:7">
      <c r="B216" s="44"/>
      <c r="C216" s="53" t="s">
        <v>26</v>
      </c>
      <c r="D216" s="53"/>
      <c r="E216" s="56">
        <v>1245.1202094545451</v>
      </c>
      <c r="F216" s="54">
        <v>1245.1202094545451</v>
      </c>
      <c r="G216" s="52"/>
    </row>
    <row r="217" spans="2:7">
      <c r="B217" s="44">
        <v>136</v>
      </c>
      <c r="C217" s="39" t="s">
        <v>78</v>
      </c>
      <c r="D217" s="39"/>
      <c r="E217" s="56"/>
      <c r="F217" s="50"/>
      <c r="G217" s="52"/>
    </row>
    <row r="218" spans="2:7">
      <c r="B218" s="44"/>
      <c r="C218" s="48" t="s">
        <v>79</v>
      </c>
      <c r="D218" s="48"/>
      <c r="E218" s="49">
        <v>0</v>
      </c>
      <c r="F218" s="50">
        <v>0</v>
      </c>
      <c r="G218" s="52"/>
    </row>
    <row r="219" spans="2:7">
      <c r="B219" s="44"/>
      <c r="C219" s="48" t="s">
        <v>80</v>
      </c>
      <c r="D219" s="48"/>
      <c r="E219" s="49">
        <v>0</v>
      </c>
      <c r="F219" s="50">
        <v>0</v>
      </c>
      <c r="G219" s="52"/>
    </row>
    <row r="220" spans="2:7">
      <c r="B220" s="44"/>
      <c r="C220" s="48" t="s">
        <v>81</v>
      </c>
      <c r="D220" s="48"/>
      <c r="E220" s="49">
        <v>0</v>
      </c>
      <c r="F220" s="50">
        <v>0</v>
      </c>
      <c r="G220" s="52"/>
    </row>
    <row r="221" spans="2:7">
      <c r="B221" s="44"/>
      <c r="C221" s="48" t="s">
        <v>82</v>
      </c>
      <c r="D221" s="48"/>
      <c r="E221" s="49">
        <v>0</v>
      </c>
      <c r="F221" s="50">
        <v>0</v>
      </c>
      <c r="G221" s="52"/>
    </row>
    <row r="222" spans="2:7">
      <c r="B222" s="44"/>
      <c r="C222" s="48" t="s">
        <v>83</v>
      </c>
      <c r="D222" s="48"/>
      <c r="E222" s="49">
        <v>0</v>
      </c>
      <c r="F222" s="50">
        <v>0</v>
      </c>
      <c r="G222" s="52"/>
    </row>
    <row r="223" spans="2:7">
      <c r="B223" s="44"/>
      <c r="C223" s="48" t="s">
        <v>84</v>
      </c>
      <c r="D223" s="48"/>
      <c r="E223" s="49">
        <v>0</v>
      </c>
      <c r="F223" s="50">
        <v>0</v>
      </c>
      <c r="G223" s="52"/>
    </row>
    <row r="224" spans="2:7">
      <c r="B224" s="44"/>
      <c r="C224" s="53" t="s">
        <v>26</v>
      </c>
      <c r="D224" s="53"/>
      <c r="E224" s="56">
        <v>0</v>
      </c>
      <c r="F224" s="54">
        <v>0</v>
      </c>
      <c r="G224" s="52"/>
    </row>
    <row r="225" spans="2:7">
      <c r="B225" s="44">
        <v>142</v>
      </c>
      <c r="C225" s="39" t="s">
        <v>85</v>
      </c>
      <c r="D225" s="39"/>
      <c r="E225" s="56"/>
      <c r="F225" s="50"/>
      <c r="G225" s="52"/>
    </row>
    <row r="226" spans="2:7">
      <c r="B226" s="44"/>
      <c r="C226" s="48" t="s">
        <v>86</v>
      </c>
      <c r="D226" s="48"/>
      <c r="E226" s="49">
        <v>0</v>
      </c>
      <c r="F226" s="50">
        <v>0</v>
      </c>
      <c r="G226" s="52"/>
    </row>
    <row r="227" spans="2:7">
      <c r="B227" s="44"/>
      <c r="C227" s="48" t="s">
        <v>87</v>
      </c>
      <c r="D227" s="48"/>
      <c r="E227" s="49">
        <v>0</v>
      </c>
      <c r="F227" s="50">
        <v>0</v>
      </c>
      <c r="G227" s="52"/>
    </row>
    <row r="228" spans="2:7">
      <c r="B228" s="44"/>
      <c r="C228" s="53" t="s">
        <v>26</v>
      </c>
      <c r="D228" s="53"/>
      <c r="E228" s="56">
        <v>0</v>
      </c>
      <c r="F228" s="54">
        <v>0</v>
      </c>
      <c r="G228" s="52"/>
    </row>
    <row r="229" spans="2:7">
      <c r="B229" s="44">
        <v>144</v>
      </c>
      <c r="C229" s="39" t="s">
        <v>88</v>
      </c>
      <c r="D229" s="39"/>
      <c r="E229" s="49">
        <v>0</v>
      </c>
      <c r="F229" s="54">
        <v>0</v>
      </c>
      <c r="G229" s="52"/>
    </row>
    <row r="230" spans="2:7">
      <c r="B230" s="44">
        <v>221</v>
      </c>
      <c r="C230" s="39" t="s">
        <v>89</v>
      </c>
      <c r="D230" s="39"/>
      <c r="E230" s="49">
        <v>0</v>
      </c>
      <c r="F230" s="54">
        <v>0</v>
      </c>
      <c r="G230" s="52"/>
    </row>
    <row r="231" spans="2:7">
      <c r="B231" s="44">
        <v>222</v>
      </c>
      <c r="C231" s="39" t="s">
        <v>90</v>
      </c>
      <c r="D231" s="39"/>
      <c r="E231" s="49">
        <v>0</v>
      </c>
      <c r="F231" s="54">
        <v>0</v>
      </c>
      <c r="G231" s="52"/>
    </row>
    <row r="232" spans="2:7">
      <c r="B232" s="44">
        <v>224</v>
      </c>
      <c r="C232" s="39" t="s">
        <v>91</v>
      </c>
      <c r="D232" s="39"/>
      <c r="E232" s="49">
        <v>0</v>
      </c>
      <c r="F232" s="54">
        <v>0</v>
      </c>
      <c r="G232" s="52"/>
    </row>
    <row r="233" spans="2:7">
      <c r="B233" s="44">
        <v>225</v>
      </c>
      <c r="C233" s="39" t="s">
        <v>92</v>
      </c>
      <c r="D233" s="39"/>
      <c r="E233" s="49">
        <v>0</v>
      </c>
      <c r="F233" s="54">
        <v>0</v>
      </c>
      <c r="G233" s="38"/>
    </row>
    <row r="234" spans="2:7">
      <c r="B234" s="44">
        <v>226</v>
      </c>
      <c r="C234" s="39" t="s">
        <v>93</v>
      </c>
      <c r="D234" s="39"/>
      <c r="E234" s="49">
        <v>0</v>
      </c>
      <c r="F234" s="54">
        <v>0</v>
      </c>
      <c r="G234" s="60"/>
    </row>
    <row r="235" spans="2:7" ht="15.75" thickBot="1">
      <c r="B235" s="61"/>
      <c r="C235" s="62" t="s">
        <v>94</v>
      </c>
      <c r="D235" s="62"/>
      <c r="E235" s="94">
        <v>0</v>
      </c>
      <c r="F235" s="63">
        <v>0</v>
      </c>
      <c r="G235" s="38"/>
    </row>
    <row r="236" spans="2:7">
      <c r="B236" s="64"/>
      <c r="C236" s="65" t="s">
        <v>95</v>
      </c>
      <c r="D236" s="66"/>
      <c r="E236" s="67">
        <v>3316.3007999999982</v>
      </c>
      <c r="F236" s="68">
        <v>3316.3007999999982</v>
      </c>
      <c r="G236" s="69"/>
    </row>
    <row r="237" spans="2:7" ht="15.75" thickBot="1">
      <c r="B237" s="64"/>
      <c r="C237" s="70"/>
      <c r="D237" s="71"/>
      <c r="E237" s="72"/>
      <c r="F237" s="73"/>
      <c r="G237" s="69"/>
    </row>
    <row r="238" spans="2:7" ht="15.75" thickBot="1">
      <c r="B238" s="64"/>
      <c r="C238" s="70" t="s">
        <v>96</v>
      </c>
      <c r="D238" s="71"/>
      <c r="E238" s="74">
        <v>16819.998392727302</v>
      </c>
      <c r="F238" s="75">
        <v>16819.998392727302</v>
      </c>
      <c r="G238" s="76"/>
    </row>
    <row r="239" spans="2:7" ht="8.25" customHeight="1" thickBot="1">
      <c r="B239" s="77"/>
      <c r="C239" s="81"/>
      <c r="D239" s="81"/>
      <c r="E239" s="78"/>
      <c r="F239" s="78"/>
      <c r="G239" s="79"/>
    </row>
    <row r="240" spans="2:7">
      <c r="B240" s="85"/>
      <c r="C240" s="84"/>
      <c r="D240" s="84"/>
      <c r="E240" s="85"/>
      <c r="F240" s="85"/>
      <c r="G240" s="85"/>
    </row>
    <row r="241" spans="1:7" ht="6" customHeight="1" thickBot="1"/>
    <row r="242" spans="1:7">
      <c r="B242" s="1"/>
      <c r="C242" s="2"/>
      <c r="D242" s="2"/>
      <c r="E242" s="2"/>
      <c r="F242" s="2"/>
      <c r="G242" s="3"/>
    </row>
    <row r="243" spans="1:7">
      <c r="B243" s="4"/>
      <c r="C243" s="5"/>
      <c r="D243" s="5"/>
      <c r="E243" s="5"/>
      <c r="F243" s="5"/>
      <c r="G243" s="6"/>
    </row>
    <row r="244" spans="1:7">
      <c r="B244" s="4"/>
      <c r="C244" s="5"/>
      <c r="D244" s="5"/>
      <c r="E244" s="5"/>
      <c r="F244" s="5"/>
      <c r="G244" s="6"/>
    </row>
    <row r="245" spans="1:7">
      <c r="B245" s="4"/>
      <c r="C245" s="5"/>
      <c r="D245" s="5"/>
      <c r="E245" s="5"/>
      <c r="F245" s="5"/>
      <c r="G245" s="6"/>
    </row>
    <row r="246" spans="1:7">
      <c r="B246" s="4"/>
      <c r="C246" s="5"/>
      <c r="D246" s="5"/>
      <c r="E246" s="5"/>
      <c r="F246" s="5"/>
      <c r="G246" s="6"/>
    </row>
    <row r="247" spans="1:7" ht="16.5" customHeight="1">
      <c r="B247" s="4"/>
      <c r="C247" s="5"/>
      <c r="D247" s="5"/>
      <c r="E247" s="5"/>
      <c r="F247" s="5"/>
      <c r="G247" s="6"/>
    </row>
    <row r="248" spans="1:7" ht="22.5" customHeight="1" thickBot="1">
      <c r="B248" s="4"/>
      <c r="C248" s="95" t="s">
        <v>0</v>
      </c>
      <c r="D248" s="95"/>
      <c r="E248" s="95"/>
      <c r="F248" s="5"/>
      <c r="G248" s="6"/>
    </row>
    <row r="249" spans="1:7" ht="21" thickTop="1">
      <c r="B249" s="4"/>
      <c r="C249" s="7"/>
      <c r="D249" s="7"/>
      <c r="E249" s="5"/>
      <c r="F249" s="5"/>
      <c r="G249" s="6"/>
    </row>
    <row r="250" spans="1:7">
      <c r="B250" s="8" t="s">
        <v>1</v>
      </c>
      <c r="C250" s="9" t="s">
        <v>97</v>
      </c>
      <c r="D250" s="5"/>
      <c r="E250" s="10" t="s">
        <v>2</v>
      </c>
      <c r="F250" s="9" t="s">
        <v>98</v>
      </c>
      <c r="G250" s="6"/>
    </row>
    <row r="251" spans="1:7" ht="3.75" customHeight="1">
      <c r="A251" s="80"/>
      <c r="B251" s="5"/>
      <c r="C251" s="5"/>
      <c r="D251" s="5"/>
      <c r="E251" s="11"/>
      <c r="F251" s="5"/>
      <c r="G251" s="6"/>
    </row>
    <row r="252" spans="1:7">
      <c r="A252" s="80"/>
      <c r="B252" s="12" t="s">
        <v>3</v>
      </c>
      <c r="C252" s="9" t="s">
        <v>99</v>
      </c>
      <c r="D252" s="5"/>
      <c r="E252" s="10" t="s">
        <v>4</v>
      </c>
      <c r="F252" s="82" t="s">
        <v>100</v>
      </c>
      <c r="G252" s="6"/>
    </row>
    <row r="253" spans="1:7" ht="3.75" customHeight="1">
      <c r="A253" s="80"/>
      <c r="B253" s="5"/>
      <c r="C253" s="5"/>
      <c r="D253" s="5"/>
      <c r="E253" s="11"/>
      <c r="F253" s="5"/>
      <c r="G253" s="6"/>
    </row>
    <row r="254" spans="1:7">
      <c r="A254" s="80"/>
      <c r="B254" s="10" t="s">
        <v>5</v>
      </c>
      <c r="C254" s="9" t="s">
        <v>101</v>
      </c>
      <c r="D254" s="5"/>
      <c r="E254" s="10" t="s">
        <v>6</v>
      </c>
      <c r="F254" s="9" t="s">
        <v>107</v>
      </c>
      <c r="G254" s="6"/>
    </row>
    <row r="255" spans="1:7" ht="4.5" customHeight="1">
      <c r="A255" s="80"/>
      <c r="B255" s="13"/>
      <c r="C255" s="5"/>
      <c r="D255" s="5"/>
      <c r="E255" s="11"/>
      <c r="F255" s="5"/>
      <c r="G255" s="6"/>
    </row>
    <row r="256" spans="1:7">
      <c r="A256" s="80"/>
      <c r="B256" s="10" t="s">
        <v>7</v>
      </c>
      <c r="C256" s="9" t="s">
        <v>115</v>
      </c>
      <c r="D256" s="5"/>
      <c r="E256" s="11"/>
      <c r="F256" s="5"/>
      <c r="G256" s="6"/>
    </row>
    <row r="257" spans="1:7" ht="3.75" customHeight="1">
      <c r="A257" s="80"/>
      <c r="B257" s="5"/>
      <c r="C257" s="5"/>
      <c r="D257" s="5"/>
      <c r="E257" s="11"/>
      <c r="F257" s="5"/>
      <c r="G257" s="6"/>
    </row>
    <row r="258" spans="1:7">
      <c r="B258" s="14" t="s">
        <v>8</v>
      </c>
      <c r="C258" s="15" t="s">
        <v>105</v>
      </c>
      <c r="D258" s="5"/>
      <c r="E258" s="86" t="s">
        <v>109</v>
      </c>
      <c r="F258" s="87">
        <v>45352</v>
      </c>
      <c r="G258" s="6"/>
    </row>
    <row r="259" spans="1:7">
      <c r="B259" s="16" t="s">
        <v>9</v>
      </c>
      <c r="C259" s="17" t="s">
        <v>130</v>
      </c>
      <c r="D259" s="5"/>
      <c r="E259" s="88" t="s">
        <v>110</v>
      </c>
      <c r="F259" s="89">
        <v>45382</v>
      </c>
      <c r="G259" s="18"/>
    </row>
    <row r="260" spans="1:7" ht="15.75" thickBot="1">
      <c r="B260" s="4"/>
      <c r="C260" s="19"/>
      <c r="D260" s="19"/>
      <c r="E260" s="20"/>
      <c r="F260" s="21"/>
      <c r="G260" s="18"/>
    </row>
    <row r="261" spans="1:7" ht="18.75" thickBot="1">
      <c r="B261" s="4"/>
      <c r="C261" s="22" t="s">
        <v>10</v>
      </c>
      <c r="D261" s="23"/>
      <c r="E261" s="24"/>
      <c r="F261" s="25" t="s">
        <v>11</v>
      </c>
      <c r="G261" s="18"/>
    </row>
    <row r="262" spans="1:7">
      <c r="B262" s="4"/>
      <c r="C262" s="26" t="s">
        <v>12</v>
      </c>
      <c r="D262" s="26"/>
      <c r="E262" s="27">
        <v>16819.998392727302</v>
      </c>
      <c r="F262" s="28">
        <v>16819.998392727302</v>
      </c>
      <c r="G262" s="29"/>
    </row>
    <row r="263" spans="1:7">
      <c r="B263" s="30">
        <v>143</v>
      </c>
      <c r="C263" s="31" t="s">
        <v>13</v>
      </c>
      <c r="D263" s="31"/>
      <c r="E263" s="27">
        <v>5596.0880000000006</v>
      </c>
      <c r="F263" s="32">
        <v>5596.0880000000006</v>
      </c>
      <c r="G263" s="33"/>
    </row>
    <row r="264" spans="1:7">
      <c r="B264" s="30"/>
      <c r="C264" s="34" t="s">
        <v>14</v>
      </c>
      <c r="D264" s="34"/>
      <c r="E264" s="27">
        <v>0</v>
      </c>
      <c r="F264" s="32">
        <v>0</v>
      </c>
      <c r="G264" s="33"/>
    </row>
    <row r="265" spans="1:7">
      <c r="B265" s="30"/>
      <c r="C265" s="34" t="s">
        <v>15</v>
      </c>
      <c r="D265" s="34"/>
      <c r="E265" s="27">
        <v>0</v>
      </c>
      <c r="F265" s="32">
        <v>0</v>
      </c>
      <c r="G265" s="33"/>
    </row>
    <row r="266" spans="1:7">
      <c r="B266" s="30"/>
      <c r="C266" s="34" t="s">
        <v>16</v>
      </c>
      <c r="D266" s="34"/>
      <c r="E266" s="27">
        <v>0</v>
      </c>
      <c r="F266" s="32">
        <v>0</v>
      </c>
      <c r="G266" s="33"/>
    </row>
    <row r="267" spans="1:7">
      <c r="B267" s="30"/>
      <c r="C267" s="34" t="s">
        <v>17</v>
      </c>
      <c r="D267" s="34"/>
      <c r="E267" s="27">
        <v>0</v>
      </c>
      <c r="F267" s="32">
        <v>0</v>
      </c>
      <c r="G267" s="33"/>
    </row>
    <row r="268" spans="1:7">
      <c r="B268" s="30"/>
      <c r="C268" s="35" t="s">
        <v>18</v>
      </c>
      <c r="D268" s="35"/>
      <c r="E268" s="36">
        <v>22416.086392727302</v>
      </c>
      <c r="F268" s="37">
        <v>22416.086392727302</v>
      </c>
      <c r="G268" s="38"/>
    </row>
    <row r="269" spans="1:7" ht="15.75" thickBot="1">
      <c r="B269" s="30"/>
      <c r="C269" s="39"/>
      <c r="D269" s="39"/>
      <c r="E269" s="40"/>
      <c r="F269" s="41"/>
      <c r="G269" s="38"/>
    </row>
    <row r="270" spans="1:7" ht="18.75" thickBot="1">
      <c r="B270" s="30"/>
      <c r="C270" s="22" t="s">
        <v>19</v>
      </c>
      <c r="D270" s="23"/>
      <c r="E270" s="42"/>
      <c r="F270" s="43"/>
      <c r="G270" s="38"/>
    </row>
    <row r="271" spans="1:7">
      <c r="B271" s="44">
        <v>121</v>
      </c>
      <c r="C271" s="39" t="s">
        <v>20</v>
      </c>
      <c r="D271" s="39"/>
      <c r="E271" s="45"/>
      <c r="F271" s="46"/>
      <c r="G271" s="47"/>
    </row>
    <row r="272" spans="1:7">
      <c r="B272" s="44"/>
      <c r="C272" s="48" t="s">
        <v>21</v>
      </c>
      <c r="D272" s="48"/>
      <c r="E272" s="49">
        <v>0</v>
      </c>
      <c r="F272" s="50">
        <v>0</v>
      </c>
      <c r="G272" s="47"/>
    </row>
    <row r="273" spans="2:7">
      <c r="B273" s="44"/>
      <c r="C273" s="48" t="s">
        <v>22</v>
      </c>
      <c r="D273" s="48"/>
      <c r="E273" s="49">
        <v>0</v>
      </c>
      <c r="F273" s="50">
        <v>0</v>
      </c>
      <c r="G273" s="47"/>
    </row>
    <row r="274" spans="2:7">
      <c r="B274" s="51"/>
      <c r="C274" s="48" t="s">
        <v>23</v>
      </c>
      <c r="D274" s="48"/>
      <c r="E274" s="49">
        <v>0</v>
      </c>
      <c r="F274" s="50">
        <v>0</v>
      </c>
      <c r="G274" s="52"/>
    </row>
    <row r="275" spans="2:7">
      <c r="B275" s="51"/>
      <c r="C275" s="48" t="s">
        <v>24</v>
      </c>
      <c r="D275" s="48"/>
      <c r="E275" s="49">
        <v>994.89024000000006</v>
      </c>
      <c r="F275" s="50">
        <v>994.89024000000006</v>
      </c>
      <c r="G275" s="52"/>
    </row>
    <row r="276" spans="2:7">
      <c r="B276" s="44"/>
      <c r="C276" s="48" t="s">
        <v>25</v>
      </c>
      <c r="D276" s="48"/>
      <c r="E276" s="49">
        <v>0</v>
      </c>
      <c r="F276" s="50">
        <v>0</v>
      </c>
      <c r="G276" s="52"/>
    </row>
    <row r="277" spans="2:7">
      <c r="B277" s="44"/>
      <c r="C277" s="53" t="s">
        <v>26</v>
      </c>
      <c r="D277" s="53"/>
      <c r="E277" s="36">
        <v>994.89024000000006</v>
      </c>
      <c r="F277" s="54">
        <v>994.89024000000006</v>
      </c>
      <c r="G277" s="52"/>
    </row>
    <row r="278" spans="2:7">
      <c r="B278" s="44">
        <v>122</v>
      </c>
      <c r="C278" s="39" t="s">
        <v>27</v>
      </c>
      <c r="D278" s="39"/>
      <c r="E278" s="36"/>
      <c r="F278" s="50"/>
      <c r="G278" s="55"/>
    </row>
    <row r="279" spans="2:7">
      <c r="B279" s="44"/>
      <c r="C279" s="48" t="s">
        <v>28</v>
      </c>
      <c r="D279" s="48"/>
      <c r="E279" s="49">
        <v>0</v>
      </c>
      <c r="F279" s="50">
        <v>0</v>
      </c>
      <c r="G279" s="52"/>
    </row>
    <row r="280" spans="2:7">
      <c r="B280" s="44"/>
      <c r="C280" s="48" t="s">
        <v>29</v>
      </c>
      <c r="D280" s="48"/>
      <c r="E280" s="49">
        <v>0</v>
      </c>
      <c r="F280" s="50">
        <v>0</v>
      </c>
      <c r="G280" s="52"/>
    </row>
    <row r="281" spans="2:7">
      <c r="B281" s="44"/>
      <c r="C281" s="48" t="s">
        <v>30</v>
      </c>
      <c r="D281" s="48"/>
      <c r="E281" s="49">
        <v>0</v>
      </c>
      <c r="F281" s="50">
        <v>0</v>
      </c>
      <c r="G281" s="52"/>
    </row>
    <row r="282" spans="2:7">
      <c r="B282" s="44"/>
      <c r="C282" s="48" t="s">
        <v>31</v>
      </c>
      <c r="D282" s="48"/>
      <c r="E282" s="49">
        <v>0</v>
      </c>
      <c r="F282" s="50">
        <v>0</v>
      </c>
      <c r="G282" s="52"/>
    </row>
    <row r="283" spans="2:7">
      <c r="B283" s="44"/>
      <c r="C283" s="48" t="s">
        <v>32</v>
      </c>
      <c r="D283" s="48"/>
      <c r="E283" s="49">
        <v>331.63008000000002</v>
      </c>
      <c r="F283" s="50">
        <v>331.63008000000002</v>
      </c>
      <c r="G283" s="52"/>
    </row>
    <row r="284" spans="2:7">
      <c r="B284" s="44"/>
      <c r="C284" s="48" t="s">
        <v>33</v>
      </c>
      <c r="D284" s="48"/>
      <c r="E284" s="49">
        <v>0</v>
      </c>
      <c r="F284" s="50">
        <v>0</v>
      </c>
      <c r="G284" s="52"/>
    </row>
    <row r="285" spans="2:7">
      <c r="B285" s="44"/>
      <c r="C285" s="48" t="s">
        <v>34</v>
      </c>
      <c r="D285" s="48"/>
      <c r="E285" s="49">
        <v>0</v>
      </c>
      <c r="F285" s="50">
        <v>0</v>
      </c>
      <c r="G285" s="52"/>
    </row>
    <row r="286" spans="2:7">
      <c r="B286" s="44"/>
      <c r="C286" s="48" t="s">
        <v>35</v>
      </c>
      <c r="D286" s="48"/>
      <c r="E286" s="49">
        <v>0</v>
      </c>
      <c r="F286" s="50">
        <v>0</v>
      </c>
      <c r="G286" s="52"/>
    </row>
    <row r="287" spans="2:7">
      <c r="B287" s="44"/>
      <c r="C287" s="53" t="s">
        <v>26</v>
      </c>
      <c r="D287" s="53"/>
      <c r="E287" s="36">
        <v>331.63008000000002</v>
      </c>
      <c r="F287" s="54">
        <v>331.63008000000002</v>
      </c>
      <c r="G287" s="52"/>
    </row>
    <row r="288" spans="2:7">
      <c r="B288" s="44">
        <v>123</v>
      </c>
      <c r="C288" s="39" t="s">
        <v>36</v>
      </c>
      <c r="D288" s="39"/>
      <c r="E288" s="56"/>
      <c r="F288" s="57"/>
      <c r="G288" s="52"/>
    </row>
    <row r="289" spans="2:7">
      <c r="B289" s="44"/>
      <c r="C289" s="48" t="s">
        <v>37</v>
      </c>
      <c r="D289" s="48"/>
      <c r="E289" s="49">
        <v>271.33370181818157</v>
      </c>
      <c r="F289" s="50">
        <v>271.33370181818157</v>
      </c>
      <c r="G289" s="52"/>
    </row>
    <row r="290" spans="2:7">
      <c r="B290" s="44"/>
      <c r="C290" s="48" t="s">
        <v>38</v>
      </c>
      <c r="D290" s="48"/>
      <c r="E290" s="49">
        <v>2230.9659927272705</v>
      </c>
      <c r="F290" s="50">
        <v>2230.9659927272705</v>
      </c>
      <c r="G290" s="52"/>
    </row>
    <row r="291" spans="2:7">
      <c r="B291" s="44"/>
      <c r="C291" s="48" t="s">
        <v>39</v>
      </c>
      <c r="D291" s="48"/>
      <c r="E291" s="49">
        <v>271.33370181818157</v>
      </c>
      <c r="F291" s="50">
        <v>271.33370181818157</v>
      </c>
      <c r="G291" s="52"/>
    </row>
    <row r="292" spans="2:7">
      <c r="B292" s="44"/>
      <c r="C292" s="48" t="s">
        <v>40</v>
      </c>
      <c r="D292" s="48"/>
      <c r="E292" s="49">
        <v>0</v>
      </c>
      <c r="F292" s="50">
        <v>0</v>
      </c>
      <c r="G292" s="52"/>
    </row>
    <row r="293" spans="2:7">
      <c r="B293" s="44"/>
      <c r="C293" s="48" t="s">
        <v>41</v>
      </c>
      <c r="D293" s="48"/>
      <c r="E293" s="49">
        <v>0</v>
      </c>
      <c r="F293" s="50">
        <v>0</v>
      </c>
      <c r="G293" s="52"/>
    </row>
    <row r="294" spans="2:7">
      <c r="B294" s="44"/>
      <c r="C294" s="48" t="s">
        <v>42</v>
      </c>
      <c r="D294" s="48"/>
      <c r="E294" s="49">
        <v>542.66740363636313</v>
      </c>
      <c r="F294" s="50">
        <v>542.66740363636313</v>
      </c>
      <c r="G294" s="52"/>
    </row>
    <row r="295" spans="2:7">
      <c r="B295" s="44"/>
      <c r="C295" s="53" t="s">
        <v>26</v>
      </c>
      <c r="D295" s="53"/>
      <c r="E295" s="36">
        <v>3316.3007999999963</v>
      </c>
      <c r="F295" s="54">
        <v>3316.3007999999963</v>
      </c>
      <c r="G295" s="52"/>
    </row>
    <row r="296" spans="2:7">
      <c r="B296" s="44">
        <v>124</v>
      </c>
      <c r="C296" s="39" t="s">
        <v>43</v>
      </c>
      <c r="D296" s="39"/>
      <c r="E296" s="56"/>
      <c r="F296" s="57"/>
      <c r="G296" s="52"/>
    </row>
    <row r="297" spans="2:7">
      <c r="B297" s="44"/>
      <c r="C297" s="48" t="s">
        <v>44</v>
      </c>
      <c r="D297" s="48"/>
      <c r="E297" s="49">
        <v>0</v>
      </c>
      <c r="F297" s="50">
        <v>0</v>
      </c>
      <c r="G297" s="52"/>
    </row>
    <row r="298" spans="2:7">
      <c r="B298" s="44"/>
      <c r="C298" s="48" t="s">
        <v>45</v>
      </c>
      <c r="D298" s="48"/>
      <c r="E298" s="49">
        <v>2570.13312</v>
      </c>
      <c r="F298" s="50">
        <v>2570.13312</v>
      </c>
      <c r="G298" s="52"/>
    </row>
    <row r="299" spans="2:7">
      <c r="B299" s="44"/>
      <c r="C299" s="48" t="s">
        <v>46</v>
      </c>
      <c r="D299" s="48"/>
      <c r="E299" s="49">
        <v>0</v>
      </c>
      <c r="F299" s="50">
        <v>0</v>
      </c>
      <c r="G299" s="52"/>
    </row>
    <row r="300" spans="2:7">
      <c r="B300" s="44"/>
      <c r="C300" s="53" t="s">
        <v>26</v>
      </c>
      <c r="D300" s="53"/>
      <c r="E300" s="36">
        <v>2570.13312</v>
      </c>
      <c r="F300" s="54">
        <v>2570.13312</v>
      </c>
      <c r="G300" s="52"/>
    </row>
    <row r="301" spans="2:7">
      <c r="B301" s="44">
        <v>125</v>
      </c>
      <c r="C301" s="39" t="s">
        <v>47</v>
      </c>
      <c r="D301" s="39"/>
      <c r="E301" s="36"/>
      <c r="F301" s="50"/>
      <c r="G301" s="52"/>
    </row>
    <row r="302" spans="2:7">
      <c r="B302" s="44"/>
      <c r="C302" s="48" t="s">
        <v>48</v>
      </c>
      <c r="D302" s="48"/>
      <c r="E302" s="58">
        <v>0</v>
      </c>
      <c r="F302" s="50">
        <v>0</v>
      </c>
      <c r="G302" s="52"/>
    </row>
    <row r="303" spans="2:7">
      <c r="B303" s="44"/>
      <c r="C303" s="48" t="s">
        <v>49</v>
      </c>
      <c r="D303" s="48"/>
      <c r="E303" s="58">
        <v>0</v>
      </c>
      <c r="F303" s="50">
        <v>0</v>
      </c>
      <c r="G303" s="52"/>
    </row>
    <row r="304" spans="2:7">
      <c r="B304" s="44"/>
      <c r="C304" s="48" t="s">
        <v>50</v>
      </c>
      <c r="D304" s="48"/>
      <c r="E304" s="58">
        <v>1077.7977600000002</v>
      </c>
      <c r="F304" s="50">
        <v>1077.7977600000002</v>
      </c>
      <c r="G304" s="52"/>
    </row>
    <row r="305" spans="2:7">
      <c r="B305" s="44"/>
      <c r="C305" s="48" t="s">
        <v>51</v>
      </c>
      <c r="D305" s="48"/>
      <c r="E305" s="58">
        <v>0</v>
      </c>
      <c r="F305" s="50">
        <v>0</v>
      </c>
      <c r="G305" s="52"/>
    </row>
    <row r="306" spans="2:7">
      <c r="B306" s="44"/>
      <c r="C306" s="53" t="s">
        <v>26</v>
      </c>
      <c r="D306" s="53"/>
      <c r="E306" s="56">
        <v>1077.7977600000002</v>
      </c>
      <c r="F306" s="54">
        <v>1077.7977600000002</v>
      </c>
      <c r="G306" s="52"/>
    </row>
    <row r="307" spans="2:7">
      <c r="B307" s="44">
        <v>126</v>
      </c>
      <c r="C307" s="39" t="s">
        <v>52</v>
      </c>
      <c r="D307" s="39"/>
      <c r="E307" s="56"/>
      <c r="F307" s="50"/>
      <c r="G307" s="52"/>
    </row>
    <row r="308" spans="2:7">
      <c r="B308" s="44"/>
      <c r="C308" s="48" t="s">
        <v>53</v>
      </c>
      <c r="D308" s="48"/>
      <c r="E308" s="49">
        <v>0</v>
      </c>
      <c r="F308" s="50">
        <v>0</v>
      </c>
      <c r="G308" s="52"/>
    </row>
    <row r="309" spans="2:7">
      <c r="B309" s="44"/>
      <c r="C309" s="48" t="s">
        <v>54</v>
      </c>
      <c r="D309" s="48"/>
      <c r="E309" s="49">
        <v>0</v>
      </c>
      <c r="F309" s="50"/>
      <c r="G309" s="52"/>
    </row>
    <row r="310" spans="2:7">
      <c r="B310" s="44"/>
      <c r="C310" s="48" t="s">
        <v>55</v>
      </c>
      <c r="D310" s="48"/>
      <c r="E310" s="49">
        <v>0</v>
      </c>
      <c r="F310" s="50"/>
      <c r="G310" s="52"/>
    </row>
    <row r="311" spans="2:7">
      <c r="B311" s="44"/>
      <c r="C311" s="48" t="s">
        <v>56</v>
      </c>
      <c r="D311" s="48"/>
      <c r="E311" s="49">
        <v>0</v>
      </c>
      <c r="F311" s="57"/>
      <c r="G311" s="52"/>
    </row>
    <row r="312" spans="2:7">
      <c r="B312" s="44"/>
      <c r="C312" s="53" t="s">
        <v>26</v>
      </c>
      <c r="D312" s="53"/>
      <c r="E312" s="56">
        <v>0</v>
      </c>
      <c r="F312" s="54">
        <v>0</v>
      </c>
      <c r="G312" s="52"/>
    </row>
    <row r="313" spans="2:7">
      <c r="B313" s="44">
        <v>127</v>
      </c>
      <c r="C313" s="39" t="s">
        <v>57</v>
      </c>
      <c r="D313" s="39"/>
      <c r="E313" s="56"/>
      <c r="F313" s="54"/>
      <c r="G313" s="52"/>
    </row>
    <row r="314" spans="2:7">
      <c r="B314" s="44"/>
      <c r="C314" s="48" t="s">
        <v>58</v>
      </c>
      <c r="D314" s="48"/>
      <c r="E314" s="49">
        <v>0</v>
      </c>
      <c r="F314" s="50">
        <v>0</v>
      </c>
      <c r="G314" s="52"/>
    </row>
    <row r="315" spans="2:7">
      <c r="B315" s="44"/>
      <c r="C315" s="48" t="s">
        <v>59</v>
      </c>
      <c r="D315" s="48"/>
      <c r="E315" s="49">
        <v>0</v>
      </c>
      <c r="F315" s="50">
        <v>0</v>
      </c>
      <c r="G315" s="52"/>
    </row>
    <row r="316" spans="2:7">
      <c r="B316" s="44"/>
      <c r="C316" s="48" t="s">
        <v>60</v>
      </c>
      <c r="D316" s="48"/>
      <c r="E316" s="49">
        <v>0</v>
      </c>
      <c r="F316" s="50">
        <v>0</v>
      </c>
      <c r="G316" s="52"/>
    </row>
    <row r="317" spans="2:7">
      <c r="B317" s="44"/>
      <c r="C317" s="59" t="s">
        <v>61</v>
      </c>
      <c r="D317" s="59"/>
      <c r="E317" s="49">
        <v>0</v>
      </c>
      <c r="F317" s="50">
        <v>0</v>
      </c>
      <c r="G317" s="52"/>
    </row>
    <row r="318" spans="2:7">
      <c r="B318" s="44"/>
      <c r="C318" s="53" t="s">
        <v>26</v>
      </c>
      <c r="D318" s="53"/>
      <c r="E318" s="56">
        <v>0</v>
      </c>
      <c r="F318" s="54">
        <v>0</v>
      </c>
      <c r="G318" s="52"/>
    </row>
    <row r="319" spans="2:7">
      <c r="B319" s="44">
        <v>128</v>
      </c>
      <c r="C319" s="39" t="s">
        <v>62</v>
      </c>
      <c r="D319" s="39"/>
      <c r="E319" s="56"/>
      <c r="F319" s="54"/>
      <c r="G319" s="52"/>
    </row>
    <row r="320" spans="2:7">
      <c r="B320" s="44"/>
      <c r="C320" s="48" t="s">
        <v>63</v>
      </c>
      <c r="D320" s="48"/>
      <c r="E320" s="49">
        <v>0</v>
      </c>
      <c r="F320" s="50">
        <v>0</v>
      </c>
      <c r="G320" s="52"/>
    </row>
    <row r="321" spans="2:7">
      <c r="B321" s="44"/>
      <c r="C321" s="48" t="s">
        <v>64</v>
      </c>
      <c r="D321" s="48"/>
      <c r="E321" s="49">
        <v>0</v>
      </c>
      <c r="F321" s="50">
        <v>0</v>
      </c>
      <c r="G321" s="52"/>
    </row>
    <row r="322" spans="2:7">
      <c r="B322" s="44"/>
      <c r="C322" s="48" t="s">
        <v>65</v>
      </c>
      <c r="D322" s="48"/>
      <c r="E322" s="49">
        <v>0</v>
      </c>
      <c r="F322" s="50">
        <v>0</v>
      </c>
      <c r="G322" s="52"/>
    </row>
    <row r="323" spans="2:7">
      <c r="B323" s="44"/>
      <c r="C323" s="48" t="s">
        <v>66</v>
      </c>
      <c r="D323" s="48"/>
      <c r="E323" s="49">
        <v>0</v>
      </c>
      <c r="F323" s="50">
        <v>0</v>
      </c>
      <c r="G323" s="52"/>
    </row>
    <row r="324" spans="2:7">
      <c r="B324" s="44"/>
      <c r="C324" s="48" t="s">
        <v>67</v>
      </c>
      <c r="D324" s="48"/>
      <c r="E324" s="49">
        <v>0</v>
      </c>
      <c r="F324" s="50">
        <v>0</v>
      </c>
      <c r="G324" s="52"/>
    </row>
    <row r="325" spans="2:7">
      <c r="B325" s="44"/>
      <c r="C325" s="53" t="s">
        <v>26</v>
      </c>
      <c r="D325" s="53"/>
      <c r="E325" s="56">
        <v>0</v>
      </c>
      <c r="F325" s="54">
        <v>0</v>
      </c>
      <c r="G325" s="52"/>
    </row>
    <row r="326" spans="2:7">
      <c r="B326" s="44">
        <v>135</v>
      </c>
      <c r="C326" s="39" t="s">
        <v>68</v>
      </c>
      <c r="D326" s="39"/>
      <c r="E326" s="56"/>
      <c r="F326" s="50"/>
      <c r="G326" s="52"/>
    </row>
    <row r="327" spans="2:7">
      <c r="B327" s="44"/>
      <c r="C327" s="48" t="s">
        <v>69</v>
      </c>
      <c r="D327" s="48"/>
      <c r="E327" s="49">
        <v>0</v>
      </c>
      <c r="F327" s="50">
        <v>0</v>
      </c>
      <c r="G327" s="52"/>
    </row>
    <row r="328" spans="2:7">
      <c r="B328" s="44"/>
      <c r="C328" s="48" t="s">
        <v>70</v>
      </c>
      <c r="D328" s="48"/>
      <c r="E328" s="49">
        <v>0</v>
      </c>
      <c r="F328" s="50">
        <v>0</v>
      </c>
      <c r="G328" s="52"/>
    </row>
    <row r="329" spans="2:7">
      <c r="B329" s="44"/>
      <c r="C329" s="48" t="s">
        <v>71</v>
      </c>
      <c r="D329" s="48"/>
      <c r="E329" s="49">
        <v>0</v>
      </c>
      <c r="F329" s="50">
        <v>0</v>
      </c>
      <c r="G329" s="52"/>
    </row>
    <row r="330" spans="2:7">
      <c r="B330" s="44"/>
      <c r="C330" s="48" t="s">
        <v>72</v>
      </c>
      <c r="D330" s="48"/>
      <c r="E330" s="49">
        <v>0</v>
      </c>
      <c r="F330" s="50">
        <v>0</v>
      </c>
      <c r="G330" s="52"/>
    </row>
    <row r="331" spans="2:7">
      <c r="B331" s="44"/>
      <c r="C331" s="48" t="s">
        <v>73</v>
      </c>
      <c r="D331" s="48"/>
      <c r="E331" s="49">
        <v>0</v>
      </c>
      <c r="F331" s="50">
        <v>0</v>
      </c>
      <c r="G331" s="52"/>
    </row>
    <row r="332" spans="2:7">
      <c r="B332" s="44"/>
      <c r="C332" s="48" t="s">
        <v>74</v>
      </c>
      <c r="D332" s="48"/>
      <c r="E332" s="49">
        <v>0</v>
      </c>
      <c r="F332" s="50">
        <v>0</v>
      </c>
      <c r="G332" s="52"/>
    </row>
    <row r="333" spans="2:7">
      <c r="B333" s="44"/>
      <c r="C333" s="48" t="s">
        <v>75</v>
      </c>
      <c r="D333" s="48"/>
      <c r="E333" s="49">
        <v>0</v>
      </c>
      <c r="F333" s="50">
        <v>0</v>
      </c>
      <c r="G333" s="52"/>
    </row>
    <row r="334" spans="2:7">
      <c r="B334" s="44"/>
      <c r="C334" s="48" t="s">
        <v>76</v>
      </c>
      <c r="D334" s="48"/>
      <c r="E334" s="49">
        <v>0</v>
      </c>
      <c r="F334" s="50">
        <v>0</v>
      </c>
      <c r="G334" s="52"/>
    </row>
    <row r="335" spans="2:7">
      <c r="B335" s="44"/>
      <c r="C335" s="48" t="s">
        <v>77</v>
      </c>
      <c r="D335" s="48"/>
      <c r="E335" s="49">
        <v>0</v>
      </c>
      <c r="F335" s="50">
        <v>0</v>
      </c>
      <c r="G335" s="52"/>
    </row>
    <row r="336" spans="2:7">
      <c r="B336" s="44"/>
      <c r="C336" s="53" t="s">
        <v>26</v>
      </c>
      <c r="D336" s="53"/>
      <c r="E336" s="56">
        <v>0</v>
      </c>
      <c r="F336" s="54">
        <v>0</v>
      </c>
      <c r="G336" s="52"/>
    </row>
    <row r="337" spans="2:7">
      <c r="B337" s="44">
        <v>136</v>
      </c>
      <c r="C337" s="39" t="s">
        <v>78</v>
      </c>
      <c r="D337" s="39"/>
      <c r="E337" s="56"/>
      <c r="F337" s="50"/>
      <c r="G337" s="52"/>
    </row>
    <row r="338" spans="2:7">
      <c r="B338" s="44"/>
      <c r="C338" s="48" t="s">
        <v>79</v>
      </c>
      <c r="D338" s="48"/>
      <c r="E338" s="49">
        <v>0</v>
      </c>
      <c r="F338" s="50">
        <v>0</v>
      </c>
      <c r="G338" s="52"/>
    </row>
    <row r="339" spans="2:7">
      <c r="B339" s="44"/>
      <c r="C339" s="48" t="s">
        <v>80</v>
      </c>
      <c r="D339" s="48"/>
      <c r="E339" s="49">
        <v>0</v>
      </c>
      <c r="F339" s="50">
        <v>0</v>
      </c>
      <c r="G339" s="52"/>
    </row>
    <row r="340" spans="2:7">
      <c r="B340" s="44"/>
      <c r="C340" s="48" t="s">
        <v>81</v>
      </c>
      <c r="D340" s="48"/>
      <c r="E340" s="49">
        <v>0</v>
      </c>
      <c r="F340" s="50">
        <v>0</v>
      </c>
      <c r="G340" s="52"/>
    </row>
    <row r="341" spans="2:7">
      <c r="B341" s="44"/>
      <c r="C341" s="48" t="s">
        <v>82</v>
      </c>
      <c r="D341" s="48"/>
      <c r="E341" s="49">
        <v>0</v>
      </c>
      <c r="F341" s="50">
        <v>0</v>
      </c>
      <c r="G341" s="52"/>
    </row>
    <row r="342" spans="2:7">
      <c r="B342" s="44"/>
      <c r="C342" s="48" t="s">
        <v>83</v>
      </c>
      <c r="D342" s="48"/>
      <c r="E342" s="49">
        <v>0</v>
      </c>
      <c r="F342" s="50">
        <v>0</v>
      </c>
      <c r="G342" s="52"/>
    </row>
    <row r="343" spans="2:7">
      <c r="B343" s="44"/>
      <c r="C343" s="48" t="s">
        <v>84</v>
      </c>
      <c r="D343" s="48"/>
      <c r="E343" s="49">
        <v>0</v>
      </c>
      <c r="F343" s="50">
        <v>0</v>
      </c>
      <c r="G343" s="52"/>
    </row>
    <row r="344" spans="2:7">
      <c r="B344" s="44"/>
      <c r="C344" s="53" t="s">
        <v>26</v>
      </c>
      <c r="D344" s="53"/>
      <c r="E344" s="56">
        <v>0</v>
      </c>
      <c r="F344" s="54">
        <v>0</v>
      </c>
      <c r="G344" s="52"/>
    </row>
    <row r="345" spans="2:7">
      <c r="B345" s="44">
        <v>142</v>
      </c>
      <c r="C345" s="39" t="s">
        <v>85</v>
      </c>
      <c r="D345" s="39"/>
      <c r="E345" s="56"/>
      <c r="F345" s="50"/>
      <c r="G345" s="52"/>
    </row>
    <row r="346" spans="2:7">
      <c r="B346" s="44"/>
      <c r="C346" s="48" t="s">
        <v>86</v>
      </c>
      <c r="D346" s="48"/>
      <c r="E346" s="49">
        <v>0</v>
      </c>
      <c r="F346" s="50">
        <v>0</v>
      </c>
      <c r="G346" s="52"/>
    </row>
    <row r="347" spans="2:7">
      <c r="B347" s="44"/>
      <c r="C347" s="48" t="s">
        <v>87</v>
      </c>
      <c r="D347" s="48"/>
      <c r="E347" s="49">
        <v>0</v>
      </c>
      <c r="F347" s="50">
        <v>0</v>
      </c>
      <c r="G347" s="52"/>
    </row>
    <row r="348" spans="2:7">
      <c r="B348" s="44"/>
      <c r="C348" s="53" t="s">
        <v>26</v>
      </c>
      <c r="D348" s="53"/>
      <c r="E348" s="56">
        <v>0</v>
      </c>
      <c r="F348" s="54">
        <v>0</v>
      </c>
      <c r="G348" s="52"/>
    </row>
    <row r="349" spans="2:7">
      <c r="B349" s="44">
        <v>144</v>
      </c>
      <c r="C349" s="39" t="s">
        <v>88</v>
      </c>
      <c r="D349" s="39"/>
      <c r="E349" s="49">
        <v>0</v>
      </c>
      <c r="F349" s="54">
        <v>0</v>
      </c>
      <c r="G349" s="52"/>
    </row>
    <row r="350" spans="2:7">
      <c r="B350" s="44">
        <v>221</v>
      </c>
      <c r="C350" s="39" t="s">
        <v>89</v>
      </c>
      <c r="D350" s="39"/>
      <c r="E350" s="49">
        <v>0</v>
      </c>
      <c r="F350" s="54">
        <v>0</v>
      </c>
      <c r="G350" s="52"/>
    </row>
    <row r="351" spans="2:7">
      <c r="B351" s="44">
        <v>222</v>
      </c>
      <c r="C351" s="39" t="s">
        <v>90</v>
      </c>
      <c r="D351" s="39"/>
      <c r="E351" s="49">
        <v>0</v>
      </c>
      <c r="F351" s="54">
        <v>0</v>
      </c>
      <c r="G351" s="52"/>
    </row>
    <row r="352" spans="2:7">
      <c r="B352" s="44">
        <v>224</v>
      </c>
      <c r="C352" s="39" t="s">
        <v>91</v>
      </c>
      <c r="D352" s="39"/>
      <c r="E352" s="49">
        <v>0</v>
      </c>
      <c r="F352" s="54">
        <v>0</v>
      </c>
      <c r="G352" s="52"/>
    </row>
    <row r="353" spans="2:7">
      <c r="B353" s="44">
        <v>225</v>
      </c>
      <c r="C353" s="39" t="s">
        <v>92</v>
      </c>
      <c r="D353" s="39"/>
      <c r="E353" s="49">
        <v>0</v>
      </c>
      <c r="F353" s="54">
        <v>0</v>
      </c>
      <c r="G353" s="38"/>
    </row>
    <row r="354" spans="2:7">
      <c r="B354" s="44">
        <v>226</v>
      </c>
      <c r="C354" s="39" t="s">
        <v>93</v>
      </c>
      <c r="D354" s="39"/>
      <c r="E354" s="49">
        <v>0</v>
      </c>
      <c r="F354" s="54">
        <v>0</v>
      </c>
      <c r="G354" s="60"/>
    </row>
    <row r="355" spans="2:7" ht="15.75" thickBot="1">
      <c r="B355" s="61"/>
      <c r="C355" s="62" t="s">
        <v>94</v>
      </c>
      <c r="D355" s="62"/>
      <c r="E355" s="94">
        <v>0</v>
      </c>
      <c r="F355" s="63">
        <v>0</v>
      </c>
      <c r="G355" s="38"/>
    </row>
    <row r="356" spans="2:7">
      <c r="B356" s="64"/>
      <c r="C356" s="65" t="s">
        <v>95</v>
      </c>
      <c r="D356" s="66"/>
      <c r="E356" s="67">
        <v>8290.7519999999968</v>
      </c>
      <c r="F356" s="68">
        <v>8290.7519999999968</v>
      </c>
      <c r="G356" s="69"/>
    </row>
    <row r="357" spans="2:7" ht="15.75" thickBot="1">
      <c r="B357" s="64"/>
      <c r="C357" s="70"/>
      <c r="D357" s="71"/>
      <c r="E357" s="72"/>
      <c r="F357" s="73"/>
      <c r="G357" s="69"/>
    </row>
    <row r="358" spans="2:7" ht="15.75" thickBot="1">
      <c r="B358" s="64"/>
      <c r="C358" s="70" t="s">
        <v>96</v>
      </c>
      <c r="D358" s="71"/>
      <c r="E358" s="74">
        <v>14125.334392727305</v>
      </c>
      <c r="F358" s="75">
        <v>14125.334392727305</v>
      </c>
      <c r="G358" s="76"/>
    </row>
    <row r="359" spans="2:7" ht="8.25" customHeight="1" thickBot="1">
      <c r="B359" s="77"/>
      <c r="C359" s="81"/>
      <c r="D359" s="81"/>
      <c r="E359" s="78"/>
      <c r="F359" s="78"/>
      <c r="G359" s="79"/>
    </row>
    <row r="360" spans="2:7">
      <c r="B360" s="85"/>
      <c r="C360" s="84"/>
      <c r="D360" s="84"/>
      <c r="E360" s="85"/>
      <c r="F360" s="85"/>
      <c r="G360" s="85"/>
    </row>
  </sheetData>
  <mergeCells count="3">
    <mergeCell ref="C8:E8"/>
    <mergeCell ref="C128:E128"/>
    <mergeCell ref="C248:E248"/>
  </mergeCells>
  <dataValidations count="1">
    <dataValidation type="list" allowBlank="1" showInputMessage="1" showErrorMessage="1" sqref="C136 C16 C256" xr:uid="{72731D8C-1ED7-4B74-92F9-432648443CAA}">
      <formula1>FacList</formula1>
    </dataValidation>
  </dataValidations>
  <hyperlinks>
    <hyperlink ref="F12" r:id="rId1" xr:uid="{B0AA062D-4B0C-46AC-B1D2-6ECC137CE1B5}"/>
    <hyperlink ref="F132" r:id="rId2" xr:uid="{9DA3D864-B561-494B-A2FE-CD6129CDA8F0}"/>
    <hyperlink ref="F252" r:id="rId3" xr:uid="{28D4AF19-94B2-4893-93C6-9E333CD0FBEB}"/>
  </hyperlinks>
  <pageMargins left="0.7" right="0.7" top="0.75" bottom="0.75" header="0.3" footer="0.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0B87D-0070-436B-AD35-67CBA4DCDAB9}">
  <dimension ref="A1:G360"/>
  <sheetViews>
    <sheetView topLeftCell="C1" zoomScale="90" zoomScaleNormal="90" workbookViewId="0">
      <selection sqref="A1:XFD1048576"/>
    </sheetView>
  </sheetViews>
  <sheetFormatPr defaultColWidth="8.85546875" defaultRowHeight="15"/>
  <cols>
    <col min="1" max="1" width="1.140625" customWidth="1"/>
    <col min="2" max="2" width="27.42578125" customWidth="1"/>
    <col min="3" max="3" width="42.7109375" bestFit="1" customWidth="1"/>
    <col min="4" max="4" width="4" customWidth="1"/>
    <col min="5" max="5" width="25.42578125" customWidth="1"/>
    <col min="6" max="6" width="27.42578125" customWidth="1"/>
    <col min="7" max="7" width="4.7109375" customWidth="1"/>
  </cols>
  <sheetData>
    <row r="1" spans="1:7" ht="6" customHeight="1" thickBot="1"/>
    <row r="2" spans="1:7">
      <c r="B2" s="1"/>
      <c r="C2" s="2"/>
      <c r="D2" s="2"/>
      <c r="E2" s="2"/>
      <c r="F2" s="2"/>
      <c r="G2" s="3"/>
    </row>
    <row r="3" spans="1:7">
      <c r="B3" s="4"/>
      <c r="C3" s="5"/>
      <c r="D3" s="5"/>
      <c r="E3" s="5"/>
      <c r="F3" s="5"/>
      <c r="G3" s="6"/>
    </row>
    <row r="4" spans="1:7">
      <c r="B4" s="4"/>
      <c r="C4" s="5"/>
      <c r="D4" s="5"/>
      <c r="E4" s="5"/>
      <c r="F4" s="5"/>
      <c r="G4" s="6"/>
    </row>
    <row r="5" spans="1:7">
      <c r="B5" s="4"/>
      <c r="C5" s="5"/>
      <c r="D5" s="5"/>
      <c r="E5" s="5"/>
      <c r="F5" s="5"/>
      <c r="G5" s="6"/>
    </row>
    <row r="6" spans="1:7">
      <c r="B6" s="4"/>
      <c r="C6" s="5"/>
      <c r="D6" s="5"/>
      <c r="E6" s="5"/>
      <c r="F6" s="5"/>
      <c r="G6" s="6"/>
    </row>
    <row r="7" spans="1:7" ht="16.5" customHeight="1">
      <c r="B7" s="4"/>
      <c r="C7" s="5"/>
      <c r="D7" s="5"/>
      <c r="E7" s="5"/>
      <c r="F7" s="5"/>
      <c r="G7" s="6"/>
    </row>
    <row r="8" spans="1:7" ht="22.5" customHeight="1" thickBot="1">
      <c r="B8" s="4"/>
      <c r="C8" s="95" t="s">
        <v>0</v>
      </c>
      <c r="D8" s="95"/>
      <c r="E8" s="95"/>
      <c r="F8" s="5"/>
      <c r="G8" s="6"/>
    </row>
    <row r="9" spans="1:7" ht="21" thickTop="1">
      <c r="B9" s="4"/>
      <c r="C9" s="7"/>
      <c r="D9" s="7"/>
      <c r="E9" s="5"/>
      <c r="F9" s="5"/>
      <c r="G9" s="6"/>
    </row>
    <row r="10" spans="1:7">
      <c r="B10" s="8" t="s">
        <v>1</v>
      </c>
      <c r="C10" s="9" t="s">
        <v>97</v>
      </c>
      <c r="D10" s="5"/>
      <c r="E10" s="10" t="s">
        <v>2</v>
      </c>
      <c r="F10" s="9" t="s">
        <v>98</v>
      </c>
      <c r="G10" s="6"/>
    </row>
    <row r="11" spans="1:7" ht="3.75" customHeight="1">
      <c r="A11" s="80"/>
      <c r="B11" s="5"/>
      <c r="C11" s="5"/>
      <c r="D11" s="5"/>
      <c r="E11" s="11"/>
      <c r="F11" s="5"/>
      <c r="G11" s="6"/>
    </row>
    <row r="12" spans="1:7">
      <c r="A12" s="80"/>
      <c r="B12" s="12" t="s">
        <v>3</v>
      </c>
      <c r="C12" s="9" t="s">
        <v>99</v>
      </c>
      <c r="D12" s="5"/>
      <c r="E12" s="10" t="s">
        <v>4</v>
      </c>
      <c r="F12" s="82" t="s">
        <v>100</v>
      </c>
      <c r="G12" s="6"/>
    </row>
    <row r="13" spans="1:7" ht="3.75" customHeight="1">
      <c r="A13" s="80"/>
      <c r="B13" s="5"/>
      <c r="C13" s="5"/>
      <c r="D13" s="5"/>
      <c r="E13" s="11"/>
      <c r="F13" s="5"/>
      <c r="G13" s="6"/>
    </row>
    <row r="14" spans="1:7">
      <c r="A14" s="80"/>
      <c r="B14" s="10" t="s">
        <v>5</v>
      </c>
      <c r="C14" s="9" t="s">
        <v>101</v>
      </c>
      <c r="D14" s="5"/>
      <c r="E14" s="10" t="s">
        <v>6</v>
      </c>
      <c r="F14" s="9" t="s">
        <v>107</v>
      </c>
      <c r="G14" s="6"/>
    </row>
    <row r="15" spans="1:7" ht="4.5" customHeight="1">
      <c r="A15" s="80"/>
      <c r="B15" s="13"/>
      <c r="C15" s="5"/>
      <c r="D15" s="5"/>
      <c r="E15" s="11"/>
      <c r="F15" s="5"/>
      <c r="G15" s="6"/>
    </row>
    <row r="16" spans="1:7">
      <c r="A16" s="80"/>
      <c r="B16" s="10" t="s">
        <v>7</v>
      </c>
      <c r="C16" s="9" t="s">
        <v>116</v>
      </c>
      <c r="D16" s="5"/>
      <c r="E16" s="11"/>
      <c r="F16" s="5"/>
      <c r="G16" s="6"/>
    </row>
    <row r="17" spans="1:7" ht="3.75" customHeight="1">
      <c r="A17" s="80"/>
      <c r="B17" s="5"/>
      <c r="C17" s="5"/>
      <c r="D17" s="5"/>
      <c r="E17" s="11"/>
      <c r="F17" s="5"/>
      <c r="G17" s="6"/>
    </row>
    <row r="18" spans="1:7">
      <c r="B18" s="14" t="s">
        <v>8</v>
      </c>
      <c r="C18" s="15" t="s">
        <v>103</v>
      </c>
      <c r="D18" s="5"/>
      <c r="E18" s="86" t="s">
        <v>109</v>
      </c>
      <c r="F18" s="87">
        <v>45292</v>
      </c>
      <c r="G18" s="6"/>
    </row>
    <row r="19" spans="1:7">
      <c r="B19" s="16" t="s">
        <v>9</v>
      </c>
      <c r="C19" s="17" t="s">
        <v>130</v>
      </c>
      <c r="D19" s="5"/>
      <c r="E19" s="88" t="s">
        <v>110</v>
      </c>
      <c r="F19" s="89">
        <v>45322</v>
      </c>
      <c r="G19" s="18"/>
    </row>
    <row r="20" spans="1:7" ht="15.75" thickBot="1">
      <c r="B20" s="4"/>
      <c r="C20" s="19"/>
      <c r="D20" s="19"/>
      <c r="E20" s="20"/>
      <c r="F20" s="21"/>
      <c r="G20" s="18"/>
    </row>
    <row r="21" spans="1:7" ht="18.75" thickBot="1">
      <c r="B21" s="4"/>
      <c r="C21" s="22" t="s">
        <v>10</v>
      </c>
      <c r="D21" s="23"/>
      <c r="E21" s="24"/>
      <c r="F21" s="25" t="s">
        <v>11</v>
      </c>
      <c r="G21" s="18"/>
    </row>
    <row r="22" spans="1:7">
      <c r="B22" s="4"/>
      <c r="C22" s="26" t="s">
        <v>12</v>
      </c>
      <c r="D22" s="26"/>
      <c r="E22" s="27">
        <v>13089.499192727297</v>
      </c>
      <c r="F22" s="28">
        <v>13089.499192727297</v>
      </c>
      <c r="G22" s="29"/>
    </row>
    <row r="23" spans="1:7">
      <c r="B23" s="30">
        <v>143</v>
      </c>
      <c r="C23" s="31" t="s">
        <v>13</v>
      </c>
      <c r="D23" s="31"/>
      <c r="E23" s="27">
        <v>5596.0880000000006</v>
      </c>
      <c r="F23" s="32">
        <v>5596.0880000000006</v>
      </c>
      <c r="G23" s="33"/>
    </row>
    <row r="24" spans="1:7">
      <c r="B24" s="30"/>
      <c r="C24" s="34" t="s">
        <v>14</v>
      </c>
      <c r="D24" s="34"/>
      <c r="E24" s="27">
        <v>0</v>
      </c>
      <c r="F24" s="32">
        <v>0</v>
      </c>
      <c r="G24" s="33"/>
    </row>
    <row r="25" spans="1:7">
      <c r="B25" s="30"/>
      <c r="C25" s="34" t="s">
        <v>15</v>
      </c>
      <c r="D25" s="34"/>
      <c r="E25" s="27">
        <v>0</v>
      </c>
      <c r="F25" s="32">
        <v>0</v>
      </c>
      <c r="G25" s="33"/>
    </row>
    <row r="26" spans="1:7">
      <c r="B26" s="30"/>
      <c r="C26" s="34" t="s">
        <v>16</v>
      </c>
      <c r="D26" s="34"/>
      <c r="E26" s="27">
        <v>0</v>
      </c>
      <c r="F26" s="32">
        <v>0</v>
      </c>
      <c r="G26" s="33"/>
    </row>
    <row r="27" spans="1:7">
      <c r="B27" s="30"/>
      <c r="C27" s="34" t="s">
        <v>17</v>
      </c>
      <c r="D27" s="34"/>
      <c r="E27" s="27">
        <v>0</v>
      </c>
      <c r="F27" s="32">
        <v>0</v>
      </c>
      <c r="G27" s="33"/>
    </row>
    <row r="28" spans="1:7">
      <c r="B28" s="30"/>
      <c r="C28" s="35" t="s">
        <v>18</v>
      </c>
      <c r="D28" s="35"/>
      <c r="E28" s="36">
        <v>18685.587192727296</v>
      </c>
      <c r="F28" s="37">
        <v>18685.587192727296</v>
      </c>
      <c r="G28" s="38"/>
    </row>
    <row r="29" spans="1:7" ht="15.75" thickBot="1">
      <c r="B29" s="30"/>
      <c r="C29" s="39"/>
      <c r="D29" s="39"/>
      <c r="E29" s="40"/>
      <c r="F29" s="41"/>
      <c r="G29" s="38"/>
    </row>
    <row r="30" spans="1:7" ht="18.75" thickBot="1">
      <c r="B30" s="30"/>
      <c r="C30" s="22" t="s">
        <v>19</v>
      </c>
      <c r="D30" s="23"/>
      <c r="E30" s="42"/>
      <c r="F30" s="43"/>
      <c r="G30" s="38"/>
    </row>
    <row r="31" spans="1:7">
      <c r="B31" s="44">
        <v>121</v>
      </c>
      <c r="C31" s="39" t="s">
        <v>20</v>
      </c>
      <c r="D31" s="39"/>
      <c r="E31" s="45"/>
      <c r="F31" s="46"/>
      <c r="G31" s="47"/>
    </row>
    <row r="32" spans="1:7">
      <c r="B32" s="44"/>
      <c r="C32" s="48" t="s">
        <v>21</v>
      </c>
      <c r="D32" s="48"/>
      <c r="E32" s="49">
        <v>362.72039999999993</v>
      </c>
      <c r="F32" s="50">
        <v>362.72039999999993</v>
      </c>
      <c r="G32" s="47"/>
    </row>
    <row r="33" spans="2:7">
      <c r="B33" s="44"/>
      <c r="C33" s="48" t="s">
        <v>22</v>
      </c>
      <c r="D33" s="48"/>
      <c r="E33" s="49">
        <v>373.08383999999955</v>
      </c>
      <c r="F33" s="50">
        <v>373.08383999999955</v>
      </c>
      <c r="G33" s="47"/>
    </row>
    <row r="34" spans="2:7">
      <c r="B34" s="51"/>
      <c r="C34" s="48" t="s">
        <v>23</v>
      </c>
      <c r="D34" s="48"/>
      <c r="E34" s="49">
        <v>445.62792000000002</v>
      </c>
      <c r="F34" s="50">
        <v>445.62792000000002</v>
      </c>
      <c r="G34" s="52"/>
    </row>
    <row r="35" spans="2:7">
      <c r="B35" s="51"/>
      <c r="C35" s="48" t="s">
        <v>24</v>
      </c>
      <c r="D35" s="48"/>
      <c r="E35" s="49">
        <v>305.25041454545419</v>
      </c>
      <c r="F35" s="50">
        <v>305.25041454545419</v>
      </c>
      <c r="G35" s="52"/>
    </row>
    <row r="36" spans="2:7">
      <c r="B36" s="44"/>
      <c r="C36" s="48" t="s">
        <v>25</v>
      </c>
      <c r="D36" s="48"/>
      <c r="E36" s="49">
        <v>0</v>
      </c>
      <c r="F36" s="50">
        <v>0</v>
      </c>
      <c r="G36" s="52"/>
    </row>
    <row r="37" spans="2:7">
      <c r="B37" s="44"/>
      <c r="C37" s="53" t="s">
        <v>26</v>
      </c>
      <c r="D37" s="53"/>
      <c r="E37" s="36">
        <v>1486.6825745454535</v>
      </c>
      <c r="F37" s="54">
        <v>1486.6825745454535</v>
      </c>
      <c r="G37" s="52"/>
    </row>
    <row r="38" spans="2:7">
      <c r="B38" s="44">
        <v>122</v>
      </c>
      <c r="C38" s="39" t="s">
        <v>27</v>
      </c>
      <c r="D38" s="39"/>
      <c r="E38" s="36"/>
      <c r="F38" s="50"/>
      <c r="G38" s="55"/>
    </row>
    <row r="39" spans="2:7">
      <c r="B39" s="44"/>
      <c r="C39" s="48" t="s">
        <v>28</v>
      </c>
      <c r="D39" s="48"/>
      <c r="E39" s="49">
        <v>176.17848000000001</v>
      </c>
      <c r="F39" s="50">
        <v>176.17848000000001</v>
      </c>
      <c r="G39" s="52"/>
    </row>
    <row r="40" spans="2:7">
      <c r="B40" s="44"/>
      <c r="C40" s="48" t="s">
        <v>29</v>
      </c>
      <c r="D40" s="48"/>
      <c r="E40" s="49">
        <v>0</v>
      </c>
      <c r="F40" s="50">
        <v>0</v>
      </c>
      <c r="G40" s="52"/>
    </row>
    <row r="41" spans="2:7">
      <c r="B41" s="44"/>
      <c r="C41" s="48" t="s">
        <v>30</v>
      </c>
      <c r="D41" s="48"/>
      <c r="E41" s="49">
        <v>233.64846545454537</v>
      </c>
      <c r="F41" s="50">
        <v>233.64846545454537</v>
      </c>
      <c r="G41" s="52"/>
    </row>
    <row r="42" spans="2:7">
      <c r="B42" s="44"/>
      <c r="C42" s="48" t="s">
        <v>31</v>
      </c>
      <c r="D42" s="48"/>
      <c r="E42" s="49">
        <v>41.453760000000003</v>
      </c>
      <c r="F42" s="50">
        <v>41.453760000000003</v>
      </c>
      <c r="G42" s="52"/>
    </row>
    <row r="43" spans="2:7">
      <c r="B43" s="44"/>
      <c r="C43" s="48" t="s">
        <v>32</v>
      </c>
      <c r="D43" s="48"/>
      <c r="E43" s="49">
        <v>165.81504000000001</v>
      </c>
      <c r="F43" s="50">
        <v>165.81504000000001</v>
      </c>
      <c r="G43" s="52"/>
    </row>
    <row r="44" spans="2:7">
      <c r="B44" s="44"/>
      <c r="C44" s="48" t="s">
        <v>33</v>
      </c>
      <c r="D44" s="48"/>
      <c r="E44" s="49">
        <v>0</v>
      </c>
      <c r="F44" s="50">
        <v>0</v>
      </c>
      <c r="G44" s="52"/>
    </row>
    <row r="45" spans="2:7">
      <c r="B45" s="44"/>
      <c r="C45" s="48" t="s">
        <v>34</v>
      </c>
      <c r="D45" s="48"/>
      <c r="E45" s="49">
        <v>0</v>
      </c>
      <c r="F45" s="50">
        <v>0</v>
      </c>
      <c r="G45" s="52"/>
    </row>
    <row r="46" spans="2:7">
      <c r="B46" s="44"/>
      <c r="C46" s="48" t="s">
        <v>35</v>
      </c>
      <c r="D46" s="48"/>
      <c r="E46" s="49">
        <v>0</v>
      </c>
      <c r="F46" s="50">
        <v>0</v>
      </c>
      <c r="G46" s="52"/>
    </row>
    <row r="47" spans="2:7">
      <c r="B47" s="44"/>
      <c r="C47" s="53" t="s">
        <v>26</v>
      </c>
      <c r="D47" s="53"/>
      <c r="E47" s="36">
        <v>617.09574545454529</v>
      </c>
      <c r="F47" s="54">
        <v>617.09574545454529</v>
      </c>
      <c r="G47" s="52"/>
    </row>
    <row r="48" spans="2:7">
      <c r="B48" s="44">
        <v>123</v>
      </c>
      <c r="C48" s="39" t="s">
        <v>36</v>
      </c>
      <c r="D48" s="39"/>
      <c r="E48" s="56"/>
      <c r="F48" s="57"/>
      <c r="G48" s="52"/>
    </row>
    <row r="49" spans="2:7">
      <c r="B49" s="44"/>
      <c r="C49" s="48" t="s">
        <v>37</v>
      </c>
      <c r="D49" s="48"/>
      <c r="E49" s="49">
        <v>150.7409454545454</v>
      </c>
      <c r="F49" s="50">
        <v>150.7409454545454</v>
      </c>
      <c r="G49" s="52"/>
    </row>
    <row r="50" spans="2:7">
      <c r="B50" s="44"/>
      <c r="C50" s="48" t="s">
        <v>38</v>
      </c>
      <c r="D50" s="48"/>
      <c r="E50" s="49">
        <v>0</v>
      </c>
      <c r="F50" s="50">
        <v>0</v>
      </c>
      <c r="G50" s="52"/>
    </row>
    <row r="51" spans="2:7">
      <c r="B51" s="44"/>
      <c r="C51" s="48" t="s">
        <v>39</v>
      </c>
      <c r="D51" s="48"/>
      <c r="E51" s="49">
        <v>177.1206109090908</v>
      </c>
      <c r="F51" s="50">
        <v>177.1206109090908</v>
      </c>
      <c r="G51" s="52"/>
    </row>
    <row r="52" spans="2:7">
      <c r="B52" s="44"/>
      <c r="C52" s="48" t="s">
        <v>40</v>
      </c>
      <c r="D52" s="48"/>
      <c r="E52" s="49">
        <v>135.66685090909078</v>
      </c>
      <c r="F52" s="50">
        <v>135.66685090909078</v>
      </c>
      <c r="G52" s="52"/>
    </row>
    <row r="53" spans="2:7">
      <c r="B53" s="44"/>
      <c r="C53" s="48" t="s">
        <v>41</v>
      </c>
      <c r="D53" s="48"/>
      <c r="E53" s="49">
        <v>0</v>
      </c>
      <c r="F53" s="50">
        <v>0</v>
      </c>
      <c r="G53" s="52"/>
    </row>
    <row r="54" spans="2:7">
      <c r="B54" s="44"/>
      <c r="C54" s="48" t="s">
        <v>42</v>
      </c>
      <c r="D54" s="48"/>
      <c r="E54" s="49">
        <v>238.35912000000002</v>
      </c>
      <c r="F54" s="50">
        <v>238.35912000000002</v>
      </c>
      <c r="G54" s="52"/>
    </row>
    <row r="55" spans="2:7">
      <c r="B55" s="44"/>
      <c r="C55" s="53" t="s">
        <v>26</v>
      </c>
      <c r="D55" s="53"/>
      <c r="E55" s="36">
        <v>701.88752727272697</v>
      </c>
      <c r="F55" s="54">
        <v>701.88752727272697</v>
      </c>
      <c r="G55" s="52"/>
    </row>
    <row r="56" spans="2:7">
      <c r="B56" s="44">
        <v>124</v>
      </c>
      <c r="C56" s="39" t="s">
        <v>43</v>
      </c>
      <c r="D56" s="39"/>
      <c r="E56" s="56"/>
      <c r="F56" s="57"/>
      <c r="G56" s="52"/>
    </row>
    <row r="57" spans="2:7">
      <c r="B57" s="44"/>
      <c r="C57" s="48" t="s">
        <v>44</v>
      </c>
      <c r="D57" s="48"/>
      <c r="E57" s="49">
        <v>448.45431272727234</v>
      </c>
      <c r="F57" s="50">
        <v>448.45431272727234</v>
      </c>
      <c r="G57" s="52"/>
    </row>
    <row r="58" spans="2:7">
      <c r="B58" s="44"/>
      <c r="C58" s="48" t="s">
        <v>45</v>
      </c>
      <c r="D58" s="48"/>
      <c r="E58" s="49">
        <v>0</v>
      </c>
      <c r="F58" s="50">
        <v>0</v>
      </c>
      <c r="G58" s="52"/>
    </row>
    <row r="59" spans="2:7">
      <c r="B59" s="44"/>
      <c r="C59" s="48" t="s">
        <v>46</v>
      </c>
      <c r="D59" s="48"/>
      <c r="E59" s="49">
        <v>0</v>
      </c>
      <c r="F59" s="50">
        <v>0</v>
      </c>
      <c r="G59" s="52"/>
    </row>
    <row r="60" spans="2:7">
      <c r="B60" s="44"/>
      <c r="C60" s="53" t="s">
        <v>26</v>
      </c>
      <c r="D60" s="53"/>
      <c r="E60" s="36">
        <v>448.45431272727234</v>
      </c>
      <c r="F60" s="54">
        <v>448.45431272727234</v>
      </c>
      <c r="G60" s="52"/>
    </row>
    <row r="61" spans="2:7">
      <c r="B61" s="44">
        <v>125</v>
      </c>
      <c r="C61" s="39" t="s">
        <v>47</v>
      </c>
      <c r="D61" s="39"/>
      <c r="E61" s="36"/>
      <c r="F61" s="50"/>
      <c r="G61" s="52"/>
    </row>
    <row r="62" spans="2:7">
      <c r="B62" s="44"/>
      <c r="C62" s="48" t="s">
        <v>48</v>
      </c>
      <c r="D62" s="48"/>
      <c r="E62" s="58">
        <v>0</v>
      </c>
      <c r="F62" s="50">
        <v>0</v>
      </c>
      <c r="G62" s="52"/>
    </row>
    <row r="63" spans="2:7">
      <c r="B63" s="44"/>
      <c r="C63" s="48" t="s">
        <v>49</v>
      </c>
      <c r="D63" s="48"/>
      <c r="E63" s="58">
        <v>0</v>
      </c>
      <c r="F63" s="50">
        <v>0</v>
      </c>
      <c r="G63" s="52"/>
    </row>
    <row r="64" spans="2:7">
      <c r="B64" s="44"/>
      <c r="C64" s="48" t="s">
        <v>50</v>
      </c>
      <c r="D64" s="48"/>
      <c r="E64" s="58">
        <v>725.44080000000008</v>
      </c>
      <c r="F64" s="50">
        <v>725.44080000000008</v>
      </c>
      <c r="G64" s="52"/>
    </row>
    <row r="65" spans="2:7">
      <c r="B65" s="44"/>
      <c r="C65" s="48" t="s">
        <v>51</v>
      </c>
      <c r="D65" s="48"/>
      <c r="E65" s="58">
        <v>165.81504000000001</v>
      </c>
      <c r="F65" s="50">
        <v>165.81504000000001</v>
      </c>
      <c r="G65" s="52"/>
    </row>
    <row r="66" spans="2:7">
      <c r="B66" s="44"/>
      <c r="C66" s="53" t="s">
        <v>26</v>
      </c>
      <c r="D66" s="53"/>
      <c r="E66" s="56">
        <v>891.25584000000003</v>
      </c>
      <c r="F66" s="54">
        <v>891.25584000000003</v>
      </c>
      <c r="G66" s="52"/>
    </row>
    <row r="67" spans="2:7">
      <c r="B67" s="44">
        <v>126</v>
      </c>
      <c r="C67" s="39" t="s">
        <v>52</v>
      </c>
      <c r="D67" s="39"/>
      <c r="E67" s="56"/>
      <c r="F67" s="50"/>
      <c r="G67" s="52"/>
    </row>
    <row r="68" spans="2:7">
      <c r="B68" s="44"/>
      <c r="C68" s="48" t="s">
        <v>53</v>
      </c>
      <c r="D68" s="48"/>
      <c r="E68" s="49">
        <v>0</v>
      </c>
      <c r="F68" s="50">
        <v>0</v>
      </c>
      <c r="G68" s="52"/>
    </row>
    <row r="69" spans="2:7">
      <c r="B69" s="44"/>
      <c r="C69" s="48" t="s">
        <v>54</v>
      </c>
      <c r="D69" s="48"/>
      <c r="E69" s="49">
        <v>0</v>
      </c>
      <c r="F69" s="50"/>
      <c r="G69" s="52"/>
    </row>
    <row r="70" spans="2:7">
      <c r="B70" s="44"/>
      <c r="C70" s="48" t="s">
        <v>55</v>
      </c>
      <c r="D70" s="48"/>
      <c r="E70" s="49">
        <v>0</v>
      </c>
      <c r="F70" s="50"/>
      <c r="G70" s="52"/>
    </row>
    <row r="71" spans="2:7">
      <c r="B71" s="44"/>
      <c r="C71" s="48" t="s">
        <v>56</v>
      </c>
      <c r="D71" s="48"/>
      <c r="E71" s="49">
        <v>0</v>
      </c>
      <c r="F71" s="57"/>
      <c r="G71" s="52"/>
    </row>
    <row r="72" spans="2:7">
      <c r="B72" s="44"/>
      <c r="C72" s="53" t="s">
        <v>26</v>
      </c>
      <c r="D72" s="53"/>
      <c r="E72" s="56">
        <v>0</v>
      </c>
      <c r="F72" s="54">
        <v>0</v>
      </c>
      <c r="G72" s="52"/>
    </row>
    <row r="73" spans="2:7">
      <c r="B73" s="44">
        <v>127</v>
      </c>
      <c r="C73" s="39" t="s">
        <v>57</v>
      </c>
      <c r="D73" s="39"/>
      <c r="E73" s="56"/>
      <c r="F73" s="54"/>
      <c r="G73" s="52"/>
    </row>
    <row r="74" spans="2:7">
      <c r="B74" s="44"/>
      <c r="C74" s="48" t="s">
        <v>58</v>
      </c>
      <c r="D74" s="48"/>
      <c r="E74" s="49">
        <v>0</v>
      </c>
      <c r="F74" s="50">
        <v>0</v>
      </c>
      <c r="G74" s="52"/>
    </row>
    <row r="75" spans="2:7">
      <c r="B75" s="44"/>
      <c r="C75" s="48" t="s">
        <v>59</v>
      </c>
      <c r="D75" s="48"/>
      <c r="E75" s="49">
        <v>0</v>
      </c>
      <c r="F75" s="50">
        <v>0</v>
      </c>
      <c r="G75" s="52"/>
    </row>
    <row r="76" spans="2:7">
      <c r="B76" s="44"/>
      <c r="C76" s="48" t="s">
        <v>60</v>
      </c>
      <c r="D76" s="48"/>
      <c r="E76" s="49">
        <v>0</v>
      </c>
      <c r="F76" s="50">
        <v>0</v>
      </c>
      <c r="G76" s="52"/>
    </row>
    <row r="77" spans="2:7">
      <c r="B77" s="44"/>
      <c r="C77" s="59" t="s">
        <v>61</v>
      </c>
      <c r="D77" s="59"/>
      <c r="E77" s="49">
        <v>0</v>
      </c>
      <c r="F77" s="50">
        <v>0</v>
      </c>
      <c r="G77" s="52"/>
    </row>
    <row r="78" spans="2:7">
      <c r="B78" s="44"/>
      <c r="C78" s="53" t="s">
        <v>26</v>
      </c>
      <c r="D78" s="53"/>
      <c r="E78" s="56">
        <v>0</v>
      </c>
      <c r="F78" s="54">
        <v>0</v>
      </c>
      <c r="G78" s="52"/>
    </row>
    <row r="79" spans="2:7">
      <c r="B79" s="44">
        <v>128</v>
      </c>
      <c r="C79" s="39" t="s">
        <v>62</v>
      </c>
      <c r="D79" s="39"/>
      <c r="E79" s="56"/>
      <c r="F79" s="54"/>
      <c r="G79" s="52"/>
    </row>
    <row r="80" spans="2:7">
      <c r="B80" s="44"/>
      <c r="C80" s="48" t="s">
        <v>63</v>
      </c>
      <c r="D80" s="48"/>
      <c r="E80" s="49">
        <v>0</v>
      </c>
      <c r="F80" s="50">
        <v>0</v>
      </c>
      <c r="G80" s="52"/>
    </row>
    <row r="81" spans="2:7">
      <c r="B81" s="44"/>
      <c r="C81" s="48" t="s">
        <v>64</v>
      </c>
      <c r="D81" s="48"/>
      <c r="E81" s="49">
        <v>0</v>
      </c>
      <c r="F81" s="50">
        <v>0</v>
      </c>
      <c r="G81" s="52"/>
    </row>
    <row r="82" spans="2:7">
      <c r="B82" s="44"/>
      <c r="C82" s="48" t="s">
        <v>65</v>
      </c>
      <c r="D82" s="48"/>
      <c r="E82" s="49">
        <v>0</v>
      </c>
      <c r="F82" s="50">
        <v>0</v>
      </c>
      <c r="G82" s="52"/>
    </row>
    <row r="83" spans="2:7">
      <c r="B83" s="44"/>
      <c r="C83" s="48" t="s">
        <v>66</v>
      </c>
      <c r="D83" s="48"/>
      <c r="E83" s="49">
        <v>0</v>
      </c>
      <c r="F83" s="50">
        <v>0</v>
      </c>
      <c r="G83" s="52"/>
    </row>
    <row r="84" spans="2:7">
      <c r="B84" s="44"/>
      <c r="C84" s="48" t="s">
        <v>67</v>
      </c>
      <c r="D84" s="48"/>
      <c r="E84" s="49">
        <v>0</v>
      </c>
      <c r="F84" s="50">
        <v>0</v>
      </c>
      <c r="G84" s="52"/>
    </row>
    <row r="85" spans="2:7">
      <c r="B85" s="44"/>
      <c r="C85" s="53" t="s">
        <v>26</v>
      </c>
      <c r="D85" s="53"/>
      <c r="E85" s="56">
        <v>0</v>
      </c>
      <c r="F85" s="54">
        <v>0</v>
      </c>
      <c r="G85" s="52"/>
    </row>
    <row r="86" spans="2:7">
      <c r="B86" s="44">
        <v>135</v>
      </c>
      <c r="C86" s="39" t="s">
        <v>68</v>
      </c>
      <c r="D86" s="39"/>
      <c r="E86" s="56"/>
      <c r="F86" s="50"/>
      <c r="G86" s="52"/>
    </row>
    <row r="87" spans="2:7">
      <c r="B87" s="44"/>
      <c r="C87" s="48" t="s">
        <v>69</v>
      </c>
      <c r="D87" s="48"/>
      <c r="E87" s="49">
        <v>0</v>
      </c>
      <c r="F87" s="50">
        <v>0</v>
      </c>
      <c r="G87" s="52"/>
    </row>
    <row r="88" spans="2:7">
      <c r="B88" s="44"/>
      <c r="C88" s="48" t="s">
        <v>70</v>
      </c>
      <c r="D88" s="48"/>
      <c r="E88" s="49">
        <v>0</v>
      </c>
      <c r="F88" s="50">
        <v>0</v>
      </c>
      <c r="G88" s="52"/>
    </row>
    <row r="89" spans="2:7">
      <c r="B89" s="44"/>
      <c r="C89" s="48" t="s">
        <v>71</v>
      </c>
      <c r="D89" s="48"/>
      <c r="E89" s="49">
        <v>0</v>
      </c>
      <c r="F89" s="50">
        <v>0</v>
      </c>
      <c r="G89" s="52"/>
    </row>
    <row r="90" spans="2:7">
      <c r="B90" s="44"/>
      <c r="C90" s="48" t="s">
        <v>72</v>
      </c>
      <c r="D90" s="48"/>
      <c r="E90" s="49">
        <v>0</v>
      </c>
      <c r="F90" s="50">
        <v>0</v>
      </c>
      <c r="G90" s="52"/>
    </row>
    <row r="91" spans="2:7">
      <c r="B91" s="44"/>
      <c r="C91" s="48" t="s">
        <v>73</v>
      </c>
      <c r="D91" s="48"/>
      <c r="E91" s="49">
        <v>0</v>
      </c>
      <c r="F91" s="50">
        <v>0</v>
      </c>
      <c r="G91" s="52"/>
    </row>
    <row r="92" spans="2:7">
      <c r="B92" s="44"/>
      <c r="C92" s="48" t="s">
        <v>74</v>
      </c>
      <c r="D92" s="48"/>
      <c r="E92" s="49">
        <v>0</v>
      </c>
      <c r="F92" s="50">
        <v>0</v>
      </c>
      <c r="G92" s="52"/>
    </row>
    <row r="93" spans="2:7">
      <c r="B93" s="44"/>
      <c r="C93" s="48" t="s">
        <v>75</v>
      </c>
      <c r="D93" s="48"/>
      <c r="E93" s="49">
        <v>0</v>
      </c>
      <c r="F93" s="50">
        <v>0</v>
      </c>
      <c r="G93" s="52"/>
    </row>
    <row r="94" spans="2:7">
      <c r="B94" s="44"/>
      <c r="C94" s="48" t="s">
        <v>76</v>
      </c>
      <c r="D94" s="48"/>
      <c r="E94" s="49">
        <v>0</v>
      </c>
      <c r="F94" s="50">
        <v>0</v>
      </c>
      <c r="G94" s="52"/>
    </row>
    <row r="95" spans="2:7">
      <c r="B95" s="44"/>
      <c r="C95" s="48" t="s">
        <v>77</v>
      </c>
      <c r="D95" s="48"/>
      <c r="E95" s="49">
        <v>0</v>
      </c>
      <c r="F95" s="50">
        <v>0</v>
      </c>
      <c r="G95" s="52"/>
    </row>
    <row r="96" spans="2:7">
      <c r="B96" s="44"/>
      <c r="C96" s="53" t="s">
        <v>26</v>
      </c>
      <c r="D96" s="53"/>
      <c r="E96" s="56">
        <v>0</v>
      </c>
      <c r="F96" s="54">
        <v>0</v>
      </c>
      <c r="G96" s="52"/>
    </row>
    <row r="97" spans="2:7">
      <c r="B97" s="44">
        <v>136</v>
      </c>
      <c r="C97" s="39" t="s">
        <v>78</v>
      </c>
      <c r="D97" s="39"/>
      <c r="E97" s="56"/>
      <c r="F97" s="50"/>
      <c r="G97" s="52"/>
    </row>
    <row r="98" spans="2:7">
      <c r="B98" s="44"/>
      <c r="C98" s="48" t="s">
        <v>79</v>
      </c>
      <c r="D98" s="48"/>
      <c r="E98" s="49">
        <v>0</v>
      </c>
      <c r="F98" s="50">
        <v>0</v>
      </c>
      <c r="G98" s="52"/>
    </row>
    <row r="99" spans="2:7">
      <c r="B99" s="44"/>
      <c r="C99" s="48" t="s">
        <v>80</v>
      </c>
      <c r="D99" s="48"/>
      <c r="E99" s="49">
        <v>0</v>
      </c>
      <c r="F99" s="50">
        <v>0</v>
      </c>
      <c r="G99" s="52"/>
    </row>
    <row r="100" spans="2:7">
      <c r="B100" s="44"/>
      <c r="C100" s="48" t="s">
        <v>81</v>
      </c>
      <c r="D100" s="48"/>
      <c r="E100" s="49">
        <v>0</v>
      </c>
      <c r="F100" s="50">
        <v>0</v>
      </c>
      <c r="G100" s="52"/>
    </row>
    <row r="101" spans="2:7">
      <c r="B101" s="44"/>
      <c r="C101" s="48" t="s">
        <v>82</v>
      </c>
      <c r="D101" s="48"/>
      <c r="E101" s="49">
        <v>0</v>
      </c>
      <c r="F101" s="50">
        <v>0</v>
      </c>
      <c r="G101" s="52"/>
    </row>
    <row r="102" spans="2:7">
      <c r="B102" s="44"/>
      <c r="C102" s="48" t="s">
        <v>83</v>
      </c>
      <c r="D102" s="48"/>
      <c r="E102" s="49">
        <v>0</v>
      </c>
      <c r="F102" s="50">
        <v>0</v>
      </c>
      <c r="G102" s="52"/>
    </row>
    <row r="103" spans="2:7">
      <c r="B103" s="44"/>
      <c r="C103" s="48" t="s">
        <v>84</v>
      </c>
      <c r="D103" s="48"/>
      <c r="E103" s="49">
        <v>0</v>
      </c>
      <c r="F103" s="50">
        <v>0</v>
      </c>
      <c r="G103" s="52"/>
    </row>
    <row r="104" spans="2:7">
      <c r="B104" s="44"/>
      <c r="C104" s="53" t="s">
        <v>26</v>
      </c>
      <c r="D104" s="53"/>
      <c r="E104" s="56">
        <v>0</v>
      </c>
      <c r="F104" s="54">
        <v>0</v>
      </c>
      <c r="G104" s="52"/>
    </row>
    <row r="105" spans="2:7">
      <c r="B105" s="44">
        <v>142</v>
      </c>
      <c r="C105" s="39" t="s">
        <v>85</v>
      </c>
      <c r="D105" s="39"/>
      <c r="E105" s="56"/>
      <c r="F105" s="50"/>
      <c r="G105" s="52"/>
    </row>
    <row r="106" spans="2:7">
      <c r="B106" s="44"/>
      <c r="C106" s="48" t="s">
        <v>86</v>
      </c>
      <c r="D106" s="48"/>
      <c r="E106" s="49">
        <v>0</v>
      </c>
      <c r="F106" s="50">
        <v>0</v>
      </c>
      <c r="G106" s="52"/>
    </row>
    <row r="107" spans="2:7">
      <c r="B107" s="44"/>
      <c r="C107" s="48" t="s">
        <v>87</v>
      </c>
      <c r="D107" s="48"/>
      <c r="E107" s="49">
        <v>0</v>
      </c>
      <c r="F107" s="50">
        <v>0</v>
      </c>
      <c r="G107" s="52"/>
    </row>
    <row r="108" spans="2:7">
      <c r="B108" s="44"/>
      <c r="C108" s="53" t="s">
        <v>26</v>
      </c>
      <c r="D108" s="53"/>
      <c r="E108" s="56">
        <v>0</v>
      </c>
      <c r="F108" s="54">
        <v>0</v>
      </c>
      <c r="G108" s="52"/>
    </row>
    <row r="109" spans="2:7">
      <c r="B109" s="44">
        <v>144</v>
      </c>
      <c r="C109" s="39" t="s">
        <v>88</v>
      </c>
      <c r="D109" s="39"/>
      <c r="E109" s="49">
        <v>0</v>
      </c>
      <c r="F109" s="54">
        <v>0</v>
      </c>
      <c r="G109" s="52"/>
    </row>
    <row r="110" spans="2:7">
      <c r="B110" s="44">
        <v>221</v>
      </c>
      <c r="C110" s="39" t="s">
        <v>89</v>
      </c>
      <c r="D110" s="39"/>
      <c r="E110" s="49">
        <v>0</v>
      </c>
      <c r="F110" s="54">
        <v>0</v>
      </c>
      <c r="G110" s="52"/>
    </row>
    <row r="111" spans="2:7">
      <c r="B111" s="44">
        <v>222</v>
      </c>
      <c r="C111" s="39" t="s">
        <v>90</v>
      </c>
      <c r="D111" s="39"/>
      <c r="E111" s="49">
        <v>0</v>
      </c>
      <c r="F111" s="54">
        <v>0</v>
      </c>
      <c r="G111" s="52"/>
    </row>
    <row r="112" spans="2:7">
      <c r="B112" s="44">
        <v>224</v>
      </c>
      <c r="C112" s="39" t="s">
        <v>91</v>
      </c>
      <c r="D112" s="39"/>
      <c r="E112" s="49">
        <v>0</v>
      </c>
      <c r="F112" s="54">
        <v>0</v>
      </c>
      <c r="G112" s="52"/>
    </row>
    <row r="113" spans="2:7">
      <c r="B113" s="44">
        <v>225</v>
      </c>
      <c r="C113" s="39" t="s">
        <v>92</v>
      </c>
      <c r="D113" s="39"/>
      <c r="E113" s="49">
        <v>0</v>
      </c>
      <c r="F113" s="54">
        <v>0</v>
      </c>
      <c r="G113" s="38"/>
    </row>
    <row r="114" spans="2:7">
      <c r="B114" s="44">
        <v>226</v>
      </c>
      <c r="C114" s="39" t="s">
        <v>93</v>
      </c>
      <c r="D114" s="39"/>
      <c r="E114" s="49">
        <v>0</v>
      </c>
      <c r="F114" s="54">
        <v>0</v>
      </c>
      <c r="G114" s="60"/>
    </row>
    <row r="115" spans="2:7" ht="15.75" thickBot="1">
      <c r="B115" s="61"/>
      <c r="C115" s="62" t="s">
        <v>94</v>
      </c>
      <c r="D115" s="62"/>
      <c r="E115" s="90">
        <v>0</v>
      </c>
      <c r="F115" s="63">
        <v>0</v>
      </c>
      <c r="G115" s="38"/>
    </row>
    <row r="116" spans="2:7">
      <c r="B116" s="64"/>
      <c r="C116" s="65" t="s">
        <v>95</v>
      </c>
      <c r="D116" s="66"/>
      <c r="E116" s="91">
        <v>4145.3759999999975</v>
      </c>
      <c r="F116" s="68">
        <v>4145.3759999999975</v>
      </c>
      <c r="G116" s="69"/>
    </row>
    <row r="117" spans="2:7" ht="15.75" thickBot="1">
      <c r="B117" s="64"/>
      <c r="C117" s="70"/>
      <c r="D117" s="71"/>
      <c r="E117" s="92"/>
      <c r="F117" s="73"/>
      <c r="G117" s="69"/>
    </row>
    <row r="118" spans="2:7" ht="15.75" thickBot="1">
      <c r="B118" s="64"/>
      <c r="C118" s="70" t="s">
        <v>96</v>
      </c>
      <c r="D118" s="71"/>
      <c r="E118" s="93">
        <v>14540.2111927273</v>
      </c>
      <c r="F118" s="75">
        <v>14540.2111927273</v>
      </c>
      <c r="G118" s="76"/>
    </row>
    <row r="119" spans="2:7" ht="8.25" customHeight="1" thickBot="1">
      <c r="B119" s="77"/>
      <c r="C119" s="81"/>
      <c r="D119" s="81"/>
      <c r="E119" s="78"/>
      <c r="F119" s="78"/>
      <c r="G119" s="79"/>
    </row>
    <row r="120" spans="2:7">
      <c r="B120" s="83"/>
      <c r="C120" s="84"/>
      <c r="D120" s="84"/>
      <c r="E120" s="85"/>
      <c r="F120" s="83"/>
      <c r="G120" s="85"/>
    </row>
    <row r="121" spans="2:7" ht="6" customHeight="1" thickBot="1"/>
    <row r="122" spans="2:7">
      <c r="B122" s="1"/>
      <c r="C122" s="2"/>
      <c r="D122" s="2"/>
      <c r="E122" s="2"/>
      <c r="F122" s="2"/>
      <c r="G122" s="3"/>
    </row>
    <row r="123" spans="2:7">
      <c r="B123" s="4"/>
      <c r="C123" s="5"/>
      <c r="D123" s="5"/>
      <c r="E123" s="5"/>
      <c r="F123" s="5"/>
      <c r="G123" s="6"/>
    </row>
    <row r="124" spans="2:7">
      <c r="B124" s="4"/>
      <c r="C124" s="5"/>
      <c r="D124" s="5"/>
      <c r="E124" s="5"/>
      <c r="F124" s="5"/>
      <c r="G124" s="6"/>
    </row>
    <row r="125" spans="2:7">
      <c r="B125" s="4"/>
      <c r="C125" s="5"/>
      <c r="D125" s="5"/>
      <c r="E125" s="5"/>
      <c r="F125" s="5"/>
      <c r="G125" s="6"/>
    </row>
    <row r="126" spans="2:7">
      <c r="B126" s="4"/>
      <c r="C126" s="5"/>
      <c r="D126" s="5"/>
      <c r="E126" s="5"/>
      <c r="F126" s="5"/>
      <c r="G126" s="6"/>
    </row>
    <row r="127" spans="2:7" ht="16.5" customHeight="1">
      <c r="B127" s="4"/>
      <c r="C127" s="5"/>
      <c r="D127" s="5"/>
      <c r="E127" s="5"/>
      <c r="F127" s="5"/>
      <c r="G127" s="6"/>
    </row>
    <row r="128" spans="2:7" ht="22.5" customHeight="1" thickBot="1">
      <c r="B128" s="4"/>
      <c r="C128" s="95" t="s">
        <v>0</v>
      </c>
      <c r="D128" s="95"/>
      <c r="E128" s="95"/>
      <c r="F128" s="5"/>
      <c r="G128" s="6"/>
    </row>
    <row r="129" spans="1:7" ht="21" thickTop="1">
      <c r="B129" s="4"/>
      <c r="C129" s="7"/>
      <c r="D129" s="7"/>
      <c r="E129" s="5"/>
      <c r="F129" s="5"/>
      <c r="G129" s="6"/>
    </row>
    <row r="130" spans="1:7">
      <c r="B130" s="8" t="s">
        <v>1</v>
      </c>
      <c r="C130" s="9" t="s">
        <v>97</v>
      </c>
      <c r="D130" s="5"/>
      <c r="E130" s="10" t="s">
        <v>2</v>
      </c>
      <c r="F130" s="9" t="s">
        <v>98</v>
      </c>
      <c r="G130" s="6"/>
    </row>
    <row r="131" spans="1:7" ht="3.75" customHeight="1">
      <c r="A131" s="80"/>
      <c r="B131" s="5"/>
      <c r="C131" s="5"/>
      <c r="D131" s="5"/>
      <c r="E131" s="11"/>
      <c r="F131" s="5"/>
      <c r="G131" s="6"/>
    </row>
    <row r="132" spans="1:7">
      <c r="A132" s="80"/>
      <c r="B132" s="12" t="s">
        <v>3</v>
      </c>
      <c r="C132" s="9" t="s">
        <v>99</v>
      </c>
      <c r="D132" s="5"/>
      <c r="E132" s="10" t="s">
        <v>4</v>
      </c>
      <c r="F132" s="82" t="s">
        <v>100</v>
      </c>
      <c r="G132" s="6"/>
    </row>
    <row r="133" spans="1:7" ht="3.75" customHeight="1">
      <c r="A133" s="80"/>
      <c r="B133" s="5"/>
      <c r="C133" s="5"/>
      <c r="D133" s="5"/>
      <c r="E133" s="11"/>
      <c r="F133" s="5"/>
      <c r="G133" s="6"/>
    </row>
    <row r="134" spans="1:7">
      <c r="A134" s="80"/>
      <c r="B134" s="10" t="s">
        <v>5</v>
      </c>
      <c r="C134" s="9" t="s">
        <v>101</v>
      </c>
      <c r="D134" s="5"/>
      <c r="E134" s="10" t="s">
        <v>6</v>
      </c>
      <c r="F134" s="9" t="s">
        <v>107</v>
      </c>
      <c r="G134" s="6"/>
    </row>
    <row r="135" spans="1:7" ht="4.5" customHeight="1">
      <c r="A135" s="80"/>
      <c r="B135" s="13"/>
      <c r="C135" s="5"/>
      <c r="D135" s="5"/>
      <c r="E135" s="11"/>
      <c r="F135" s="5"/>
      <c r="G135" s="6"/>
    </row>
    <row r="136" spans="1:7">
      <c r="A136" s="80"/>
      <c r="B136" s="10" t="s">
        <v>7</v>
      </c>
      <c r="C136" s="9" t="s">
        <v>116</v>
      </c>
      <c r="D136" s="5"/>
      <c r="E136" s="11"/>
      <c r="F136" s="5"/>
      <c r="G136" s="6"/>
    </row>
    <row r="137" spans="1:7" ht="3.75" customHeight="1">
      <c r="A137" s="80"/>
      <c r="B137" s="5"/>
      <c r="C137" s="5"/>
      <c r="D137" s="5"/>
      <c r="E137" s="11"/>
      <c r="F137" s="5"/>
      <c r="G137" s="6"/>
    </row>
    <row r="138" spans="1:7">
      <c r="B138" s="14" t="s">
        <v>8</v>
      </c>
      <c r="C138" s="15" t="s">
        <v>104</v>
      </c>
      <c r="D138" s="5"/>
      <c r="E138" s="86" t="s">
        <v>109</v>
      </c>
      <c r="F138" s="87">
        <v>45323</v>
      </c>
      <c r="G138" s="6"/>
    </row>
    <row r="139" spans="1:7">
      <c r="B139" s="16" t="s">
        <v>9</v>
      </c>
      <c r="C139" s="17" t="s">
        <v>130</v>
      </c>
      <c r="D139" s="5"/>
      <c r="E139" s="88" t="s">
        <v>110</v>
      </c>
      <c r="F139" s="89">
        <v>45351</v>
      </c>
      <c r="G139" s="18"/>
    </row>
    <row r="140" spans="1:7" ht="15.75" thickBot="1">
      <c r="B140" s="4"/>
      <c r="C140" s="19"/>
      <c r="D140" s="19"/>
      <c r="E140" s="20"/>
      <c r="F140" s="21"/>
      <c r="G140" s="18"/>
    </row>
    <row r="141" spans="1:7" ht="18.75" thickBot="1">
      <c r="B141" s="4"/>
      <c r="C141" s="22" t="s">
        <v>10</v>
      </c>
      <c r="D141" s="23"/>
      <c r="E141" s="24"/>
      <c r="F141" s="25" t="s">
        <v>11</v>
      </c>
      <c r="G141" s="18"/>
    </row>
    <row r="142" spans="1:7">
      <c r="B142" s="4"/>
      <c r="C142" s="26" t="s">
        <v>12</v>
      </c>
      <c r="D142" s="26"/>
      <c r="E142" s="27">
        <v>14540.2111927273</v>
      </c>
      <c r="F142" s="28">
        <v>14540.2111927273</v>
      </c>
      <c r="G142" s="29"/>
    </row>
    <row r="143" spans="1:7">
      <c r="B143" s="30">
        <v>143</v>
      </c>
      <c r="C143" s="31" t="s">
        <v>13</v>
      </c>
      <c r="D143" s="31"/>
      <c r="E143" s="27">
        <v>5596.0880000000006</v>
      </c>
      <c r="F143" s="32">
        <v>5596.0880000000006</v>
      </c>
      <c r="G143" s="33"/>
    </row>
    <row r="144" spans="1:7">
      <c r="B144" s="30"/>
      <c r="C144" s="34" t="s">
        <v>14</v>
      </c>
      <c r="D144" s="34"/>
      <c r="E144" s="27">
        <v>0</v>
      </c>
      <c r="F144" s="32">
        <v>0</v>
      </c>
      <c r="G144" s="33"/>
    </row>
    <row r="145" spans="2:7">
      <c r="B145" s="30"/>
      <c r="C145" s="34" t="s">
        <v>15</v>
      </c>
      <c r="D145" s="34"/>
      <c r="E145" s="27">
        <v>0</v>
      </c>
      <c r="F145" s="32">
        <v>0</v>
      </c>
      <c r="G145" s="33"/>
    </row>
    <row r="146" spans="2:7">
      <c r="B146" s="30"/>
      <c r="C146" s="34" t="s">
        <v>16</v>
      </c>
      <c r="D146" s="34"/>
      <c r="E146" s="27">
        <v>0</v>
      </c>
      <c r="F146" s="32">
        <v>0</v>
      </c>
      <c r="G146" s="33"/>
    </row>
    <row r="147" spans="2:7">
      <c r="B147" s="30"/>
      <c r="C147" s="34" t="s">
        <v>17</v>
      </c>
      <c r="D147" s="34"/>
      <c r="E147" s="27">
        <v>0</v>
      </c>
      <c r="F147" s="32">
        <v>0</v>
      </c>
      <c r="G147" s="33"/>
    </row>
    <row r="148" spans="2:7">
      <c r="B148" s="30"/>
      <c r="C148" s="35" t="s">
        <v>18</v>
      </c>
      <c r="D148" s="35"/>
      <c r="E148" s="36">
        <v>20136.2991927273</v>
      </c>
      <c r="F148" s="37">
        <v>20136.2991927273</v>
      </c>
      <c r="G148" s="38"/>
    </row>
    <row r="149" spans="2:7" ht="15.75" thickBot="1">
      <c r="B149" s="30"/>
      <c r="C149" s="39"/>
      <c r="D149" s="39"/>
      <c r="E149" s="40"/>
      <c r="F149" s="41"/>
      <c r="G149" s="38"/>
    </row>
    <row r="150" spans="2:7" ht="18.75" thickBot="1">
      <c r="B150" s="30"/>
      <c r="C150" s="22" t="s">
        <v>19</v>
      </c>
      <c r="D150" s="23"/>
      <c r="E150" s="42"/>
      <c r="F150" s="43"/>
      <c r="G150" s="38"/>
    </row>
    <row r="151" spans="2:7">
      <c r="B151" s="44">
        <v>121</v>
      </c>
      <c r="C151" s="39" t="s">
        <v>20</v>
      </c>
      <c r="D151" s="39"/>
      <c r="E151" s="45"/>
      <c r="F151" s="46"/>
      <c r="G151" s="47"/>
    </row>
    <row r="152" spans="2:7">
      <c r="B152" s="44"/>
      <c r="C152" s="48" t="s">
        <v>21</v>
      </c>
      <c r="D152" s="48"/>
      <c r="E152" s="49">
        <v>0</v>
      </c>
      <c r="F152" s="50">
        <v>0</v>
      </c>
      <c r="G152" s="47"/>
    </row>
    <row r="153" spans="2:7">
      <c r="B153" s="44"/>
      <c r="C153" s="48" t="s">
        <v>22</v>
      </c>
      <c r="D153" s="48"/>
      <c r="E153" s="49">
        <v>0</v>
      </c>
      <c r="F153" s="50">
        <v>0</v>
      </c>
      <c r="G153" s="47"/>
    </row>
    <row r="154" spans="2:7">
      <c r="B154" s="51"/>
      <c r="C154" s="48" t="s">
        <v>23</v>
      </c>
      <c r="D154" s="48"/>
      <c r="E154" s="49">
        <v>0</v>
      </c>
      <c r="F154" s="50">
        <v>0</v>
      </c>
      <c r="G154" s="52"/>
    </row>
    <row r="155" spans="2:7">
      <c r="B155" s="51"/>
      <c r="C155" s="48" t="s">
        <v>24</v>
      </c>
      <c r="D155" s="48"/>
      <c r="E155" s="49">
        <v>0</v>
      </c>
      <c r="F155" s="50">
        <v>0</v>
      </c>
      <c r="G155" s="52"/>
    </row>
    <row r="156" spans="2:7">
      <c r="B156" s="44"/>
      <c r="C156" s="48" t="s">
        <v>25</v>
      </c>
      <c r="D156" s="48"/>
      <c r="E156" s="49">
        <v>0</v>
      </c>
      <c r="F156" s="50">
        <v>0</v>
      </c>
      <c r="G156" s="52"/>
    </row>
    <row r="157" spans="2:7">
      <c r="B157" s="44"/>
      <c r="C157" s="53" t="s">
        <v>26</v>
      </c>
      <c r="D157" s="53"/>
      <c r="E157" s="36">
        <v>0</v>
      </c>
      <c r="F157" s="54">
        <v>0</v>
      </c>
      <c r="G157" s="52"/>
    </row>
    <row r="158" spans="2:7">
      <c r="B158" s="44">
        <v>122</v>
      </c>
      <c r="C158" s="39" t="s">
        <v>27</v>
      </c>
      <c r="D158" s="39"/>
      <c r="E158" s="36"/>
      <c r="F158" s="50"/>
      <c r="G158" s="55"/>
    </row>
    <row r="159" spans="2:7">
      <c r="B159" s="44"/>
      <c r="C159" s="48" t="s">
        <v>28</v>
      </c>
      <c r="D159" s="48"/>
      <c r="E159" s="49">
        <v>0</v>
      </c>
      <c r="F159" s="50">
        <v>0</v>
      </c>
      <c r="G159" s="52"/>
    </row>
    <row r="160" spans="2:7">
      <c r="B160" s="44"/>
      <c r="C160" s="48" t="s">
        <v>29</v>
      </c>
      <c r="D160" s="48"/>
      <c r="E160" s="49">
        <v>0</v>
      </c>
      <c r="F160" s="50">
        <v>0</v>
      </c>
      <c r="G160" s="52"/>
    </row>
    <row r="161" spans="2:7">
      <c r="B161" s="44"/>
      <c r="C161" s="48" t="s">
        <v>30</v>
      </c>
      <c r="D161" s="48"/>
      <c r="E161" s="49">
        <v>0</v>
      </c>
      <c r="F161" s="50">
        <v>0</v>
      </c>
      <c r="G161" s="52"/>
    </row>
    <row r="162" spans="2:7">
      <c r="B162" s="44"/>
      <c r="C162" s="48" t="s">
        <v>31</v>
      </c>
      <c r="D162" s="48"/>
      <c r="E162" s="49">
        <v>0</v>
      </c>
      <c r="F162" s="50">
        <v>0</v>
      </c>
      <c r="G162" s="52"/>
    </row>
    <row r="163" spans="2:7">
      <c r="B163" s="44"/>
      <c r="C163" s="48" t="s">
        <v>32</v>
      </c>
      <c r="D163" s="48"/>
      <c r="E163" s="49">
        <v>108.5334807272726</v>
      </c>
      <c r="F163" s="50">
        <v>108.5334807272726</v>
      </c>
      <c r="G163" s="52"/>
    </row>
    <row r="164" spans="2:7">
      <c r="B164" s="44"/>
      <c r="C164" s="48" t="s">
        <v>33</v>
      </c>
      <c r="D164" s="48"/>
      <c r="E164" s="49">
        <v>0</v>
      </c>
      <c r="F164" s="50">
        <v>0</v>
      </c>
      <c r="G164" s="52"/>
    </row>
    <row r="165" spans="2:7">
      <c r="B165" s="44"/>
      <c r="C165" s="48" t="s">
        <v>34</v>
      </c>
      <c r="D165" s="48"/>
      <c r="E165" s="49">
        <v>0</v>
      </c>
      <c r="F165" s="50">
        <v>0</v>
      </c>
      <c r="G165" s="52"/>
    </row>
    <row r="166" spans="2:7">
      <c r="B166" s="44"/>
      <c r="C166" s="48" t="s">
        <v>35</v>
      </c>
      <c r="D166" s="48"/>
      <c r="E166" s="49">
        <v>0</v>
      </c>
      <c r="F166" s="50">
        <v>0</v>
      </c>
      <c r="G166" s="52"/>
    </row>
    <row r="167" spans="2:7">
      <c r="B167" s="44"/>
      <c r="C167" s="53" t="s">
        <v>26</v>
      </c>
      <c r="D167" s="53"/>
      <c r="E167" s="36">
        <v>108.5334807272726</v>
      </c>
      <c r="F167" s="54">
        <v>108.5334807272726</v>
      </c>
      <c r="G167" s="52"/>
    </row>
    <row r="168" spans="2:7">
      <c r="B168" s="44">
        <v>123</v>
      </c>
      <c r="C168" s="39" t="s">
        <v>36</v>
      </c>
      <c r="D168" s="39"/>
      <c r="E168" s="56"/>
      <c r="F168" s="57"/>
      <c r="G168" s="52"/>
    </row>
    <row r="169" spans="2:7">
      <c r="B169" s="44"/>
      <c r="C169" s="48" t="s">
        <v>37</v>
      </c>
      <c r="D169" s="48"/>
      <c r="E169" s="49">
        <v>108.5334807272726</v>
      </c>
      <c r="F169" s="50">
        <v>108.5334807272726</v>
      </c>
      <c r="G169" s="52"/>
    </row>
    <row r="170" spans="2:7">
      <c r="B170" s="44"/>
      <c r="C170" s="48" t="s">
        <v>38</v>
      </c>
      <c r="D170" s="48"/>
      <c r="E170" s="49">
        <v>0</v>
      </c>
      <c r="F170" s="50">
        <v>0</v>
      </c>
      <c r="G170" s="52"/>
    </row>
    <row r="171" spans="2:7">
      <c r="B171" s="44"/>
      <c r="C171" s="48" t="s">
        <v>39</v>
      </c>
      <c r="D171" s="48"/>
      <c r="E171" s="49">
        <v>940.62349963636279</v>
      </c>
      <c r="F171" s="50">
        <v>940.62349963636279</v>
      </c>
      <c r="G171" s="52"/>
    </row>
    <row r="172" spans="2:7">
      <c r="B172" s="44"/>
      <c r="C172" s="48" t="s">
        <v>40</v>
      </c>
      <c r="D172" s="48"/>
      <c r="E172" s="49">
        <v>0</v>
      </c>
      <c r="F172" s="50">
        <v>0</v>
      </c>
      <c r="G172" s="52"/>
    </row>
    <row r="173" spans="2:7">
      <c r="B173" s="44"/>
      <c r="C173" s="48" t="s">
        <v>41</v>
      </c>
      <c r="D173" s="48"/>
      <c r="E173" s="49">
        <v>0</v>
      </c>
      <c r="F173" s="50">
        <v>0</v>
      </c>
      <c r="G173" s="52"/>
    </row>
    <row r="174" spans="2:7">
      <c r="B174" s="44"/>
      <c r="C174" s="48" t="s">
        <v>42</v>
      </c>
      <c r="D174" s="48"/>
      <c r="E174" s="49">
        <v>217.06696145454521</v>
      </c>
      <c r="F174" s="50">
        <v>217.06696145454521</v>
      </c>
      <c r="G174" s="52"/>
    </row>
    <row r="175" spans="2:7">
      <c r="B175" s="44"/>
      <c r="C175" s="53" t="s">
        <v>26</v>
      </c>
      <c r="D175" s="53"/>
      <c r="E175" s="36">
        <v>1266.2239418181805</v>
      </c>
      <c r="F175" s="54">
        <v>1266.2239418181805</v>
      </c>
      <c r="G175" s="52"/>
    </row>
    <row r="176" spans="2:7">
      <c r="B176" s="44">
        <v>124</v>
      </c>
      <c r="C176" s="39" t="s">
        <v>43</v>
      </c>
      <c r="D176" s="39"/>
      <c r="E176" s="56"/>
      <c r="F176" s="57"/>
      <c r="G176" s="52"/>
    </row>
    <row r="177" spans="2:7">
      <c r="B177" s="44"/>
      <c r="C177" s="48" t="s">
        <v>44</v>
      </c>
      <c r="D177" s="48"/>
      <c r="E177" s="49">
        <v>165.81503999999998</v>
      </c>
      <c r="F177" s="50">
        <v>165.81503999999998</v>
      </c>
      <c r="G177" s="52"/>
    </row>
    <row r="178" spans="2:7">
      <c r="B178" s="44"/>
      <c r="C178" s="48" t="s">
        <v>45</v>
      </c>
      <c r="D178" s="48"/>
      <c r="E178" s="49">
        <v>0</v>
      </c>
      <c r="F178" s="50">
        <v>0</v>
      </c>
      <c r="G178" s="52"/>
    </row>
    <row r="179" spans="2:7">
      <c r="B179" s="44"/>
      <c r="C179" s="48" t="s">
        <v>46</v>
      </c>
      <c r="D179" s="48"/>
      <c r="E179" s="49">
        <v>0</v>
      </c>
      <c r="F179" s="50">
        <v>0</v>
      </c>
      <c r="G179" s="52"/>
    </row>
    <row r="180" spans="2:7">
      <c r="B180" s="44"/>
      <c r="C180" s="53" t="s">
        <v>26</v>
      </c>
      <c r="D180" s="53"/>
      <c r="E180" s="36">
        <v>165.81503999999998</v>
      </c>
      <c r="F180" s="54">
        <v>165.81503999999998</v>
      </c>
      <c r="G180" s="52"/>
    </row>
    <row r="181" spans="2:7">
      <c r="B181" s="44">
        <v>125</v>
      </c>
      <c r="C181" s="39" t="s">
        <v>47</v>
      </c>
      <c r="D181" s="39"/>
      <c r="E181" s="36"/>
      <c r="F181" s="50"/>
      <c r="G181" s="52"/>
    </row>
    <row r="182" spans="2:7">
      <c r="B182" s="44"/>
      <c r="C182" s="48" t="s">
        <v>48</v>
      </c>
      <c r="D182" s="48"/>
      <c r="E182" s="58">
        <v>0</v>
      </c>
      <c r="F182" s="50">
        <v>0</v>
      </c>
      <c r="G182" s="52"/>
    </row>
    <row r="183" spans="2:7">
      <c r="B183" s="44"/>
      <c r="C183" s="48" t="s">
        <v>49</v>
      </c>
      <c r="D183" s="48"/>
      <c r="E183" s="58">
        <v>0</v>
      </c>
      <c r="F183" s="50">
        <v>0</v>
      </c>
      <c r="G183" s="52"/>
    </row>
    <row r="184" spans="2:7">
      <c r="B184" s="44"/>
      <c r="C184" s="48" t="s">
        <v>50</v>
      </c>
      <c r="D184" s="48"/>
      <c r="E184" s="58">
        <v>132.65203199999999</v>
      </c>
      <c r="F184" s="50">
        <v>132.65203199999999</v>
      </c>
      <c r="G184" s="52"/>
    </row>
    <row r="185" spans="2:7">
      <c r="B185" s="44"/>
      <c r="C185" s="48" t="s">
        <v>51</v>
      </c>
      <c r="D185" s="48"/>
      <c r="E185" s="58">
        <v>0</v>
      </c>
      <c r="F185" s="50">
        <v>0</v>
      </c>
      <c r="G185" s="52"/>
    </row>
    <row r="186" spans="2:7">
      <c r="B186" s="44"/>
      <c r="C186" s="53" t="s">
        <v>26</v>
      </c>
      <c r="D186" s="53"/>
      <c r="E186" s="56">
        <v>132.65203199999999</v>
      </c>
      <c r="F186" s="54">
        <v>132.65203199999999</v>
      </c>
      <c r="G186" s="52"/>
    </row>
    <row r="187" spans="2:7">
      <c r="B187" s="44">
        <v>126</v>
      </c>
      <c r="C187" s="39" t="s">
        <v>52</v>
      </c>
      <c r="D187" s="39"/>
      <c r="E187" s="56"/>
      <c r="F187" s="50"/>
      <c r="G187" s="52"/>
    </row>
    <row r="188" spans="2:7">
      <c r="B188" s="44"/>
      <c r="C188" s="48" t="s">
        <v>53</v>
      </c>
      <c r="D188" s="48"/>
      <c r="E188" s="49">
        <v>0</v>
      </c>
      <c r="F188" s="50">
        <v>0</v>
      </c>
      <c r="G188" s="52"/>
    </row>
    <row r="189" spans="2:7">
      <c r="B189" s="44"/>
      <c r="C189" s="48" t="s">
        <v>54</v>
      </c>
      <c r="D189" s="48"/>
      <c r="E189" s="49">
        <v>0</v>
      </c>
      <c r="F189" s="50"/>
      <c r="G189" s="52"/>
    </row>
    <row r="190" spans="2:7">
      <c r="B190" s="44"/>
      <c r="C190" s="48" t="s">
        <v>55</v>
      </c>
      <c r="D190" s="48"/>
      <c r="E190" s="49">
        <v>0</v>
      </c>
      <c r="F190" s="50"/>
      <c r="G190" s="52"/>
    </row>
    <row r="191" spans="2:7">
      <c r="B191" s="44"/>
      <c r="C191" s="48" t="s">
        <v>56</v>
      </c>
      <c r="D191" s="48"/>
      <c r="E191" s="49">
        <v>0</v>
      </c>
      <c r="F191" s="57"/>
      <c r="G191" s="52"/>
    </row>
    <row r="192" spans="2:7">
      <c r="B192" s="44"/>
      <c r="C192" s="53" t="s">
        <v>26</v>
      </c>
      <c r="D192" s="53"/>
      <c r="E192" s="56">
        <v>0</v>
      </c>
      <c r="F192" s="54">
        <v>0</v>
      </c>
      <c r="G192" s="52"/>
    </row>
    <row r="193" spans="2:7">
      <c r="B193" s="44">
        <v>127</v>
      </c>
      <c r="C193" s="39" t="s">
        <v>57</v>
      </c>
      <c r="D193" s="39"/>
      <c r="E193" s="56"/>
      <c r="F193" s="54"/>
      <c r="G193" s="52"/>
    </row>
    <row r="194" spans="2:7">
      <c r="B194" s="44"/>
      <c r="C194" s="48" t="s">
        <v>58</v>
      </c>
      <c r="D194" s="48"/>
      <c r="E194" s="49">
        <v>0</v>
      </c>
      <c r="F194" s="50">
        <v>0</v>
      </c>
      <c r="G194" s="52"/>
    </row>
    <row r="195" spans="2:7">
      <c r="B195" s="44"/>
      <c r="C195" s="48" t="s">
        <v>59</v>
      </c>
      <c r="D195" s="48"/>
      <c r="E195" s="49">
        <v>0</v>
      </c>
      <c r="F195" s="50">
        <v>0</v>
      </c>
      <c r="G195" s="52"/>
    </row>
    <row r="196" spans="2:7">
      <c r="B196" s="44"/>
      <c r="C196" s="48" t="s">
        <v>60</v>
      </c>
      <c r="D196" s="48"/>
      <c r="E196" s="49">
        <v>0</v>
      </c>
      <c r="F196" s="50">
        <v>0</v>
      </c>
      <c r="G196" s="52"/>
    </row>
    <row r="197" spans="2:7">
      <c r="B197" s="44"/>
      <c r="C197" s="59" t="s">
        <v>61</v>
      </c>
      <c r="D197" s="59"/>
      <c r="E197" s="49">
        <v>0</v>
      </c>
      <c r="F197" s="50">
        <v>0</v>
      </c>
      <c r="G197" s="52"/>
    </row>
    <row r="198" spans="2:7">
      <c r="B198" s="44"/>
      <c r="C198" s="53" t="s">
        <v>26</v>
      </c>
      <c r="D198" s="53"/>
      <c r="E198" s="56">
        <v>0</v>
      </c>
      <c r="F198" s="54">
        <v>0</v>
      </c>
      <c r="G198" s="52"/>
    </row>
    <row r="199" spans="2:7">
      <c r="B199" s="44">
        <v>128</v>
      </c>
      <c r="C199" s="39" t="s">
        <v>62</v>
      </c>
      <c r="D199" s="39"/>
      <c r="E199" s="56"/>
      <c r="F199" s="54"/>
      <c r="G199" s="52"/>
    </row>
    <row r="200" spans="2:7">
      <c r="B200" s="44"/>
      <c r="C200" s="48" t="s">
        <v>63</v>
      </c>
      <c r="D200" s="48"/>
      <c r="E200" s="49">
        <v>0</v>
      </c>
      <c r="F200" s="50">
        <v>0</v>
      </c>
      <c r="G200" s="52"/>
    </row>
    <row r="201" spans="2:7">
      <c r="B201" s="44"/>
      <c r="C201" s="48" t="s">
        <v>64</v>
      </c>
      <c r="D201" s="48"/>
      <c r="E201" s="49">
        <v>0</v>
      </c>
      <c r="F201" s="50">
        <v>0</v>
      </c>
      <c r="G201" s="52"/>
    </row>
    <row r="202" spans="2:7">
      <c r="B202" s="44"/>
      <c r="C202" s="48" t="s">
        <v>65</v>
      </c>
      <c r="D202" s="48"/>
      <c r="E202" s="49">
        <v>397.95609599999995</v>
      </c>
      <c r="F202" s="50">
        <v>397.95609599999995</v>
      </c>
      <c r="G202" s="52"/>
    </row>
    <row r="203" spans="2:7">
      <c r="B203" s="44"/>
      <c r="C203" s="48" t="s">
        <v>66</v>
      </c>
      <c r="D203" s="48"/>
      <c r="E203" s="49">
        <v>0</v>
      </c>
      <c r="F203" s="50">
        <v>0</v>
      </c>
      <c r="G203" s="52"/>
    </row>
    <row r="204" spans="2:7">
      <c r="B204" s="44"/>
      <c r="C204" s="48" t="s">
        <v>67</v>
      </c>
      <c r="D204" s="48"/>
      <c r="E204" s="49">
        <v>0</v>
      </c>
      <c r="F204" s="50">
        <v>0</v>
      </c>
      <c r="G204" s="52"/>
    </row>
    <row r="205" spans="2:7">
      <c r="B205" s="44"/>
      <c r="C205" s="53" t="s">
        <v>26</v>
      </c>
      <c r="D205" s="53"/>
      <c r="E205" s="56">
        <v>397.95609599999995</v>
      </c>
      <c r="F205" s="54">
        <v>397.95609599999995</v>
      </c>
      <c r="G205" s="52"/>
    </row>
    <row r="206" spans="2:7">
      <c r="B206" s="44">
        <v>135</v>
      </c>
      <c r="C206" s="39" t="s">
        <v>68</v>
      </c>
      <c r="D206" s="39"/>
      <c r="E206" s="56"/>
      <c r="F206" s="50"/>
      <c r="G206" s="52"/>
    </row>
    <row r="207" spans="2:7">
      <c r="B207" s="44"/>
      <c r="C207" s="48" t="s">
        <v>69</v>
      </c>
      <c r="D207" s="48"/>
      <c r="E207" s="49">
        <v>0</v>
      </c>
      <c r="F207" s="50">
        <v>0</v>
      </c>
      <c r="G207" s="52"/>
    </row>
    <row r="208" spans="2:7">
      <c r="B208" s="44"/>
      <c r="C208" s="48" t="s">
        <v>70</v>
      </c>
      <c r="D208" s="48"/>
      <c r="E208" s="49">
        <v>0</v>
      </c>
      <c r="F208" s="50">
        <v>0</v>
      </c>
      <c r="G208" s="52"/>
    </row>
    <row r="209" spans="2:7">
      <c r="B209" s="44"/>
      <c r="C209" s="48" t="s">
        <v>71</v>
      </c>
      <c r="D209" s="48"/>
      <c r="E209" s="49">
        <v>0</v>
      </c>
      <c r="F209" s="50">
        <v>0</v>
      </c>
      <c r="G209" s="52"/>
    </row>
    <row r="210" spans="2:7">
      <c r="B210" s="44"/>
      <c r="C210" s="48" t="s">
        <v>72</v>
      </c>
      <c r="D210" s="48"/>
      <c r="E210" s="49">
        <v>0</v>
      </c>
      <c r="F210" s="50">
        <v>0</v>
      </c>
      <c r="G210" s="52"/>
    </row>
    <row r="211" spans="2:7">
      <c r="B211" s="44"/>
      <c r="C211" s="48" t="s">
        <v>73</v>
      </c>
      <c r="D211" s="48"/>
      <c r="E211" s="49">
        <v>217.06696145454521</v>
      </c>
      <c r="F211" s="50">
        <v>217.06696145454521</v>
      </c>
      <c r="G211" s="52"/>
    </row>
    <row r="212" spans="2:7">
      <c r="B212" s="44"/>
      <c r="C212" s="48" t="s">
        <v>74</v>
      </c>
      <c r="D212" s="48"/>
      <c r="E212" s="49">
        <v>0</v>
      </c>
      <c r="F212" s="50">
        <v>0</v>
      </c>
      <c r="G212" s="52"/>
    </row>
    <row r="213" spans="2:7">
      <c r="B213" s="44"/>
      <c r="C213" s="48" t="s">
        <v>75</v>
      </c>
      <c r="D213" s="48"/>
      <c r="E213" s="49">
        <v>1028.0532479999999</v>
      </c>
      <c r="F213" s="50">
        <v>1028.0532479999999</v>
      </c>
      <c r="G213" s="52"/>
    </row>
    <row r="214" spans="2:7">
      <c r="B214" s="44"/>
      <c r="C214" s="48" t="s">
        <v>76</v>
      </c>
      <c r="D214" s="48"/>
      <c r="E214" s="49">
        <v>0</v>
      </c>
      <c r="F214" s="50">
        <v>0</v>
      </c>
      <c r="G214" s="52"/>
    </row>
    <row r="215" spans="2:7">
      <c r="B215" s="44"/>
      <c r="C215" s="48" t="s">
        <v>77</v>
      </c>
      <c r="D215" s="48"/>
      <c r="E215" s="49">
        <v>0</v>
      </c>
      <c r="F215" s="50">
        <v>0</v>
      </c>
      <c r="G215" s="52"/>
    </row>
    <row r="216" spans="2:7">
      <c r="B216" s="44"/>
      <c r="C216" s="53" t="s">
        <v>26</v>
      </c>
      <c r="D216" s="53"/>
      <c r="E216" s="56">
        <v>1245.1202094545451</v>
      </c>
      <c r="F216" s="54">
        <v>1245.1202094545451</v>
      </c>
      <c r="G216" s="52"/>
    </row>
    <row r="217" spans="2:7">
      <c r="B217" s="44">
        <v>136</v>
      </c>
      <c r="C217" s="39" t="s">
        <v>78</v>
      </c>
      <c r="D217" s="39"/>
      <c r="E217" s="56"/>
      <c r="F217" s="50"/>
      <c r="G217" s="52"/>
    </row>
    <row r="218" spans="2:7">
      <c r="B218" s="44"/>
      <c r="C218" s="48" t="s">
        <v>79</v>
      </c>
      <c r="D218" s="48"/>
      <c r="E218" s="49">
        <v>0</v>
      </c>
      <c r="F218" s="50">
        <v>0</v>
      </c>
      <c r="G218" s="52"/>
    </row>
    <row r="219" spans="2:7">
      <c r="B219" s="44"/>
      <c r="C219" s="48" t="s">
        <v>80</v>
      </c>
      <c r="D219" s="48"/>
      <c r="E219" s="49">
        <v>0</v>
      </c>
      <c r="F219" s="50">
        <v>0</v>
      </c>
      <c r="G219" s="52"/>
    </row>
    <row r="220" spans="2:7">
      <c r="B220" s="44"/>
      <c r="C220" s="48" t="s">
        <v>81</v>
      </c>
      <c r="D220" s="48"/>
      <c r="E220" s="49">
        <v>0</v>
      </c>
      <c r="F220" s="50">
        <v>0</v>
      </c>
      <c r="G220" s="52"/>
    </row>
    <row r="221" spans="2:7">
      <c r="B221" s="44"/>
      <c r="C221" s="48" t="s">
        <v>82</v>
      </c>
      <c r="D221" s="48"/>
      <c r="E221" s="49">
        <v>0</v>
      </c>
      <c r="F221" s="50">
        <v>0</v>
      </c>
      <c r="G221" s="52"/>
    </row>
    <row r="222" spans="2:7">
      <c r="B222" s="44"/>
      <c r="C222" s="48" t="s">
        <v>83</v>
      </c>
      <c r="D222" s="48"/>
      <c r="E222" s="49">
        <v>0</v>
      </c>
      <c r="F222" s="50">
        <v>0</v>
      </c>
      <c r="G222" s="52"/>
    </row>
    <row r="223" spans="2:7">
      <c r="B223" s="44"/>
      <c r="C223" s="48" t="s">
        <v>84</v>
      </c>
      <c r="D223" s="48"/>
      <c r="E223" s="49">
        <v>0</v>
      </c>
      <c r="F223" s="50">
        <v>0</v>
      </c>
      <c r="G223" s="52"/>
    </row>
    <row r="224" spans="2:7">
      <c r="B224" s="44"/>
      <c r="C224" s="53" t="s">
        <v>26</v>
      </c>
      <c r="D224" s="53"/>
      <c r="E224" s="56">
        <v>0</v>
      </c>
      <c r="F224" s="54">
        <v>0</v>
      </c>
      <c r="G224" s="52"/>
    </row>
    <row r="225" spans="2:7">
      <c r="B225" s="44">
        <v>142</v>
      </c>
      <c r="C225" s="39" t="s">
        <v>85</v>
      </c>
      <c r="D225" s="39"/>
      <c r="E225" s="56"/>
      <c r="F225" s="50"/>
      <c r="G225" s="52"/>
    </row>
    <row r="226" spans="2:7">
      <c r="B226" s="44"/>
      <c r="C226" s="48" t="s">
        <v>86</v>
      </c>
      <c r="D226" s="48"/>
      <c r="E226" s="49">
        <v>0</v>
      </c>
      <c r="F226" s="50">
        <v>0</v>
      </c>
      <c r="G226" s="52"/>
    </row>
    <row r="227" spans="2:7">
      <c r="B227" s="44"/>
      <c r="C227" s="48" t="s">
        <v>87</v>
      </c>
      <c r="D227" s="48"/>
      <c r="E227" s="49">
        <v>0</v>
      </c>
      <c r="F227" s="50">
        <v>0</v>
      </c>
      <c r="G227" s="52"/>
    </row>
    <row r="228" spans="2:7">
      <c r="B228" s="44"/>
      <c r="C228" s="53" t="s">
        <v>26</v>
      </c>
      <c r="D228" s="53"/>
      <c r="E228" s="56">
        <v>0</v>
      </c>
      <c r="F228" s="54">
        <v>0</v>
      </c>
      <c r="G228" s="52"/>
    </row>
    <row r="229" spans="2:7">
      <c r="B229" s="44">
        <v>144</v>
      </c>
      <c r="C229" s="39" t="s">
        <v>88</v>
      </c>
      <c r="D229" s="39"/>
      <c r="E229" s="49">
        <v>0</v>
      </c>
      <c r="F229" s="54">
        <v>0</v>
      </c>
      <c r="G229" s="52"/>
    </row>
    <row r="230" spans="2:7">
      <c r="B230" s="44">
        <v>221</v>
      </c>
      <c r="C230" s="39" t="s">
        <v>89</v>
      </c>
      <c r="D230" s="39"/>
      <c r="E230" s="49">
        <v>0</v>
      </c>
      <c r="F230" s="54">
        <v>0</v>
      </c>
      <c r="G230" s="52"/>
    </row>
    <row r="231" spans="2:7">
      <c r="B231" s="44">
        <v>222</v>
      </c>
      <c r="C231" s="39" t="s">
        <v>90</v>
      </c>
      <c r="D231" s="39"/>
      <c r="E231" s="49">
        <v>0</v>
      </c>
      <c r="F231" s="54">
        <v>0</v>
      </c>
      <c r="G231" s="52"/>
    </row>
    <row r="232" spans="2:7">
      <c r="B232" s="44">
        <v>224</v>
      </c>
      <c r="C232" s="39" t="s">
        <v>91</v>
      </c>
      <c r="D232" s="39"/>
      <c r="E232" s="49">
        <v>0</v>
      </c>
      <c r="F232" s="54">
        <v>0</v>
      </c>
      <c r="G232" s="52"/>
    </row>
    <row r="233" spans="2:7">
      <c r="B233" s="44">
        <v>225</v>
      </c>
      <c r="C233" s="39" t="s">
        <v>92</v>
      </c>
      <c r="D233" s="39"/>
      <c r="E233" s="49">
        <v>0</v>
      </c>
      <c r="F233" s="54">
        <v>0</v>
      </c>
      <c r="G233" s="38"/>
    </row>
    <row r="234" spans="2:7">
      <c r="B234" s="44">
        <v>226</v>
      </c>
      <c r="C234" s="39" t="s">
        <v>93</v>
      </c>
      <c r="D234" s="39"/>
      <c r="E234" s="49">
        <v>0</v>
      </c>
      <c r="F234" s="54">
        <v>0</v>
      </c>
      <c r="G234" s="60"/>
    </row>
    <row r="235" spans="2:7" ht="15.75" thickBot="1">
      <c r="B235" s="61"/>
      <c r="C235" s="62" t="s">
        <v>94</v>
      </c>
      <c r="D235" s="62"/>
      <c r="E235" s="94">
        <v>0</v>
      </c>
      <c r="F235" s="63">
        <v>0</v>
      </c>
      <c r="G235" s="38"/>
    </row>
    <row r="236" spans="2:7">
      <c r="B236" s="64"/>
      <c r="C236" s="65" t="s">
        <v>95</v>
      </c>
      <c r="D236" s="66"/>
      <c r="E236" s="67">
        <v>3316.3007999999982</v>
      </c>
      <c r="F236" s="68">
        <v>3316.3007999999982</v>
      </c>
      <c r="G236" s="69"/>
    </row>
    <row r="237" spans="2:7" ht="15.75" thickBot="1">
      <c r="B237" s="64"/>
      <c r="C237" s="70"/>
      <c r="D237" s="71"/>
      <c r="E237" s="72"/>
      <c r="F237" s="73"/>
      <c r="G237" s="69"/>
    </row>
    <row r="238" spans="2:7" ht="15.75" thickBot="1">
      <c r="B238" s="64"/>
      <c r="C238" s="70" t="s">
        <v>96</v>
      </c>
      <c r="D238" s="71"/>
      <c r="E238" s="74">
        <v>16819.998392727302</v>
      </c>
      <c r="F238" s="75">
        <v>16819.998392727302</v>
      </c>
      <c r="G238" s="76"/>
    </row>
    <row r="239" spans="2:7" ht="8.25" customHeight="1" thickBot="1">
      <c r="B239" s="77"/>
      <c r="C239" s="81"/>
      <c r="D239" s="81"/>
      <c r="E239" s="78"/>
      <c r="F239" s="78"/>
      <c r="G239" s="79"/>
    </row>
    <row r="240" spans="2:7">
      <c r="B240" s="85"/>
      <c r="C240" s="84"/>
      <c r="D240" s="84"/>
      <c r="E240" s="85"/>
      <c r="F240" s="85"/>
      <c r="G240" s="85"/>
    </row>
    <row r="241" spans="1:7" ht="6" customHeight="1" thickBot="1"/>
    <row r="242" spans="1:7">
      <c r="B242" s="1"/>
      <c r="C242" s="2"/>
      <c r="D242" s="2"/>
      <c r="E242" s="2"/>
      <c r="F242" s="2"/>
      <c r="G242" s="3"/>
    </row>
    <row r="243" spans="1:7">
      <c r="B243" s="4"/>
      <c r="C243" s="5"/>
      <c r="D243" s="5"/>
      <c r="E243" s="5"/>
      <c r="F243" s="5"/>
      <c r="G243" s="6"/>
    </row>
    <row r="244" spans="1:7">
      <c r="B244" s="4"/>
      <c r="C244" s="5"/>
      <c r="D244" s="5"/>
      <c r="E244" s="5"/>
      <c r="F244" s="5"/>
      <c r="G244" s="6"/>
    </row>
    <row r="245" spans="1:7">
      <c r="B245" s="4"/>
      <c r="C245" s="5"/>
      <c r="D245" s="5"/>
      <c r="E245" s="5"/>
      <c r="F245" s="5"/>
      <c r="G245" s="6"/>
    </row>
    <row r="246" spans="1:7">
      <c r="B246" s="4"/>
      <c r="C246" s="5"/>
      <c r="D246" s="5"/>
      <c r="E246" s="5"/>
      <c r="F246" s="5"/>
      <c r="G246" s="6"/>
    </row>
    <row r="247" spans="1:7" ht="16.5" customHeight="1">
      <c r="B247" s="4"/>
      <c r="C247" s="5"/>
      <c r="D247" s="5"/>
      <c r="E247" s="5"/>
      <c r="F247" s="5"/>
      <c r="G247" s="6"/>
    </row>
    <row r="248" spans="1:7" ht="22.5" customHeight="1" thickBot="1">
      <c r="B248" s="4"/>
      <c r="C248" s="95" t="s">
        <v>0</v>
      </c>
      <c r="D248" s="95"/>
      <c r="E248" s="95"/>
      <c r="F248" s="5"/>
      <c r="G248" s="6"/>
    </row>
    <row r="249" spans="1:7" ht="21" thickTop="1">
      <c r="B249" s="4"/>
      <c r="C249" s="7"/>
      <c r="D249" s="7"/>
      <c r="E249" s="5"/>
      <c r="F249" s="5"/>
      <c r="G249" s="6"/>
    </row>
    <row r="250" spans="1:7">
      <c r="B250" s="8" t="s">
        <v>1</v>
      </c>
      <c r="C250" s="9" t="s">
        <v>97</v>
      </c>
      <c r="D250" s="5"/>
      <c r="E250" s="10" t="s">
        <v>2</v>
      </c>
      <c r="F250" s="9" t="s">
        <v>98</v>
      </c>
      <c r="G250" s="6"/>
    </row>
    <row r="251" spans="1:7" ht="3.75" customHeight="1">
      <c r="A251" s="80"/>
      <c r="B251" s="5"/>
      <c r="C251" s="5"/>
      <c r="D251" s="5"/>
      <c r="E251" s="11"/>
      <c r="F251" s="5"/>
      <c r="G251" s="6"/>
    </row>
    <row r="252" spans="1:7">
      <c r="A252" s="80"/>
      <c r="B252" s="12" t="s">
        <v>3</v>
      </c>
      <c r="C252" s="9" t="s">
        <v>99</v>
      </c>
      <c r="D252" s="5"/>
      <c r="E252" s="10" t="s">
        <v>4</v>
      </c>
      <c r="F252" s="82" t="s">
        <v>100</v>
      </c>
      <c r="G252" s="6"/>
    </row>
    <row r="253" spans="1:7" ht="3.75" customHeight="1">
      <c r="A253" s="80"/>
      <c r="B253" s="5"/>
      <c r="C253" s="5"/>
      <c r="D253" s="5"/>
      <c r="E253" s="11"/>
      <c r="F253" s="5"/>
      <c r="G253" s="6"/>
    </row>
    <row r="254" spans="1:7">
      <c r="A254" s="80"/>
      <c r="B254" s="10" t="s">
        <v>5</v>
      </c>
      <c r="C254" s="9" t="s">
        <v>101</v>
      </c>
      <c r="D254" s="5"/>
      <c r="E254" s="10" t="s">
        <v>6</v>
      </c>
      <c r="F254" s="9" t="s">
        <v>107</v>
      </c>
      <c r="G254" s="6"/>
    </row>
    <row r="255" spans="1:7" ht="4.5" customHeight="1">
      <c r="A255" s="80"/>
      <c r="B255" s="13"/>
      <c r="C255" s="5"/>
      <c r="D255" s="5"/>
      <c r="E255" s="11"/>
      <c r="F255" s="5"/>
      <c r="G255" s="6"/>
    </row>
    <row r="256" spans="1:7">
      <c r="A256" s="80"/>
      <c r="B256" s="10" t="s">
        <v>7</v>
      </c>
      <c r="C256" s="9" t="s">
        <v>116</v>
      </c>
      <c r="D256" s="5"/>
      <c r="E256" s="11"/>
      <c r="F256" s="5"/>
      <c r="G256" s="6"/>
    </row>
    <row r="257" spans="1:7" ht="3.75" customHeight="1">
      <c r="A257" s="80"/>
      <c r="B257" s="5"/>
      <c r="C257" s="5"/>
      <c r="D257" s="5"/>
      <c r="E257" s="11"/>
      <c r="F257" s="5"/>
      <c r="G257" s="6"/>
    </row>
    <row r="258" spans="1:7">
      <c r="B258" s="14" t="s">
        <v>8</v>
      </c>
      <c r="C258" s="15" t="s">
        <v>105</v>
      </c>
      <c r="D258" s="5"/>
      <c r="E258" s="86" t="s">
        <v>109</v>
      </c>
      <c r="F258" s="87">
        <v>45352</v>
      </c>
      <c r="G258" s="6"/>
    </row>
    <row r="259" spans="1:7">
      <c r="B259" s="16" t="s">
        <v>9</v>
      </c>
      <c r="C259" s="17" t="s">
        <v>130</v>
      </c>
      <c r="D259" s="5"/>
      <c r="E259" s="88" t="s">
        <v>110</v>
      </c>
      <c r="F259" s="89">
        <v>45382</v>
      </c>
      <c r="G259" s="18"/>
    </row>
    <row r="260" spans="1:7" ht="15.75" thickBot="1">
      <c r="B260" s="4"/>
      <c r="C260" s="19"/>
      <c r="D260" s="19"/>
      <c r="E260" s="20"/>
      <c r="F260" s="21"/>
      <c r="G260" s="18"/>
    </row>
    <row r="261" spans="1:7" ht="18.75" thickBot="1">
      <c r="B261" s="4"/>
      <c r="C261" s="22" t="s">
        <v>10</v>
      </c>
      <c r="D261" s="23"/>
      <c r="E261" s="24"/>
      <c r="F261" s="25" t="s">
        <v>11</v>
      </c>
      <c r="G261" s="18"/>
    </row>
    <row r="262" spans="1:7">
      <c r="B262" s="4"/>
      <c r="C262" s="26" t="s">
        <v>12</v>
      </c>
      <c r="D262" s="26"/>
      <c r="E262" s="27">
        <v>16819.998392727302</v>
      </c>
      <c r="F262" s="28">
        <v>16819.998392727302</v>
      </c>
      <c r="G262" s="29"/>
    </row>
    <row r="263" spans="1:7">
      <c r="B263" s="30">
        <v>143</v>
      </c>
      <c r="C263" s="31" t="s">
        <v>13</v>
      </c>
      <c r="D263" s="31"/>
      <c r="E263" s="27">
        <v>5596.0880000000006</v>
      </c>
      <c r="F263" s="32">
        <v>5596.0880000000006</v>
      </c>
      <c r="G263" s="33"/>
    </row>
    <row r="264" spans="1:7">
      <c r="B264" s="30"/>
      <c r="C264" s="34" t="s">
        <v>14</v>
      </c>
      <c r="D264" s="34"/>
      <c r="E264" s="27">
        <v>0</v>
      </c>
      <c r="F264" s="32">
        <v>0</v>
      </c>
      <c r="G264" s="33"/>
    </row>
    <row r="265" spans="1:7">
      <c r="B265" s="30"/>
      <c r="C265" s="34" t="s">
        <v>15</v>
      </c>
      <c r="D265" s="34"/>
      <c r="E265" s="27">
        <v>0</v>
      </c>
      <c r="F265" s="32">
        <v>0</v>
      </c>
      <c r="G265" s="33"/>
    </row>
    <row r="266" spans="1:7">
      <c r="B266" s="30"/>
      <c r="C266" s="34" t="s">
        <v>16</v>
      </c>
      <c r="D266" s="34"/>
      <c r="E266" s="27">
        <v>0</v>
      </c>
      <c r="F266" s="32">
        <v>0</v>
      </c>
      <c r="G266" s="33"/>
    </row>
    <row r="267" spans="1:7">
      <c r="B267" s="30"/>
      <c r="C267" s="34" t="s">
        <v>17</v>
      </c>
      <c r="D267" s="34"/>
      <c r="E267" s="27">
        <v>0</v>
      </c>
      <c r="F267" s="32">
        <v>0</v>
      </c>
      <c r="G267" s="33"/>
    </row>
    <row r="268" spans="1:7">
      <c r="B268" s="30"/>
      <c r="C268" s="35" t="s">
        <v>18</v>
      </c>
      <c r="D268" s="35"/>
      <c r="E268" s="36">
        <v>22416.086392727302</v>
      </c>
      <c r="F268" s="37">
        <v>22416.086392727302</v>
      </c>
      <c r="G268" s="38"/>
    </row>
    <row r="269" spans="1:7" ht="15.75" thickBot="1">
      <c r="B269" s="30"/>
      <c r="C269" s="39"/>
      <c r="D269" s="39"/>
      <c r="E269" s="40"/>
      <c r="F269" s="41"/>
      <c r="G269" s="38"/>
    </row>
    <row r="270" spans="1:7" ht="18.75" thickBot="1">
      <c r="B270" s="30"/>
      <c r="C270" s="22" t="s">
        <v>19</v>
      </c>
      <c r="D270" s="23"/>
      <c r="E270" s="42"/>
      <c r="F270" s="43"/>
      <c r="G270" s="38"/>
    </row>
    <row r="271" spans="1:7">
      <c r="B271" s="44">
        <v>121</v>
      </c>
      <c r="C271" s="39" t="s">
        <v>20</v>
      </c>
      <c r="D271" s="39"/>
      <c r="E271" s="45"/>
      <c r="F271" s="46"/>
      <c r="G271" s="47"/>
    </row>
    <row r="272" spans="1:7">
      <c r="B272" s="44"/>
      <c r="C272" s="48" t="s">
        <v>21</v>
      </c>
      <c r="D272" s="48"/>
      <c r="E272" s="49">
        <v>0</v>
      </c>
      <c r="F272" s="50">
        <v>0</v>
      </c>
      <c r="G272" s="47"/>
    </row>
    <row r="273" spans="2:7">
      <c r="B273" s="44"/>
      <c r="C273" s="48" t="s">
        <v>22</v>
      </c>
      <c r="D273" s="48"/>
      <c r="E273" s="49">
        <v>0</v>
      </c>
      <c r="F273" s="50">
        <v>0</v>
      </c>
      <c r="G273" s="47"/>
    </row>
    <row r="274" spans="2:7">
      <c r="B274" s="51"/>
      <c r="C274" s="48" t="s">
        <v>23</v>
      </c>
      <c r="D274" s="48"/>
      <c r="E274" s="49">
        <v>0</v>
      </c>
      <c r="F274" s="50">
        <v>0</v>
      </c>
      <c r="G274" s="52"/>
    </row>
    <row r="275" spans="2:7">
      <c r="B275" s="51"/>
      <c r="C275" s="48" t="s">
        <v>24</v>
      </c>
      <c r="D275" s="48"/>
      <c r="E275" s="49">
        <v>994.89024000000006</v>
      </c>
      <c r="F275" s="50">
        <v>994.89024000000006</v>
      </c>
      <c r="G275" s="52"/>
    </row>
    <row r="276" spans="2:7">
      <c r="B276" s="44"/>
      <c r="C276" s="48" t="s">
        <v>25</v>
      </c>
      <c r="D276" s="48"/>
      <c r="E276" s="49">
        <v>0</v>
      </c>
      <c r="F276" s="50">
        <v>0</v>
      </c>
      <c r="G276" s="52"/>
    </row>
    <row r="277" spans="2:7">
      <c r="B277" s="44"/>
      <c r="C277" s="53" t="s">
        <v>26</v>
      </c>
      <c r="D277" s="53"/>
      <c r="E277" s="36">
        <v>994.89024000000006</v>
      </c>
      <c r="F277" s="54">
        <v>994.89024000000006</v>
      </c>
      <c r="G277" s="52"/>
    </row>
    <row r="278" spans="2:7">
      <c r="B278" s="44">
        <v>122</v>
      </c>
      <c r="C278" s="39" t="s">
        <v>27</v>
      </c>
      <c r="D278" s="39"/>
      <c r="E278" s="36"/>
      <c r="F278" s="50"/>
      <c r="G278" s="55"/>
    </row>
    <row r="279" spans="2:7">
      <c r="B279" s="44"/>
      <c r="C279" s="48" t="s">
        <v>28</v>
      </c>
      <c r="D279" s="48"/>
      <c r="E279" s="49">
        <v>0</v>
      </c>
      <c r="F279" s="50">
        <v>0</v>
      </c>
      <c r="G279" s="52"/>
    </row>
    <row r="280" spans="2:7">
      <c r="B280" s="44"/>
      <c r="C280" s="48" t="s">
        <v>29</v>
      </c>
      <c r="D280" s="48"/>
      <c r="E280" s="49">
        <v>0</v>
      </c>
      <c r="F280" s="50">
        <v>0</v>
      </c>
      <c r="G280" s="52"/>
    </row>
    <row r="281" spans="2:7">
      <c r="B281" s="44"/>
      <c r="C281" s="48" t="s">
        <v>30</v>
      </c>
      <c r="D281" s="48"/>
      <c r="E281" s="49">
        <v>0</v>
      </c>
      <c r="F281" s="50">
        <v>0</v>
      </c>
      <c r="G281" s="52"/>
    </row>
    <row r="282" spans="2:7">
      <c r="B282" s="44"/>
      <c r="C282" s="48" t="s">
        <v>31</v>
      </c>
      <c r="D282" s="48"/>
      <c r="E282" s="49">
        <v>0</v>
      </c>
      <c r="F282" s="50">
        <v>0</v>
      </c>
      <c r="G282" s="52"/>
    </row>
    <row r="283" spans="2:7">
      <c r="B283" s="44"/>
      <c r="C283" s="48" t="s">
        <v>32</v>
      </c>
      <c r="D283" s="48"/>
      <c r="E283" s="49">
        <v>331.63008000000002</v>
      </c>
      <c r="F283" s="50">
        <v>331.63008000000002</v>
      </c>
      <c r="G283" s="52"/>
    </row>
    <row r="284" spans="2:7">
      <c r="B284" s="44"/>
      <c r="C284" s="48" t="s">
        <v>33</v>
      </c>
      <c r="D284" s="48"/>
      <c r="E284" s="49">
        <v>0</v>
      </c>
      <c r="F284" s="50">
        <v>0</v>
      </c>
      <c r="G284" s="52"/>
    </row>
    <row r="285" spans="2:7">
      <c r="B285" s="44"/>
      <c r="C285" s="48" t="s">
        <v>34</v>
      </c>
      <c r="D285" s="48"/>
      <c r="E285" s="49">
        <v>0</v>
      </c>
      <c r="F285" s="50">
        <v>0</v>
      </c>
      <c r="G285" s="52"/>
    </row>
    <row r="286" spans="2:7">
      <c r="B286" s="44"/>
      <c r="C286" s="48" t="s">
        <v>35</v>
      </c>
      <c r="D286" s="48"/>
      <c r="E286" s="49">
        <v>0</v>
      </c>
      <c r="F286" s="50">
        <v>0</v>
      </c>
      <c r="G286" s="52"/>
    </row>
    <row r="287" spans="2:7">
      <c r="B287" s="44"/>
      <c r="C287" s="53" t="s">
        <v>26</v>
      </c>
      <c r="D287" s="53"/>
      <c r="E287" s="36">
        <v>331.63008000000002</v>
      </c>
      <c r="F287" s="54">
        <v>331.63008000000002</v>
      </c>
      <c r="G287" s="52"/>
    </row>
    <row r="288" spans="2:7">
      <c r="B288" s="44">
        <v>123</v>
      </c>
      <c r="C288" s="39" t="s">
        <v>36</v>
      </c>
      <c r="D288" s="39"/>
      <c r="E288" s="56"/>
      <c r="F288" s="57"/>
      <c r="G288" s="52"/>
    </row>
    <row r="289" spans="2:7">
      <c r="B289" s="44"/>
      <c r="C289" s="48" t="s">
        <v>37</v>
      </c>
      <c r="D289" s="48"/>
      <c r="E289" s="49">
        <v>271.33370181818157</v>
      </c>
      <c r="F289" s="50">
        <v>271.33370181818157</v>
      </c>
      <c r="G289" s="52"/>
    </row>
    <row r="290" spans="2:7">
      <c r="B290" s="44"/>
      <c r="C290" s="48" t="s">
        <v>38</v>
      </c>
      <c r="D290" s="48"/>
      <c r="E290" s="49">
        <v>2230.9659927272705</v>
      </c>
      <c r="F290" s="50">
        <v>2230.9659927272705</v>
      </c>
      <c r="G290" s="52"/>
    </row>
    <row r="291" spans="2:7">
      <c r="B291" s="44"/>
      <c r="C291" s="48" t="s">
        <v>39</v>
      </c>
      <c r="D291" s="48"/>
      <c r="E291" s="49">
        <v>271.33370181818157</v>
      </c>
      <c r="F291" s="50">
        <v>271.33370181818157</v>
      </c>
      <c r="G291" s="52"/>
    </row>
    <row r="292" spans="2:7">
      <c r="B292" s="44"/>
      <c r="C292" s="48" t="s">
        <v>40</v>
      </c>
      <c r="D292" s="48"/>
      <c r="E292" s="49">
        <v>0</v>
      </c>
      <c r="F292" s="50">
        <v>0</v>
      </c>
      <c r="G292" s="52"/>
    </row>
    <row r="293" spans="2:7">
      <c r="B293" s="44"/>
      <c r="C293" s="48" t="s">
        <v>41</v>
      </c>
      <c r="D293" s="48"/>
      <c r="E293" s="49">
        <v>0</v>
      </c>
      <c r="F293" s="50">
        <v>0</v>
      </c>
      <c r="G293" s="52"/>
    </row>
    <row r="294" spans="2:7">
      <c r="B294" s="44"/>
      <c r="C294" s="48" t="s">
        <v>42</v>
      </c>
      <c r="D294" s="48"/>
      <c r="E294" s="49">
        <v>542.66740363636313</v>
      </c>
      <c r="F294" s="50">
        <v>542.66740363636313</v>
      </c>
      <c r="G294" s="52"/>
    </row>
    <row r="295" spans="2:7">
      <c r="B295" s="44"/>
      <c r="C295" s="53" t="s">
        <v>26</v>
      </c>
      <c r="D295" s="53"/>
      <c r="E295" s="36">
        <v>3316.3007999999963</v>
      </c>
      <c r="F295" s="54">
        <v>3316.3007999999963</v>
      </c>
      <c r="G295" s="52"/>
    </row>
    <row r="296" spans="2:7">
      <c r="B296" s="44">
        <v>124</v>
      </c>
      <c r="C296" s="39" t="s">
        <v>43</v>
      </c>
      <c r="D296" s="39"/>
      <c r="E296" s="56"/>
      <c r="F296" s="57"/>
      <c r="G296" s="52"/>
    </row>
    <row r="297" spans="2:7">
      <c r="B297" s="44"/>
      <c r="C297" s="48" t="s">
        <v>44</v>
      </c>
      <c r="D297" s="48"/>
      <c r="E297" s="49">
        <v>0</v>
      </c>
      <c r="F297" s="50">
        <v>0</v>
      </c>
      <c r="G297" s="52"/>
    </row>
    <row r="298" spans="2:7">
      <c r="B298" s="44"/>
      <c r="C298" s="48" t="s">
        <v>45</v>
      </c>
      <c r="D298" s="48"/>
      <c r="E298" s="49">
        <v>2570.13312</v>
      </c>
      <c r="F298" s="50">
        <v>2570.13312</v>
      </c>
      <c r="G298" s="52"/>
    </row>
    <row r="299" spans="2:7">
      <c r="B299" s="44"/>
      <c r="C299" s="48" t="s">
        <v>46</v>
      </c>
      <c r="D299" s="48"/>
      <c r="E299" s="49">
        <v>0</v>
      </c>
      <c r="F299" s="50">
        <v>0</v>
      </c>
      <c r="G299" s="52"/>
    </row>
    <row r="300" spans="2:7">
      <c r="B300" s="44"/>
      <c r="C300" s="53" t="s">
        <v>26</v>
      </c>
      <c r="D300" s="53"/>
      <c r="E300" s="36">
        <v>2570.13312</v>
      </c>
      <c r="F300" s="54">
        <v>2570.13312</v>
      </c>
      <c r="G300" s="52"/>
    </row>
    <row r="301" spans="2:7">
      <c r="B301" s="44">
        <v>125</v>
      </c>
      <c r="C301" s="39" t="s">
        <v>47</v>
      </c>
      <c r="D301" s="39"/>
      <c r="E301" s="36"/>
      <c r="F301" s="50"/>
      <c r="G301" s="52"/>
    </row>
    <row r="302" spans="2:7">
      <c r="B302" s="44"/>
      <c r="C302" s="48" t="s">
        <v>48</v>
      </c>
      <c r="D302" s="48"/>
      <c r="E302" s="58">
        <v>0</v>
      </c>
      <c r="F302" s="50">
        <v>0</v>
      </c>
      <c r="G302" s="52"/>
    </row>
    <row r="303" spans="2:7">
      <c r="B303" s="44"/>
      <c r="C303" s="48" t="s">
        <v>49</v>
      </c>
      <c r="D303" s="48"/>
      <c r="E303" s="58">
        <v>0</v>
      </c>
      <c r="F303" s="50">
        <v>0</v>
      </c>
      <c r="G303" s="52"/>
    </row>
    <row r="304" spans="2:7">
      <c r="B304" s="44"/>
      <c r="C304" s="48" t="s">
        <v>50</v>
      </c>
      <c r="D304" s="48"/>
      <c r="E304" s="58">
        <v>1077.7977600000002</v>
      </c>
      <c r="F304" s="50">
        <v>1077.7977600000002</v>
      </c>
      <c r="G304" s="52"/>
    </row>
    <row r="305" spans="2:7">
      <c r="B305" s="44"/>
      <c r="C305" s="48" t="s">
        <v>51</v>
      </c>
      <c r="D305" s="48"/>
      <c r="E305" s="58">
        <v>0</v>
      </c>
      <c r="F305" s="50">
        <v>0</v>
      </c>
      <c r="G305" s="52"/>
    </row>
    <row r="306" spans="2:7">
      <c r="B306" s="44"/>
      <c r="C306" s="53" t="s">
        <v>26</v>
      </c>
      <c r="D306" s="53"/>
      <c r="E306" s="56">
        <v>1077.7977600000002</v>
      </c>
      <c r="F306" s="54">
        <v>1077.7977600000002</v>
      </c>
      <c r="G306" s="52"/>
    </row>
    <row r="307" spans="2:7">
      <c r="B307" s="44">
        <v>126</v>
      </c>
      <c r="C307" s="39" t="s">
        <v>52</v>
      </c>
      <c r="D307" s="39"/>
      <c r="E307" s="56"/>
      <c r="F307" s="50"/>
      <c r="G307" s="52"/>
    </row>
    <row r="308" spans="2:7">
      <c r="B308" s="44"/>
      <c r="C308" s="48" t="s">
        <v>53</v>
      </c>
      <c r="D308" s="48"/>
      <c r="E308" s="49">
        <v>0</v>
      </c>
      <c r="F308" s="50">
        <v>0</v>
      </c>
      <c r="G308" s="52"/>
    </row>
    <row r="309" spans="2:7">
      <c r="B309" s="44"/>
      <c r="C309" s="48" t="s">
        <v>54</v>
      </c>
      <c r="D309" s="48"/>
      <c r="E309" s="49">
        <v>0</v>
      </c>
      <c r="F309" s="50"/>
      <c r="G309" s="52"/>
    </row>
    <row r="310" spans="2:7">
      <c r="B310" s="44"/>
      <c r="C310" s="48" t="s">
        <v>55</v>
      </c>
      <c r="D310" s="48"/>
      <c r="E310" s="49">
        <v>0</v>
      </c>
      <c r="F310" s="50"/>
      <c r="G310" s="52"/>
    </row>
    <row r="311" spans="2:7">
      <c r="B311" s="44"/>
      <c r="C311" s="48" t="s">
        <v>56</v>
      </c>
      <c r="D311" s="48"/>
      <c r="E311" s="49">
        <v>0</v>
      </c>
      <c r="F311" s="57"/>
      <c r="G311" s="52"/>
    </row>
    <row r="312" spans="2:7">
      <c r="B312" s="44"/>
      <c r="C312" s="53" t="s">
        <v>26</v>
      </c>
      <c r="D312" s="53"/>
      <c r="E312" s="56">
        <v>0</v>
      </c>
      <c r="F312" s="54">
        <v>0</v>
      </c>
      <c r="G312" s="52"/>
    </row>
    <row r="313" spans="2:7">
      <c r="B313" s="44">
        <v>127</v>
      </c>
      <c r="C313" s="39" t="s">
        <v>57</v>
      </c>
      <c r="D313" s="39"/>
      <c r="E313" s="56"/>
      <c r="F313" s="54"/>
      <c r="G313" s="52"/>
    </row>
    <row r="314" spans="2:7">
      <c r="B314" s="44"/>
      <c r="C314" s="48" t="s">
        <v>58</v>
      </c>
      <c r="D314" s="48"/>
      <c r="E314" s="49">
        <v>0</v>
      </c>
      <c r="F314" s="50">
        <v>0</v>
      </c>
      <c r="G314" s="52"/>
    </row>
    <row r="315" spans="2:7">
      <c r="B315" s="44"/>
      <c r="C315" s="48" t="s">
        <v>59</v>
      </c>
      <c r="D315" s="48"/>
      <c r="E315" s="49">
        <v>0</v>
      </c>
      <c r="F315" s="50">
        <v>0</v>
      </c>
      <c r="G315" s="52"/>
    </row>
    <row r="316" spans="2:7">
      <c r="B316" s="44"/>
      <c r="C316" s="48" t="s">
        <v>60</v>
      </c>
      <c r="D316" s="48"/>
      <c r="E316" s="49">
        <v>0</v>
      </c>
      <c r="F316" s="50">
        <v>0</v>
      </c>
      <c r="G316" s="52"/>
    </row>
    <row r="317" spans="2:7">
      <c r="B317" s="44"/>
      <c r="C317" s="59" t="s">
        <v>61</v>
      </c>
      <c r="D317" s="59"/>
      <c r="E317" s="49">
        <v>0</v>
      </c>
      <c r="F317" s="50">
        <v>0</v>
      </c>
      <c r="G317" s="52"/>
    </row>
    <row r="318" spans="2:7">
      <c r="B318" s="44"/>
      <c r="C318" s="53" t="s">
        <v>26</v>
      </c>
      <c r="D318" s="53"/>
      <c r="E318" s="56">
        <v>0</v>
      </c>
      <c r="F318" s="54">
        <v>0</v>
      </c>
      <c r="G318" s="52"/>
    </row>
    <row r="319" spans="2:7">
      <c r="B319" s="44">
        <v>128</v>
      </c>
      <c r="C319" s="39" t="s">
        <v>62</v>
      </c>
      <c r="D319" s="39"/>
      <c r="E319" s="56"/>
      <c r="F319" s="54"/>
      <c r="G319" s="52"/>
    </row>
    <row r="320" spans="2:7">
      <c r="B320" s="44"/>
      <c r="C320" s="48" t="s">
        <v>63</v>
      </c>
      <c r="D320" s="48"/>
      <c r="E320" s="49">
        <v>0</v>
      </c>
      <c r="F320" s="50">
        <v>0</v>
      </c>
      <c r="G320" s="52"/>
    </row>
    <row r="321" spans="2:7">
      <c r="B321" s="44"/>
      <c r="C321" s="48" t="s">
        <v>64</v>
      </c>
      <c r="D321" s="48"/>
      <c r="E321" s="49">
        <v>0</v>
      </c>
      <c r="F321" s="50">
        <v>0</v>
      </c>
      <c r="G321" s="52"/>
    </row>
    <row r="322" spans="2:7">
      <c r="B322" s="44"/>
      <c r="C322" s="48" t="s">
        <v>65</v>
      </c>
      <c r="D322" s="48"/>
      <c r="E322" s="49">
        <v>0</v>
      </c>
      <c r="F322" s="50">
        <v>0</v>
      </c>
      <c r="G322" s="52"/>
    </row>
    <row r="323" spans="2:7">
      <c r="B323" s="44"/>
      <c r="C323" s="48" t="s">
        <v>66</v>
      </c>
      <c r="D323" s="48"/>
      <c r="E323" s="49">
        <v>0</v>
      </c>
      <c r="F323" s="50">
        <v>0</v>
      </c>
      <c r="G323" s="52"/>
    </row>
    <row r="324" spans="2:7">
      <c r="B324" s="44"/>
      <c r="C324" s="48" t="s">
        <v>67</v>
      </c>
      <c r="D324" s="48"/>
      <c r="E324" s="49">
        <v>0</v>
      </c>
      <c r="F324" s="50">
        <v>0</v>
      </c>
      <c r="G324" s="52"/>
    </row>
    <row r="325" spans="2:7">
      <c r="B325" s="44"/>
      <c r="C325" s="53" t="s">
        <v>26</v>
      </c>
      <c r="D325" s="53"/>
      <c r="E325" s="56">
        <v>0</v>
      </c>
      <c r="F325" s="54">
        <v>0</v>
      </c>
      <c r="G325" s="52"/>
    </row>
    <row r="326" spans="2:7">
      <c r="B326" s="44">
        <v>135</v>
      </c>
      <c r="C326" s="39" t="s">
        <v>68</v>
      </c>
      <c r="D326" s="39"/>
      <c r="E326" s="56"/>
      <c r="F326" s="50"/>
      <c r="G326" s="52"/>
    </row>
    <row r="327" spans="2:7">
      <c r="B327" s="44"/>
      <c r="C327" s="48" t="s">
        <v>69</v>
      </c>
      <c r="D327" s="48"/>
      <c r="E327" s="49">
        <v>0</v>
      </c>
      <c r="F327" s="50">
        <v>0</v>
      </c>
      <c r="G327" s="52"/>
    </row>
    <row r="328" spans="2:7">
      <c r="B328" s="44"/>
      <c r="C328" s="48" t="s">
        <v>70</v>
      </c>
      <c r="D328" s="48"/>
      <c r="E328" s="49">
        <v>0</v>
      </c>
      <c r="F328" s="50">
        <v>0</v>
      </c>
      <c r="G328" s="52"/>
    </row>
    <row r="329" spans="2:7">
      <c r="B329" s="44"/>
      <c r="C329" s="48" t="s">
        <v>71</v>
      </c>
      <c r="D329" s="48"/>
      <c r="E329" s="49">
        <v>0</v>
      </c>
      <c r="F329" s="50">
        <v>0</v>
      </c>
      <c r="G329" s="52"/>
    </row>
    <row r="330" spans="2:7">
      <c r="B330" s="44"/>
      <c r="C330" s="48" t="s">
        <v>72</v>
      </c>
      <c r="D330" s="48"/>
      <c r="E330" s="49">
        <v>0</v>
      </c>
      <c r="F330" s="50">
        <v>0</v>
      </c>
      <c r="G330" s="52"/>
    </row>
    <row r="331" spans="2:7">
      <c r="B331" s="44"/>
      <c r="C331" s="48" t="s">
        <v>73</v>
      </c>
      <c r="D331" s="48"/>
      <c r="E331" s="49">
        <v>0</v>
      </c>
      <c r="F331" s="50">
        <v>0</v>
      </c>
      <c r="G331" s="52"/>
    </row>
    <row r="332" spans="2:7">
      <c r="B332" s="44"/>
      <c r="C332" s="48" t="s">
        <v>74</v>
      </c>
      <c r="D332" s="48"/>
      <c r="E332" s="49">
        <v>0</v>
      </c>
      <c r="F332" s="50">
        <v>0</v>
      </c>
      <c r="G332" s="52"/>
    </row>
    <row r="333" spans="2:7">
      <c r="B333" s="44"/>
      <c r="C333" s="48" t="s">
        <v>75</v>
      </c>
      <c r="D333" s="48"/>
      <c r="E333" s="49">
        <v>0</v>
      </c>
      <c r="F333" s="50">
        <v>0</v>
      </c>
      <c r="G333" s="52"/>
    </row>
    <row r="334" spans="2:7">
      <c r="B334" s="44"/>
      <c r="C334" s="48" t="s">
        <v>76</v>
      </c>
      <c r="D334" s="48"/>
      <c r="E334" s="49">
        <v>0</v>
      </c>
      <c r="F334" s="50">
        <v>0</v>
      </c>
      <c r="G334" s="52"/>
    </row>
    <row r="335" spans="2:7">
      <c r="B335" s="44"/>
      <c r="C335" s="48" t="s">
        <v>77</v>
      </c>
      <c r="D335" s="48"/>
      <c r="E335" s="49">
        <v>0</v>
      </c>
      <c r="F335" s="50">
        <v>0</v>
      </c>
      <c r="G335" s="52"/>
    </row>
    <row r="336" spans="2:7">
      <c r="B336" s="44"/>
      <c r="C336" s="53" t="s">
        <v>26</v>
      </c>
      <c r="D336" s="53"/>
      <c r="E336" s="56">
        <v>0</v>
      </c>
      <c r="F336" s="54">
        <v>0</v>
      </c>
      <c r="G336" s="52"/>
    </row>
    <row r="337" spans="2:7">
      <c r="B337" s="44">
        <v>136</v>
      </c>
      <c r="C337" s="39" t="s">
        <v>78</v>
      </c>
      <c r="D337" s="39"/>
      <c r="E337" s="56"/>
      <c r="F337" s="50"/>
      <c r="G337" s="52"/>
    </row>
    <row r="338" spans="2:7">
      <c r="B338" s="44"/>
      <c r="C338" s="48" t="s">
        <v>79</v>
      </c>
      <c r="D338" s="48"/>
      <c r="E338" s="49">
        <v>0</v>
      </c>
      <c r="F338" s="50">
        <v>0</v>
      </c>
      <c r="G338" s="52"/>
    </row>
    <row r="339" spans="2:7">
      <c r="B339" s="44"/>
      <c r="C339" s="48" t="s">
        <v>80</v>
      </c>
      <c r="D339" s="48"/>
      <c r="E339" s="49">
        <v>0</v>
      </c>
      <c r="F339" s="50">
        <v>0</v>
      </c>
      <c r="G339" s="52"/>
    </row>
    <row r="340" spans="2:7">
      <c r="B340" s="44"/>
      <c r="C340" s="48" t="s">
        <v>81</v>
      </c>
      <c r="D340" s="48"/>
      <c r="E340" s="49">
        <v>0</v>
      </c>
      <c r="F340" s="50">
        <v>0</v>
      </c>
      <c r="G340" s="52"/>
    </row>
    <row r="341" spans="2:7">
      <c r="B341" s="44"/>
      <c r="C341" s="48" t="s">
        <v>82</v>
      </c>
      <c r="D341" s="48"/>
      <c r="E341" s="49">
        <v>0</v>
      </c>
      <c r="F341" s="50">
        <v>0</v>
      </c>
      <c r="G341" s="52"/>
    </row>
    <row r="342" spans="2:7">
      <c r="B342" s="44"/>
      <c r="C342" s="48" t="s">
        <v>83</v>
      </c>
      <c r="D342" s="48"/>
      <c r="E342" s="49">
        <v>0</v>
      </c>
      <c r="F342" s="50">
        <v>0</v>
      </c>
      <c r="G342" s="52"/>
    </row>
    <row r="343" spans="2:7">
      <c r="B343" s="44"/>
      <c r="C343" s="48" t="s">
        <v>84</v>
      </c>
      <c r="D343" s="48"/>
      <c r="E343" s="49">
        <v>0</v>
      </c>
      <c r="F343" s="50">
        <v>0</v>
      </c>
      <c r="G343" s="52"/>
    </row>
    <row r="344" spans="2:7">
      <c r="B344" s="44"/>
      <c r="C344" s="53" t="s">
        <v>26</v>
      </c>
      <c r="D344" s="53"/>
      <c r="E344" s="56">
        <v>0</v>
      </c>
      <c r="F344" s="54">
        <v>0</v>
      </c>
      <c r="G344" s="52"/>
    </row>
    <row r="345" spans="2:7">
      <c r="B345" s="44">
        <v>142</v>
      </c>
      <c r="C345" s="39" t="s">
        <v>85</v>
      </c>
      <c r="D345" s="39"/>
      <c r="E345" s="56"/>
      <c r="F345" s="50"/>
      <c r="G345" s="52"/>
    </row>
    <row r="346" spans="2:7">
      <c r="B346" s="44"/>
      <c r="C346" s="48" t="s">
        <v>86</v>
      </c>
      <c r="D346" s="48"/>
      <c r="E346" s="49">
        <v>0</v>
      </c>
      <c r="F346" s="50">
        <v>0</v>
      </c>
      <c r="G346" s="52"/>
    </row>
    <row r="347" spans="2:7">
      <c r="B347" s="44"/>
      <c r="C347" s="48" t="s">
        <v>87</v>
      </c>
      <c r="D347" s="48"/>
      <c r="E347" s="49">
        <v>0</v>
      </c>
      <c r="F347" s="50">
        <v>0</v>
      </c>
      <c r="G347" s="52"/>
    </row>
    <row r="348" spans="2:7">
      <c r="B348" s="44"/>
      <c r="C348" s="53" t="s">
        <v>26</v>
      </c>
      <c r="D348" s="53"/>
      <c r="E348" s="56">
        <v>0</v>
      </c>
      <c r="F348" s="54">
        <v>0</v>
      </c>
      <c r="G348" s="52"/>
    </row>
    <row r="349" spans="2:7">
      <c r="B349" s="44">
        <v>144</v>
      </c>
      <c r="C349" s="39" t="s">
        <v>88</v>
      </c>
      <c r="D349" s="39"/>
      <c r="E349" s="49">
        <v>0</v>
      </c>
      <c r="F349" s="54">
        <v>0</v>
      </c>
      <c r="G349" s="52"/>
    </row>
    <row r="350" spans="2:7">
      <c r="B350" s="44">
        <v>221</v>
      </c>
      <c r="C350" s="39" t="s">
        <v>89</v>
      </c>
      <c r="D350" s="39"/>
      <c r="E350" s="49">
        <v>0</v>
      </c>
      <c r="F350" s="54">
        <v>0</v>
      </c>
      <c r="G350" s="52"/>
    </row>
    <row r="351" spans="2:7">
      <c r="B351" s="44">
        <v>222</v>
      </c>
      <c r="C351" s="39" t="s">
        <v>90</v>
      </c>
      <c r="D351" s="39"/>
      <c r="E351" s="49">
        <v>0</v>
      </c>
      <c r="F351" s="54">
        <v>0</v>
      </c>
      <c r="G351" s="52"/>
    </row>
    <row r="352" spans="2:7">
      <c r="B352" s="44">
        <v>224</v>
      </c>
      <c r="C352" s="39" t="s">
        <v>91</v>
      </c>
      <c r="D352" s="39"/>
      <c r="E352" s="49">
        <v>0</v>
      </c>
      <c r="F352" s="54">
        <v>0</v>
      </c>
      <c r="G352" s="52"/>
    </row>
    <row r="353" spans="2:7">
      <c r="B353" s="44">
        <v>225</v>
      </c>
      <c r="C353" s="39" t="s">
        <v>92</v>
      </c>
      <c r="D353" s="39"/>
      <c r="E353" s="49">
        <v>0</v>
      </c>
      <c r="F353" s="54">
        <v>0</v>
      </c>
      <c r="G353" s="38"/>
    </row>
    <row r="354" spans="2:7">
      <c r="B354" s="44">
        <v>226</v>
      </c>
      <c r="C354" s="39" t="s">
        <v>93</v>
      </c>
      <c r="D354" s="39"/>
      <c r="E354" s="49">
        <v>0</v>
      </c>
      <c r="F354" s="54">
        <v>0</v>
      </c>
      <c r="G354" s="60"/>
    </row>
    <row r="355" spans="2:7" ht="15.75" thickBot="1">
      <c r="B355" s="61"/>
      <c r="C355" s="62" t="s">
        <v>94</v>
      </c>
      <c r="D355" s="62"/>
      <c r="E355" s="94">
        <v>0</v>
      </c>
      <c r="F355" s="63">
        <v>0</v>
      </c>
      <c r="G355" s="38"/>
    </row>
    <row r="356" spans="2:7">
      <c r="B356" s="64"/>
      <c r="C356" s="65" t="s">
        <v>95</v>
      </c>
      <c r="D356" s="66"/>
      <c r="E356" s="67">
        <v>8290.7519999999968</v>
      </c>
      <c r="F356" s="68">
        <v>8290.7519999999968</v>
      </c>
      <c r="G356" s="69"/>
    </row>
    <row r="357" spans="2:7" ht="15.75" thickBot="1">
      <c r="B357" s="64"/>
      <c r="C357" s="70"/>
      <c r="D357" s="71"/>
      <c r="E357" s="72"/>
      <c r="F357" s="73"/>
      <c r="G357" s="69"/>
    </row>
    <row r="358" spans="2:7" ht="15.75" thickBot="1">
      <c r="B358" s="64"/>
      <c r="C358" s="70" t="s">
        <v>96</v>
      </c>
      <c r="D358" s="71"/>
      <c r="E358" s="74">
        <v>14125.334392727305</v>
      </c>
      <c r="F358" s="75">
        <v>14125.334392727305</v>
      </c>
      <c r="G358" s="76"/>
    </row>
    <row r="359" spans="2:7" ht="8.25" customHeight="1" thickBot="1">
      <c r="B359" s="77"/>
      <c r="C359" s="81"/>
      <c r="D359" s="81"/>
      <c r="E359" s="78"/>
      <c r="F359" s="78"/>
      <c r="G359" s="79"/>
    </row>
    <row r="360" spans="2:7">
      <c r="B360" s="85"/>
      <c r="C360" s="84"/>
      <c r="D360" s="84"/>
      <c r="E360" s="85"/>
      <c r="F360" s="85"/>
      <c r="G360" s="85"/>
    </row>
  </sheetData>
  <mergeCells count="3">
    <mergeCell ref="C8:E8"/>
    <mergeCell ref="C128:E128"/>
    <mergeCell ref="C248:E248"/>
  </mergeCells>
  <dataValidations count="1">
    <dataValidation type="list" allowBlank="1" showInputMessage="1" showErrorMessage="1" sqref="C136 C16 C256" xr:uid="{012A3A06-24D8-4654-8A16-496754B6B1EB}">
      <formula1>FacList</formula1>
    </dataValidation>
  </dataValidations>
  <hyperlinks>
    <hyperlink ref="F12" r:id="rId1" xr:uid="{537A1F51-1AFB-4E88-A0CE-6477041FB8F7}"/>
    <hyperlink ref="F132" r:id="rId2" xr:uid="{95F4CC38-C0A8-421B-92C8-BAE493704FC1}"/>
    <hyperlink ref="F252" r:id="rId3" xr:uid="{F168FC63-6BB1-42C4-9159-3EC32594B083}"/>
  </hyperlinks>
  <pageMargins left="0.7" right="0.7" top="0.75" bottom="0.75" header="0.3" footer="0.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8261C-2454-4EBB-8F40-84E2F8560C29}">
  <dimension ref="A1:G360"/>
  <sheetViews>
    <sheetView topLeftCell="D1" zoomScale="90" zoomScaleNormal="90" workbookViewId="0">
      <selection activeCell="C1" sqref="A1:XFD1048576"/>
    </sheetView>
  </sheetViews>
  <sheetFormatPr defaultColWidth="8.85546875" defaultRowHeight="15"/>
  <cols>
    <col min="1" max="1" width="1.140625" customWidth="1"/>
    <col min="2" max="2" width="27.42578125" customWidth="1"/>
    <col min="3" max="3" width="42.7109375" bestFit="1" customWidth="1"/>
    <col min="4" max="4" width="4" customWidth="1"/>
    <col min="5" max="5" width="25.42578125" customWidth="1"/>
    <col min="6" max="6" width="27.42578125" customWidth="1"/>
    <col min="7" max="7" width="4.7109375" customWidth="1"/>
  </cols>
  <sheetData>
    <row r="1" spans="1:7" ht="6" customHeight="1" thickBot="1"/>
    <row r="2" spans="1:7">
      <c r="B2" s="1"/>
      <c r="C2" s="2"/>
      <c r="D2" s="2"/>
      <c r="E2" s="2"/>
      <c r="F2" s="2"/>
      <c r="G2" s="3"/>
    </row>
    <row r="3" spans="1:7">
      <c r="B3" s="4"/>
      <c r="C3" s="5"/>
      <c r="D3" s="5"/>
      <c r="E3" s="5"/>
      <c r="F3" s="5"/>
      <c r="G3" s="6"/>
    </row>
    <row r="4" spans="1:7">
      <c r="B4" s="4"/>
      <c r="C4" s="5"/>
      <c r="D4" s="5"/>
      <c r="E4" s="5"/>
      <c r="F4" s="5"/>
      <c r="G4" s="6"/>
    </row>
    <row r="5" spans="1:7">
      <c r="B5" s="4"/>
      <c r="C5" s="5"/>
      <c r="D5" s="5"/>
      <c r="E5" s="5"/>
      <c r="F5" s="5"/>
      <c r="G5" s="6"/>
    </row>
    <row r="6" spans="1:7">
      <c r="B6" s="4"/>
      <c r="C6" s="5"/>
      <c r="D6" s="5"/>
      <c r="E6" s="5"/>
      <c r="F6" s="5"/>
      <c r="G6" s="6"/>
    </row>
    <row r="7" spans="1:7" ht="16.5" customHeight="1">
      <c r="B7" s="4"/>
      <c r="C7" s="5"/>
      <c r="D7" s="5"/>
      <c r="E7" s="5"/>
      <c r="F7" s="5"/>
      <c r="G7" s="6"/>
    </row>
    <row r="8" spans="1:7" ht="22.5" customHeight="1" thickBot="1">
      <c r="B8" s="4"/>
      <c r="C8" s="95" t="s">
        <v>0</v>
      </c>
      <c r="D8" s="95"/>
      <c r="E8" s="95"/>
      <c r="F8" s="5"/>
      <c r="G8" s="6"/>
    </row>
    <row r="9" spans="1:7" ht="21" thickTop="1">
      <c r="B9" s="4"/>
      <c r="C9" s="7"/>
      <c r="D9" s="7"/>
      <c r="E9" s="5"/>
      <c r="F9" s="5"/>
      <c r="G9" s="6"/>
    </row>
    <row r="10" spans="1:7">
      <c r="B10" s="8" t="s">
        <v>1</v>
      </c>
      <c r="C10" s="9" t="s">
        <v>97</v>
      </c>
      <c r="D10" s="5"/>
      <c r="E10" s="10" t="s">
        <v>2</v>
      </c>
      <c r="F10" s="9" t="s">
        <v>98</v>
      </c>
      <c r="G10" s="6"/>
    </row>
    <row r="11" spans="1:7" ht="3.75" customHeight="1">
      <c r="A11" s="80"/>
      <c r="B11" s="5"/>
      <c r="C11" s="5"/>
      <c r="D11" s="5"/>
      <c r="E11" s="11"/>
      <c r="F11" s="5"/>
      <c r="G11" s="6"/>
    </row>
    <row r="12" spans="1:7">
      <c r="A12" s="80"/>
      <c r="B12" s="12" t="s">
        <v>3</v>
      </c>
      <c r="C12" s="9" t="s">
        <v>99</v>
      </c>
      <c r="D12" s="5"/>
      <c r="E12" s="10" t="s">
        <v>4</v>
      </c>
      <c r="F12" s="82" t="s">
        <v>100</v>
      </c>
      <c r="G12" s="6"/>
    </row>
    <row r="13" spans="1:7" ht="3.75" customHeight="1">
      <c r="A13" s="80"/>
      <c r="B13" s="5"/>
      <c r="C13" s="5"/>
      <c r="D13" s="5"/>
      <c r="E13" s="11"/>
      <c r="F13" s="5"/>
      <c r="G13" s="6"/>
    </row>
    <row r="14" spans="1:7">
      <c r="A14" s="80"/>
      <c r="B14" s="10" t="s">
        <v>5</v>
      </c>
      <c r="C14" s="9" t="s">
        <v>101</v>
      </c>
      <c r="D14" s="5"/>
      <c r="E14" s="10" t="s">
        <v>6</v>
      </c>
      <c r="F14" s="9" t="s">
        <v>107</v>
      </c>
      <c r="G14" s="6"/>
    </row>
    <row r="15" spans="1:7" ht="4.5" customHeight="1">
      <c r="A15" s="80"/>
      <c r="B15" s="13"/>
      <c r="C15" s="5"/>
      <c r="D15" s="5"/>
      <c r="E15" s="11"/>
      <c r="F15" s="5"/>
      <c r="G15" s="6"/>
    </row>
    <row r="16" spans="1:7">
      <c r="A16" s="80"/>
      <c r="B16" s="10" t="s">
        <v>7</v>
      </c>
      <c r="C16" s="9" t="s">
        <v>117</v>
      </c>
      <c r="D16" s="5"/>
      <c r="E16" s="11"/>
      <c r="F16" s="5"/>
      <c r="G16" s="6"/>
    </row>
    <row r="17" spans="1:7" ht="3.75" customHeight="1">
      <c r="A17" s="80"/>
      <c r="B17" s="5"/>
      <c r="C17" s="5"/>
      <c r="D17" s="5"/>
      <c r="E17" s="11"/>
      <c r="F17" s="5"/>
      <c r="G17" s="6"/>
    </row>
    <row r="18" spans="1:7">
      <c r="B18" s="14" t="s">
        <v>8</v>
      </c>
      <c r="C18" s="15" t="s">
        <v>103</v>
      </c>
      <c r="D18" s="5"/>
      <c r="E18" s="86" t="s">
        <v>109</v>
      </c>
      <c r="F18" s="87">
        <v>45292</v>
      </c>
      <c r="G18" s="6"/>
    </row>
    <row r="19" spans="1:7">
      <c r="B19" s="16" t="s">
        <v>9</v>
      </c>
      <c r="C19" s="17" t="s">
        <v>130</v>
      </c>
      <c r="D19" s="5"/>
      <c r="E19" s="88" t="s">
        <v>110</v>
      </c>
      <c r="F19" s="89">
        <v>45322</v>
      </c>
      <c r="G19" s="18"/>
    </row>
    <row r="20" spans="1:7" ht="15.75" thickBot="1">
      <c r="B20" s="4"/>
      <c r="C20" s="19"/>
      <c r="D20" s="19"/>
      <c r="E20" s="20"/>
      <c r="F20" s="21"/>
      <c r="G20" s="18"/>
    </row>
    <row r="21" spans="1:7" ht="18.75" thickBot="1">
      <c r="B21" s="4"/>
      <c r="C21" s="22" t="s">
        <v>10</v>
      </c>
      <c r="D21" s="23"/>
      <c r="E21" s="24"/>
      <c r="F21" s="25" t="s">
        <v>11</v>
      </c>
      <c r="G21" s="18"/>
    </row>
    <row r="22" spans="1:7">
      <c r="B22" s="4"/>
      <c r="C22" s="26" t="s">
        <v>12</v>
      </c>
      <c r="D22" s="26"/>
      <c r="E22" s="27">
        <v>13089.499192727297</v>
      </c>
      <c r="F22" s="28">
        <v>13089.499192727297</v>
      </c>
      <c r="G22" s="29"/>
    </row>
    <row r="23" spans="1:7">
      <c r="B23" s="30">
        <v>143</v>
      </c>
      <c r="C23" s="31" t="s">
        <v>13</v>
      </c>
      <c r="D23" s="31"/>
      <c r="E23" s="27">
        <v>5596.0880000000006</v>
      </c>
      <c r="F23" s="32">
        <v>5596.0880000000006</v>
      </c>
      <c r="G23" s="33"/>
    </row>
    <row r="24" spans="1:7">
      <c r="B24" s="30"/>
      <c r="C24" s="34" t="s">
        <v>14</v>
      </c>
      <c r="D24" s="34"/>
      <c r="E24" s="27">
        <v>0</v>
      </c>
      <c r="F24" s="32">
        <v>0</v>
      </c>
      <c r="G24" s="33"/>
    </row>
    <row r="25" spans="1:7">
      <c r="B25" s="30"/>
      <c r="C25" s="34" t="s">
        <v>15</v>
      </c>
      <c r="D25" s="34"/>
      <c r="E25" s="27">
        <v>0</v>
      </c>
      <c r="F25" s="32">
        <v>0</v>
      </c>
      <c r="G25" s="33"/>
    </row>
    <row r="26" spans="1:7">
      <c r="B26" s="30"/>
      <c r="C26" s="34" t="s">
        <v>16</v>
      </c>
      <c r="D26" s="34"/>
      <c r="E26" s="27">
        <v>0</v>
      </c>
      <c r="F26" s="32">
        <v>0</v>
      </c>
      <c r="G26" s="33"/>
    </row>
    <row r="27" spans="1:7">
      <c r="B27" s="30"/>
      <c r="C27" s="34" t="s">
        <v>17</v>
      </c>
      <c r="D27" s="34"/>
      <c r="E27" s="27">
        <v>0</v>
      </c>
      <c r="F27" s="32">
        <v>0</v>
      </c>
      <c r="G27" s="33"/>
    </row>
    <row r="28" spans="1:7">
      <c r="B28" s="30"/>
      <c r="C28" s="35" t="s">
        <v>18</v>
      </c>
      <c r="D28" s="35"/>
      <c r="E28" s="36">
        <v>18685.587192727296</v>
      </c>
      <c r="F28" s="37">
        <v>18685.587192727296</v>
      </c>
      <c r="G28" s="38"/>
    </row>
    <row r="29" spans="1:7" ht="15.75" thickBot="1">
      <c r="B29" s="30"/>
      <c r="C29" s="39"/>
      <c r="D29" s="39"/>
      <c r="E29" s="40"/>
      <c r="F29" s="41"/>
      <c r="G29" s="38"/>
    </row>
    <row r="30" spans="1:7" ht="18.75" thickBot="1">
      <c r="B30" s="30"/>
      <c r="C30" s="22" t="s">
        <v>19</v>
      </c>
      <c r="D30" s="23"/>
      <c r="E30" s="42"/>
      <c r="F30" s="43"/>
      <c r="G30" s="38"/>
    </row>
    <row r="31" spans="1:7">
      <c r="B31" s="44">
        <v>121</v>
      </c>
      <c r="C31" s="39" t="s">
        <v>20</v>
      </c>
      <c r="D31" s="39"/>
      <c r="E31" s="45"/>
      <c r="F31" s="46"/>
      <c r="G31" s="47"/>
    </row>
    <row r="32" spans="1:7">
      <c r="B32" s="44"/>
      <c r="C32" s="48" t="s">
        <v>21</v>
      </c>
      <c r="D32" s="48"/>
      <c r="E32" s="49">
        <v>362.72039999999993</v>
      </c>
      <c r="F32" s="50">
        <v>362.72039999999993</v>
      </c>
      <c r="G32" s="47"/>
    </row>
    <row r="33" spans="2:7">
      <c r="B33" s="44"/>
      <c r="C33" s="48" t="s">
        <v>22</v>
      </c>
      <c r="D33" s="48"/>
      <c r="E33" s="49">
        <v>373.08383999999955</v>
      </c>
      <c r="F33" s="50">
        <v>373.08383999999955</v>
      </c>
      <c r="G33" s="47"/>
    </row>
    <row r="34" spans="2:7">
      <c r="B34" s="51"/>
      <c r="C34" s="48" t="s">
        <v>23</v>
      </c>
      <c r="D34" s="48"/>
      <c r="E34" s="49">
        <v>445.62792000000002</v>
      </c>
      <c r="F34" s="50">
        <v>445.62792000000002</v>
      </c>
      <c r="G34" s="52"/>
    </row>
    <row r="35" spans="2:7">
      <c r="B35" s="51"/>
      <c r="C35" s="48" t="s">
        <v>24</v>
      </c>
      <c r="D35" s="48"/>
      <c r="E35" s="49">
        <v>305.25041454545419</v>
      </c>
      <c r="F35" s="50">
        <v>305.25041454545419</v>
      </c>
      <c r="G35" s="52"/>
    </row>
    <row r="36" spans="2:7">
      <c r="B36" s="44"/>
      <c r="C36" s="48" t="s">
        <v>25</v>
      </c>
      <c r="D36" s="48"/>
      <c r="E36" s="49">
        <v>0</v>
      </c>
      <c r="F36" s="50">
        <v>0</v>
      </c>
      <c r="G36" s="52"/>
    </row>
    <row r="37" spans="2:7">
      <c r="B37" s="44"/>
      <c r="C37" s="53" t="s">
        <v>26</v>
      </c>
      <c r="D37" s="53"/>
      <c r="E37" s="36">
        <v>1486.6825745454535</v>
      </c>
      <c r="F37" s="54">
        <v>1486.6825745454535</v>
      </c>
      <c r="G37" s="52"/>
    </row>
    <row r="38" spans="2:7">
      <c r="B38" s="44">
        <v>122</v>
      </c>
      <c r="C38" s="39" t="s">
        <v>27</v>
      </c>
      <c r="D38" s="39"/>
      <c r="E38" s="36"/>
      <c r="F38" s="50"/>
      <c r="G38" s="55"/>
    </row>
    <row r="39" spans="2:7">
      <c r="B39" s="44"/>
      <c r="C39" s="48" t="s">
        <v>28</v>
      </c>
      <c r="D39" s="48"/>
      <c r="E39" s="49">
        <v>176.17848000000001</v>
      </c>
      <c r="F39" s="50">
        <v>176.17848000000001</v>
      </c>
      <c r="G39" s="52"/>
    </row>
    <row r="40" spans="2:7">
      <c r="B40" s="44"/>
      <c r="C40" s="48" t="s">
        <v>29</v>
      </c>
      <c r="D40" s="48"/>
      <c r="E40" s="49">
        <v>0</v>
      </c>
      <c r="F40" s="50">
        <v>0</v>
      </c>
      <c r="G40" s="52"/>
    </row>
    <row r="41" spans="2:7">
      <c r="B41" s="44"/>
      <c r="C41" s="48" t="s">
        <v>30</v>
      </c>
      <c r="D41" s="48"/>
      <c r="E41" s="49">
        <v>233.64846545454537</v>
      </c>
      <c r="F41" s="50">
        <v>233.64846545454537</v>
      </c>
      <c r="G41" s="52"/>
    </row>
    <row r="42" spans="2:7">
      <c r="B42" s="44"/>
      <c r="C42" s="48" t="s">
        <v>31</v>
      </c>
      <c r="D42" s="48"/>
      <c r="E42" s="49">
        <v>41.453760000000003</v>
      </c>
      <c r="F42" s="50">
        <v>41.453760000000003</v>
      </c>
      <c r="G42" s="52"/>
    </row>
    <row r="43" spans="2:7">
      <c r="B43" s="44"/>
      <c r="C43" s="48" t="s">
        <v>32</v>
      </c>
      <c r="D43" s="48"/>
      <c r="E43" s="49">
        <v>165.81504000000001</v>
      </c>
      <c r="F43" s="50">
        <v>165.81504000000001</v>
      </c>
      <c r="G43" s="52"/>
    </row>
    <row r="44" spans="2:7">
      <c r="B44" s="44"/>
      <c r="C44" s="48" t="s">
        <v>33</v>
      </c>
      <c r="D44" s="48"/>
      <c r="E44" s="49">
        <v>0</v>
      </c>
      <c r="F44" s="50">
        <v>0</v>
      </c>
      <c r="G44" s="52"/>
    </row>
    <row r="45" spans="2:7">
      <c r="B45" s="44"/>
      <c r="C45" s="48" t="s">
        <v>34</v>
      </c>
      <c r="D45" s="48"/>
      <c r="E45" s="49">
        <v>0</v>
      </c>
      <c r="F45" s="50">
        <v>0</v>
      </c>
      <c r="G45" s="52"/>
    </row>
    <row r="46" spans="2:7">
      <c r="B46" s="44"/>
      <c r="C46" s="48" t="s">
        <v>35</v>
      </c>
      <c r="D46" s="48"/>
      <c r="E46" s="49">
        <v>0</v>
      </c>
      <c r="F46" s="50">
        <v>0</v>
      </c>
      <c r="G46" s="52"/>
    </row>
    <row r="47" spans="2:7">
      <c r="B47" s="44"/>
      <c r="C47" s="53" t="s">
        <v>26</v>
      </c>
      <c r="D47" s="53"/>
      <c r="E47" s="36">
        <v>617.09574545454529</v>
      </c>
      <c r="F47" s="54">
        <v>617.09574545454529</v>
      </c>
      <c r="G47" s="52"/>
    </row>
    <row r="48" spans="2:7">
      <c r="B48" s="44">
        <v>123</v>
      </c>
      <c r="C48" s="39" t="s">
        <v>36</v>
      </c>
      <c r="D48" s="39"/>
      <c r="E48" s="56"/>
      <c r="F48" s="57"/>
      <c r="G48" s="52"/>
    </row>
    <row r="49" spans="2:7">
      <c r="B49" s="44"/>
      <c r="C49" s="48" t="s">
        <v>37</v>
      </c>
      <c r="D49" s="48"/>
      <c r="E49" s="49">
        <v>150.7409454545454</v>
      </c>
      <c r="F49" s="50">
        <v>150.7409454545454</v>
      </c>
      <c r="G49" s="52"/>
    </row>
    <row r="50" spans="2:7">
      <c r="B50" s="44"/>
      <c r="C50" s="48" t="s">
        <v>38</v>
      </c>
      <c r="D50" s="48"/>
      <c r="E50" s="49">
        <v>0</v>
      </c>
      <c r="F50" s="50">
        <v>0</v>
      </c>
      <c r="G50" s="52"/>
    </row>
    <row r="51" spans="2:7">
      <c r="B51" s="44"/>
      <c r="C51" s="48" t="s">
        <v>39</v>
      </c>
      <c r="D51" s="48"/>
      <c r="E51" s="49">
        <v>177.1206109090908</v>
      </c>
      <c r="F51" s="50">
        <v>177.1206109090908</v>
      </c>
      <c r="G51" s="52"/>
    </row>
    <row r="52" spans="2:7">
      <c r="B52" s="44"/>
      <c r="C52" s="48" t="s">
        <v>40</v>
      </c>
      <c r="D52" s="48"/>
      <c r="E52" s="49">
        <v>135.66685090909078</v>
      </c>
      <c r="F52" s="50">
        <v>135.66685090909078</v>
      </c>
      <c r="G52" s="52"/>
    </row>
    <row r="53" spans="2:7">
      <c r="B53" s="44"/>
      <c r="C53" s="48" t="s">
        <v>41</v>
      </c>
      <c r="D53" s="48"/>
      <c r="E53" s="49">
        <v>0</v>
      </c>
      <c r="F53" s="50">
        <v>0</v>
      </c>
      <c r="G53" s="52"/>
    </row>
    <row r="54" spans="2:7">
      <c r="B54" s="44"/>
      <c r="C54" s="48" t="s">
        <v>42</v>
      </c>
      <c r="D54" s="48"/>
      <c r="E54" s="49">
        <v>238.35912000000002</v>
      </c>
      <c r="F54" s="50">
        <v>238.35912000000002</v>
      </c>
      <c r="G54" s="52"/>
    </row>
    <row r="55" spans="2:7">
      <c r="B55" s="44"/>
      <c r="C55" s="53" t="s">
        <v>26</v>
      </c>
      <c r="D55" s="53"/>
      <c r="E55" s="36">
        <v>701.88752727272697</v>
      </c>
      <c r="F55" s="54">
        <v>701.88752727272697</v>
      </c>
      <c r="G55" s="52"/>
    </row>
    <row r="56" spans="2:7">
      <c r="B56" s="44">
        <v>124</v>
      </c>
      <c r="C56" s="39" t="s">
        <v>43</v>
      </c>
      <c r="D56" s="39"/>
      <c r="E56" s="56"/>
      <c r="F56" s="57"/>
      <c r="G56" s="52"/>
    </row>
    <row r="57" spans="2:7">
      <c r="B57" s="44"/>
      <c r="C57" s="48" t="s">
        <v>44</v>
      </c>
      <c r="D57" s="48"/>
      <c r="E57" s="49">
        <v>448.45431272727234</v>
      </c>
      <c r="F57" s="50">
        <v>448.45431272727234</v>
      </c>
      <c r="G57" s="52"/>
    </row>
    <row r="58" spans="2:7">
      <c r="B58" s="44"/>
      <c r="C58" s="48" t="s">
        <v>45</v>
      </c>
      <c r="D58" s="48"/>
      <c r="E58" s="49">
        <v>0</v>
      </c>
      <c r="F58" s="50">
        <v>0</v>
      </c>
      <c r="G58" s="52"/>
    </row>
    <row r="59" spans="2:7">
      <c r="B59" s="44"/>
      <c r="C59" s="48" t="s">
        <v>46</v>
      </c>
      <c r="D59" s="48"/>
      <c r="E59" s="49">
        <v>0</v>
      </c>
      <c r="F59" s="50">
        <v>0</v>
      </c>
      <c r="G59" s="52"/>
    </row>
    <row r="60" spans="2:7">
      <c r="B60" s="44"/>
      <c r="C60" s="53" t="s">
        <v>26</v>
      </c>
      <c r="D60" s="53"/>
      <c r="E60" s="36">
        <v>448.45431272727234</v>
      </c>
      <c r="F60" s="54">
        <v>448.45431272727234</v>
      </c>
      <c r="G60" s="52"/>
    </row>
    <row r="61" spans="2:7">
      <c r="B61" s="44">
        <v>125</v>
      </c>
      <c r="C61" s="39" t="s">
        <v>47</v>
      </c>
      <c r="D61" s="39"/>
      <c r="E61" s="36"/>
      <c r="F61" s="50"/>
      <c r="G61" s="52"/>
    </row>
    <row r="62" spans="2:7">
      <c r="B62" s="44"/>
      <c r="C62" s="48" t="s">
        <v>48</v>
      </c>
      <c r="D62" s="48"/>
      <c r="E62" s="58">
        <v>0</v>
      </c>
      <c r="F62" s="50">
        <v>0</v>
      </c>
      <c r="G62" s="52"/>
    </row>
    <row r="63" spans="2:7">
      <c r="B63" s="44"/>
      <c r="C63" s="48" t="s">
        <v>49</v>
      </c>
      <c r="D63" s="48"/>
      <c r="E63" s="58">
        <v>0</v>
      </c>
      <c r="F63" s="50">
        <v>0</v>
      </c>
      <c r="G63" s="52"/>
    </row>
    <row r="64" spans="2:7">
      <c r="B64" s="44"/>
      <c r="C64" s="48" t="s">
        <v>50</v>
      </c>
      <c r="D64" s="48"/>
      <c r="E64" s="58">
        <v>725.44080000000008</v>
      </c>
      <c r="F64" s="50">
        <v>725.44080000000008</v>
      </c>
      <c r="G64" s="52"/>
    </row>
    <row r="65" spans="2:7">
      <c r="B65" s="44"/>
      <c r="C65" s="48" t="s">
        <v>51</v>
      </c>
      <c r="D65" s="48"/>
      <c r="E65" s="58">
        <v>165.81504000000001</v>
      </c>
      <c r="F65" s="50">
        <v>165.81504000000001</v>
      </c>
      <c r="G65" s="52"/>
    </row>
    <row r="66" spans="2:7">
      <c r="B66" s="44"/>
      <c r="C66" s="53" t="s">
        <v>26</v>
      </c>
      <c r="D66" s="53"/>
      <c r="E66" s="56">
        <v>891.25584000000003</v>
      </c>
      <c r="F66" s="54">
        <v>891.25584000000003</v>
      </c>
      <c r="G66" s="52"/>
    </row>
    <row r="67" spans="2:7">
      <c r="B67" s="44">
        <v>126</v>
      </c>
      <c r="C67" s="39" t="s">
        <v>52</v>
      </c>
      <c r="D67" s="39"/>
      <c r="E67" s="56"/>
      <c r="F67" s="50"/>
      <c r="G67" s="52"/>
    </row>
    <row r="68" spans="2:7">
      <c r="B68" s="44"/>
      <c r="C68" s="48" t="s">
        <v>53</v>
      </c>
      <c r="D68" s="48"/>
      <c r="E68" s="49">
        <v>0</v>
      </c>
      <c r="F68" s="50">
        <v>0</v>
      </c>
      <c r="G68" s="52"/>
    </row>
    <row r="69" spans="2:7">
      <c r="B69" s="44"/>
      <c r="C69" s="48" t="s">
        <v>54</v>
      </c>
      <c r="D69" s="48"/>
      <c r="E69" s="49">
        <v>0</v>
      </c>
      <c r="F69" s="50"/>
      <c r="G69" s="52"/>
    </row>
    <row r="70" spans="2:7">
      <c r="B70" s="44"/>
      <c r="C70" s="48" t="s">
        <v>55</v>
      </c>
      <c r="D70" s="48"/>
      <c r="E70" s="49">
        <v>0</v>
      </c>
      <c r="F70" s="50"/>
      <c r="G70" s="52"/>
    </row>
    <row r="71" spans="2:7">
      <c r="B71" s="44"/>
      <c r="C71" s="48" t="s">
        <v>56</v>
      </c>
      <c r="D71" s="48"/>
      <c r="E71" s="49">
        <v>0</v>
      </c>
      <c r="F71" s="57"/>
      <c r="G71" s="52"/>
    </row>
    <row r="72" spans="2:7">
      <c r="B72" s="44"/>
      <c r="C72" s="53" t="s">
        <v>26</v>
      </c>
      <c r="D72" s="53"/>
      <c r="E72" s="56">
        <v>0</v>
      </c>
      <c r="F72" s="54">
        <v>0</v>
      </c>
      <c r="G72" s="52"/>
    </row>
    <row r="73" spans="2:7">
      <c r="B73" s="44">
        <v>127</v>
      </c>
      <c r="C73" s="39" t="s">
        <v>57</v>
      </c>
      <c r="D73" s="39"/>
      <c r="E73" s="56"/>
      <c r="F73" s="54"/>
      <c r="G73" s="52"/>
    </row>
    <row r="74" spans="2:7">
      <c r="B74" s="44"/>
      <c r="C74" s="48" t="s">
        <v>58</v>
      </c>
      <c r="D74" s="48"/>
      <c r="E74" s="49">
        <v>0</v>
      </c>
      <c r="F74" s="50">
        <v>0</v>
      </c>
      <c r="G74" s="52"/>
    </row>
    <row r="75" spans="2:7">
      <c r="B75" s="44"/>
      <c r="C75" s="48" t="s">
        <v>59</v>
      </c>
      <c r="D75" s="48"/>
      <c r="E75" s="49">
        <v>0</v>
      </c>
      <c r="F75" s="50">
        <v>0</v>
      </c>
      <c r="G75" s="52"/>
    </row>
    <row r="76" spans="2:7">
      <c r="B76" s="44"/>
      <c r="C76" s="48" t="s">
        <v>60</v>
      </c>
      <c r="D76" s="48"/>
      <c r="E76" s="49">
        <v>0</v>
      </c>
      <c r="F76" s="50">
        <v>0</v>
      </c>
      <c r="G76" s="52"/>
    </row>
    <row r="77" spans="2:7">
      <c r="B77" s="44"/>
      <c r="C77" s="59" t="s">
        <v>61</v>
      </c>
      <c r="D77" s="59"/>
      <c r="E77" s="49">
        <v>0</v>
      </c>
      <c r="F77" s="50">
        <v>0</v>
      </c>
      <c r="G77" s="52"/>
    </row>
    <row r="78" spans="2:7">
      <c r="B78" s="44"/>
      <c r="C78" s="53" t="s">
        <v>26</v>
      </c>
      <c r="D78" s="53"/>
      <c r="E78" s="56">
        <v>0</v>
      </c>
      <c r="F78" s="54">
        <v>0</v>
      </c>
      <c r="G78" s="52"/>
    </row>
    <row r="79" spans="2:7">
      <c r="B79" s="44">
        <v>128</v>
      </c>
      <c r="C79" s="39" t="s">
        <v>62</v>
      </c>
      <c r="D79" s="39"/>
      <c r="E79" s="56"/>
      <c r="F79" s="54"/>
      <c r="G79" s="52"/>
    </row>
    <row r="80" spans="2:7">
      <c r="B80" s="44"/>
      <c r="C80" s="48" t="s">
        <v>63</v>
      </c>
      <c r="D80" s="48"/>
      <c r="E80" s="49">
        <v>0</v>
      </c>
      <c r="F80" s="50">
        <v>0</v>
      </c>
      <c r="G80" s="52"/>
    </row>
    <row r="81" spans="2:7">
      <c r="B81" s="44"/>
      <c r="C81" s="48" t="s">
        <v>64</v>
      </c>
      <c r="D81" s="48"/>
      <c r="E81" s="49">
        <v>0</v>
      </c>
      <c r="F81" s="50">
        <v>0</v>
      </c>
      <c r="G81" s="52"/>
    </row>
    <row r="82" spans="2:7">
      <c r="B82" s="44"/>
      <c r="C82" s="48" t="s">
        <v>65</v>
      </c>
      <c r="D82" s="48"/>
      <c r="E82" s="49">
        <v>0</v>
      </c>
      <c r="F82" s="50">
        <v>0</v>
      </c>
      <c r="G82" s="52"/>
    </row>
    <row r="83" spans="2:7">
      <c r="B83" s="44"/>
      <c r="C83" s="48" t="s">
        <v>66</v>
      </c>
      <c r="D83" s="48"/>
      <c r="E83" s="49">
        <v>0</v>
      </c>
      <c r="F83" s="50">
        <v>0</v>
      </c>
      <c r="G83" s="52"/>
    </row>
    <row r="84" spans="2:7">
      <c r="B84" s="44"/>
      <c r="C84" s="48" t="s">
        <v>67</v>
      </c>
      <c r="D84" s="48"/>
      <c r="E84" s="49">
        <v>0</v>
      </c>
      <c r="F84" s="50">
        <v>0</v>
      </c>
      <c r="G84" s="52"/>
    </row>
    <row r="85" spans="2:7">
      <c r="B85" s="44"/>
      <c r="C85" s="53" t="s">
        <v>26</v>
      </c>
      <c r="D85" s="53"/>
      <c r="E85" s="56">
        <v>0</v>
      </c>
      <c r="F85" s="54">
        <v>0</v>
      </c>
      <c r="G85" s="52"/>
    </row>
    <row r="86" spans="2:7">
      <c r="B86" s="44">
        <v>135</v>
      </c>
      <c r="C86" s="39" t="s">
        <v>68</v>
      </c>
      <c r="D86" s="39"/>
      <c r="E86" s="56"/>
      <c r="F86" s="50"/>
      <c r="G86" s="52"/>
    </row>
    <row r="87" spans="2:7">
      <c r="B87" s="44"/>
      <c r="C87" s="48" t="s">
        <v>69</v>
      </c>
      <c r="D87" s="48"/>
      <c r="E87" s="49">
        <v>0</v>
      </c>
      <c r="F87" s="50">
        <v>0</v>
      </c>
      <c r="G87" s="52"/>
    </row>
    <row r="88" spans="2:7">
      <c r="B88" s="44"/>
      <c r="C88" s="48" t="s">
        <v>70</v>
      </c>
      <c r="D88" s="48"/>
      <c r="E88" s="49">
        <v>0</v>
      </c>
      <c r="F88" s="50">
        <v>0</v>
      </c>
      <c r="G88" s="52"/>
    </row>
    <row r="89" spans="2:7">
      <c r="B89" s="44"/>
      <c r="C89" s="48" t="s">
        <v>71</v>
      </c>
      <c r="D89" s="48"/>
      <c r="E89" s="49">
        <v>0</v>
      </c>
      <c r="F89" s="50">
        <v>0</v>
      </c>
      <c r="G89" s="52"/>
    </row>
    <row r="90" spans="2:7">
      <c r="B90" s="44"/>
      <c r="C90" s="48" t="s">
        <v>72</v>
      </c>
      <c r="D90" s="48"/>
      <c r="E90" s="49">
        <v>0</v>
      </c>
      <c r="F90" s="50">
        <v>0</v>
      </c>
      <c r="G90" s="52"/>
    </row>
    <row r="91" spans="2:7">
      <c r="B91" s="44"/>
      <c r="C91" s="48" t="s">
        <v>73</v>
      </c>
      <c r="D91" s="48"/>
      <c r="E91" s="49">
        <v>0</v>
      </c>
      <c r="F91" s="50">
        <v>0</v>
      </c>
      <c r="G91" s="52"/>
    </row>
    <row r="92" spans="2:7">
      <c r="B92" s="44"/>
      <c r="C92" s="48" t="s">
        <v>74</v>
      </c>
      <c r="D92" s="48"/>
      <c r="E92" s="49">
        <v>0</v>
      </c>
      <c r="F92" s="50">
        <v>0</v>
      </c>
      <c r="G92" s="52"/>
    </row>
    <row r="93" spans="2:7">
      <c r="B93" s="44"/>
      <c r="C93" s="48" t="s">
        <v>75</v>
      </c>
      <c r="D93" s="48"/>
      <c r="E93" s="49">
        <v>0</v>
      </c>
      <c r="F93" s="50">
        <v>0</v>
      </c>
      <c r="G93" s="52"/>
    </row>
    <row r="94" spans="2:7">
      <c r="B94" s="44"/>
      <c r="C94" s="48" t="s">
        <v>76</v>
      </c>
      <c r="D94" s="48"/>
      <c r="E94" s="49">
        <v>0</v>
      </c>
      <c r="F94" s="50">
        <v>0</v>
      </c>
      <c r="G94" s="52"/>
    </row>
    <row r="95" spans="2:7">
      <c r="B95" s="44"/>
      <c r="C95" s="48" t="s">
        <v>77</v>
      </c>
      <c r="D95" s="48"/>
      <c r="E95" s="49">
        <v>0</v>
      </c>
      <c r="F95" s="50">
        <v>0</v>
      </c>
      <c r="G95" s="52"/>
    </row>
    <row r="96" spans="2:7">
      <c r="B96" s="44"/>
      <c r="C96" s="53" t="s">
        <v>26</v>
      </c>
      <c r="D96" s="53"/>
      <c r="E96" s="56">
        <v>0</v>
      </c>
      <c r="F96" s="54">
        <v>0</v>
      </c>
      <c r="G96" s="52"/>
    </row>
    <row r="97" spans="2:7">
      <c r="B97" s="44">
        <v>136</v>
      </c>
      <c r="C97" s="39" t="s">
        <v>78</v>
      </c>
      <c r="D97" s="39"/>
      <c r="E97" s="56"/>
      <c r="F97" s="50"/>
      <c r="G97" s="52"/>
    </row>
    <row r="98" spans="2:7">
      <c r="B98" s="44"/>
      <c r="C98" s="48" t="s">
        <v>79</v>
      </c>
      <c r="D98" s="48"/>
      <c r="E98" s="49">
        <v>0</v>
      </c>
      <c r="F98" s="50">
        <v>0</v>
      </c>
      <c r="G98" s="52"/>
    </row>
    <row r="99" spans="2:7">
      <c r="B99" s="44"/>
      <c r="C99" s="48" t="s">
        <v>80</v>
      </c>
      <c r="D99" s="48"/>
      <c r="E99" s="49">
        <v>0</v>
      </c>
      <c r="F99" s="50">
        <v>0</v>
      </c>
      <c r="G99" s="52"/>
    </row>
    <row r="100" spans="2:7">
      <c r="B100" s="44"/>
      <c r="C100" s="48" t="s">
        <v>81</v>
      </c>
      <c r="D100" s="48"/>
      <c r="E100" s="49">
        <v>0</v>
      </c>
      <c r="F100" s="50">
        <v>0</v>
      </c>
      <c r="G100" s="52"/>
    </row>
    <row r="101" spans="2:7">
      <c r="B101" s="44"/>
      <c r="C101" s="48" t="s">
        <v>82</v>
      </c>
      <c r="D101" s="48"/>
      <c r="E101" s="49">
        <v>0</v>
      </c>
      <c r="F101" s="50">
        <v>0</v>
      </c>
      <c r="G101" s="52"/>
    </row>
    <row r="102" spans="2:7">
      <c r="B102" s="44"/>
      <c r="C102" s="48" t="s">
        <v>83</v>
      </c>
      <c r="D102" s="48"/>
      <c r="E102" s="49">
        <v>0</v>
      </c>
      <c r="F102" s="50">
        <v>0</v>
      </c>
      <c r="G102" s="52"/>
    </row>
    <row r="103" spans="2:7">
      <c r="B103" s="44"/>
      <c r="C103" s="48" t="s">
        <v>84</v>
      </c>
      <c r="D103" s="48"/>
      <c r="E103" s="49">
        <v>0</v>
      </c>
      <c r="F103" s="50">
        <v>0</v>
      </c>
      <c r="G103" s="52"/>
    </row>
    <row r="104" spans="2:7">
      <c r="B104" s="44"/>
      <c r="C104" s="53" t="s">
        <v>26</v>
      </c>
      <c r="D104" s="53"/>
      <c r="E104" s="56">
        <v>0</v>
      </c>
      <c r="F104" s="54">
        <v>0</v>
      </c>
      <c r="G104" s="52"/>
    </row>
    <row r="105" spans="2:7">
      <c r="B105" s="44">
        <v>142</v>
      </c>
      <c r="C105" s="39" t="s">
        <v>85</v>
      </c>
      <c r="D105" s="39"/>
      <c r="E105" s="56"/>
      <c r="F105" s="50"/>
      <c r="G105" s="52"/>
    </row>
    <row r="106" spans="2:7">
      <c r="B106" s="44"/>
      <c r="C106" s="48" t="s">
        <v>86</v>
      </c>
      <c r="D106" s="48"/>
      <c r="E106" s="49">
        <v>0</v>
      </c>
      <c r="F106" s="50">
        <v>0</v>
      </c>
      <c r="G106" s="52"/>
    </row>
    <row r="107" spans="2:7">
      <c r="B107" s="44"/>
      <c r="C107" s="48" t="s">
        <v>87</v>
      </c>
      <c r="D107" s="48"/>
      <c r="E107" s="49">
        <v>0</v>
      </c>
      <c r="F107" s="50">
        <v>0</v>
      </c>
      <c r="G107" s="52"/>
    </row>
    <row r="108" spans="2:7">
      <c r="B108" s="44"/>
      <c r="C108" s="53" t="s">
        <v>26</v>
      </c>
      <c r="D108" s="53"/>
      <c r="E108" s="56">
        <v>0</v>
      </c>
      <c r="F108" s="54">
        <v>0</v>
      </c>
      <c r="G108" s="52"/>
    </row>
    <row r="109" spans="2:7">
      <c r="B109" s="44">
        <v>144</v>
      </c>
      <c r="C109" s="39" t="s">
        <v>88</v>
      </c>
      <c r="D109" s="39"/>
      <c r="E109" s="49">
        <v>0</v>
      </c>
      <c r="F109" s="54">
        <v>0</v>
      </c>
      <c r="G109" s="52"/>
    </row>
    <row r="110" spans="2:7">
      <c r="B110" s="44">
        <v>221</v>
      </c>
      <c r="C110" s="39" t="s">
        <v>89</v>
      </c>
      <c r="D110" s="39"/>
      <c r="E110" s="49">
        <v>0</v>
      </c>
      <c r="F110" s="54">
        <v>0</v>
      </c>
      <c r="G110" s="52"/>
    </row>
    <row r="111" spans="2:7">
      <c r="B111" s="44">
        <v>222</v>
      </c>
      <c r="C111" s="39" t="s">
        <v>90</v>
      </c>
      <c r="D111" s="39"/>
      <c r="E111" s="49">
        <v>0</v>
      </c>
      <c r="F111" s="54">
        <v>0</v>
      </c>
      <c r="G111" s="52"/>
    </row>
    <row r="112" spans="2:7">
      <c r="B112" s="44">
        <v>224</v>
      </c>
      <c r="C112" s="39" t="s">
        <v>91</v>
      </c>
      <c r="D112" s="39"/>
      <c r="E112" s="49">
        <v>0</v>
      </c>
      <c r="F112" s="54">
        <v>0</v>
      </c>
      <c r="G112" s="52"/>
    </row>
    <row r="113" spans="2:7">
      <c r="B113" s="44">
        <v>225</v>
      </c>
      <c r="C113" s="39" t="s">
        <v>92</v>
      </c>
      <c r="D113" s="39"/>
      <c r="E113" s="49">
        <v>0</v>
      </c>
      <c r="F113" s="54">
        <v>0</v>
      </c>
      <c r="G113" s="38"/>
    </row>
    <row r="114" spans="2:7">
      <c r="B114" s="44">
        <v>226</v>
      </c>
      <c r="C114" s="39" t="s">
        <v>93</v>
      </c>
      <c r="D114" s="39"/>
      <c r="E114" s="49">
        <v>0</v>
      </c>
      <c r="F114" s="54">
        <v>0</v>
      </c>
      <c r="G114" s="60"/>
    </row>
    <row r="115" spans="2:7" ht="15.75" thickBot="1">
      <c r="B115" s="61"/>
      <c r="C115" s="62" t="s">
        <v>94</v>
      </c>
      <c r="D115" s="62"/>
      <c r="E115" s="90">
        <v>0</v>
      </c>
      <c r="F115" s="63">
        <v>0</v>
      </c>
      <c r="G115" s="38"/>
    </row>
    <row r="116" spans="2:7">
      <c r="B116" s="64"/>
      <c r="C116" s="65" t="s">
        <v>95</v>
      </c>
      <c r="D116" s="66"/>
      <c r="E116" s="91">
        <v>4145.3759999999975</v>
      </c>
      <c r="F116" s="68">
        <v>4145.3759999999975</v>
      </c>
      <c r="G116" s="69"/>
    </row>
    <row r="117" spans="2:7" ht="15.75" thickBot="1">
      <c r="B117" s="64"/>
      <c r="C117" s="70"/>
      <c r="D117" s="71"/>
      <c r="E117" s="92"/>
      <c r="F117" s="73"/>
      <c r="G117" s="69"/>
    </row>
    <row r="118" spans="2:7" ht="15.75" thickBot="1">
      <c r="B118" s="64"/>
      <c r="C118" s="70" t="s">
        <v>96</v>
      </c>
      <c r="D118" s="71"/>
      <c r="E118" s="93">
        <v>14540.2111927273</v>
      </c>
      <c r="F118" s="75">
        <v>14540.2111927273</v>
      </c>
      <c r="G118" s="76"/>
    </row>
    <row r="119" spans="2:7" ht="8.25" customHeight="1" thickBot="1">
      <c r="B119" s="77"/>
      <c r="C119" s="81"/>
      <c r="D119" s="81"/>
      <c r="E119" s="78"/>
      <c r="F119" s="78"/>
      <c r="G119" s="79"/>
    </row>
    <row r="120" spans="2:7">
      <c r="B120" s="83"/>
      <c r="C120" s="84"/>
      <c r="D120" s="84"/>
      <c r="E120" s="85"/>
      <c r="F120" s="83"/>
      <c r="G120" s="85"/>
    </row>
    <row r="121" spans="2:7" ht="6" customHeight="1" thickBot="1"/>
    <row r="122" spans="2:7">
      <c r="B122" s="1"/>
      <c r="C122" s="2"/>
      <c r="D122" s="2"/>
      <c r="E122" s="2"/>
      <c r="F122" s="2"/>
      <c r="G122" s="3"/>
    </row>
    <row r="123" spans="2:7">
      <c r="B123" s="4"/>
      <c r="C123" s="5"/>
      <c r="D123" s="5"/>
      <c r="E123" s="5"/>
      <c r="F123" s="5"/>
      <c r="G123" s="6"/>
    </row>
    <row r="124" spans="2:7">
      <c r="B124" s="4"/>
      <c r="C124" s="5"/>
      <c r="D124" s="5"/>
      <c r="E124" s="5"/>
      <c r="F124" s="5"/>
      <c r="G124" s="6"/>
    </row>
    <row r="125" spans="2:7">
      <c r="B125" s="4"/>
      <c r="C125" s="5"/>
      <c r="D125" s="5"/>
      <c r="E125" s="5"/>
      <c r="F125" s="5"/>
      <c r="G125" s="6"/>
    </row>
    <row r="126" spans="2:7">
      <c r="B126" s="4"/>
      <c r="C126" s="5"/>
      <c r="D126" s="5"/>
      <c r="E126" s="5"/>
      <c r="F126" s="5"/>
      <c r="G126" s="6"/>
    </row>
    <row r="127" spans="2:7" ht="16.5" customHeight="1">
      <c r="B127" s="4"/>
      <c r="C127" s="5"/>
      <c r="D127" s="5"/>
      <c r="E127" s="5"/>
      <c r="F127" s="5"/>
      <c r="G127" s="6"/>
    </row>
    <row r="128" spans="2:7" ht="22.5" customHeight="1" thickBot="1">
      <c r="B128" s="4"/>
      <c r="C128" s="95" t="s">
        <v>0</v>
      </c>
      <c r="D128" s="95"/>
      <c r="E128" s="95"/>
      <c r="F128" s="5"/>
      <c r="G128" s="6"/>
    </row>
    <row r="129" spans="1:7" ht="21" thickTop="1">
      <c r="B129" s="4"/>
      <c r="C129" s="7"/>
      <c r="D129" s="7"/>
      <c r="E129" s="5"/>
      <c r="F129" s="5"/>
      <c r="G129" s="6"/>
    </row>
    <row r="130" spans="1:7">
      <c r="B130" s="8" t="s">
        <v>1</v>
      </c>
      <c r="C130" s="9" t="s">
        <v>97</v>
      </c>
      <c r="D130" s="5"/>
      <c r="E130" s="10" t="s">
        <v>2</v>
      </c>
      <c r="F130" s="9" t="s">
        <v>98</v>
      </c>
      <c r="G130" s="6"/>
    </row>
    <row r="131" spans="1:7" ht="3.75" customHeight="1">
      <c r="A131" s="80"/>
      <c r="B131" s="5"/>
      <c r="C131" s="5"/>
      <c r="D131" s="5"/>
      <c r="E131" s="11"/>
      <c r="F131" s="5"/>
      <c r="G131" s="6"/>
    </row>
    <row r="132" spans="1:7">
      <c r="A132" s="80"/>
      <c r="B132" s="12" t="s">
        <v>3</v>
      </c>
      <c r="C132" s="9" t="s">
        <v>99</v>
      </c>
      <c r="D132" s="5"/>
      <c r="E132" s="10" t="s">
        <v>4</v>
      </c>
      <c r="F132" s="82" t="s">
        <v>100</v>
      </c>
      <c r="G132" s="6"/>
    </row>
    <row r="133" spans="1:7" ht="3.75" customHeight="1">
      <c r="A133" s="80"/>
      <c r="B133" s="5"/>
      <c r="C133" s="5"/>
      <c r="D133" s="5"/>
      <c r="E133" s="11"/>
      <c r="F133" s="5"/>
      <c r="G133" s="6"/>
    </row>
    <row r="134" spans="1:7">
      <c r="A134" s="80"/>
      <c r="B134" s="10" t="s">
        <v>5</v>
      </c>
      <c r="C134" s="9" t="s">
        <v>101</v>
      </c>
      <c r="D134" s="5"/>
      <c r="E134" s="10" t="s">
        <v>6</v>
      </c>
      <c r="F134" s="9" t="s">
        <v>107</v>
      </c>
      <c r="G134" s="6"/>
    </row>
    <row r="135" spans="1:7" ht="4.5" customHeight="1">
      <c r="A135" s="80"/>
      <c r="B135" s="13"/>
      <c r="C135" s="5"/>
      <c r="D135" s="5"/>
      <c r="E135" s="11"/>
      <c r="F135" s="5"/>
      <c r="G135" s="6"/>
    </row>
    <row r="136" spans="1:7">
      <c r="A136" s="80"/>
      <c r="B136" s="10" t="s">
        <v>7</v>
      </c>
      <c r="C136" s="9" t="s">
        <v>117</v>
      </c>
      <c r="D136" s="5"/>
      <c r="E136" s="11"/>
      <c r="F136" s="5"/>
      <c r="G136" s="6"/>
    </row>
    <row r="137" spans="1:7" ht="3.75" customHeight="1">
      <c r="A137" s="80"/>
      <c r="B137" s="5"/>
      <c r="C137" s="5"/>
      <c r="D137" s="5"/>
      <c r="E137" s="11"/>
      <c r="F137" s="5"/>
      <c r="G137" s="6"/>
    </row>
    <row r="138" spans="1:7">
      <c r="B138" s="14" t="s">
        <v>8</v>
      </c>
      <c r="C138" s="15" t="s">
        <v>104</v>
      </c>
      <c r="D138" s="5"/>
      <c r="E138" s="86" t="s">
        <v>109</v>
      </c>
      <c r="F138" s="87">
        <v>45323</v>
      </c>
      <c r="G138" s="6"/>
    </row>
    <row r="139" spans="1:7">
      <c r="B139" s="16" t="s">
        <v>9</v>
      </c>
      <c r="C139" s="17" t="s">
        <v>130</v>
      </c>
      <c r="D139" s="5"/>
      <c r="E139" s="88" t="s">
        <v>110</v>
      </c>
      <c r="F139" s="89">
        <v>45351</v>
      </c>
      <c r="G139" s="18"/>
    </row>
    <row r="140" spans="1:7" ht="15.75" thickBot="1">
      <c r="B140" s="4"/>
      <c r="C140" s="19"/>
      <c r="D140" s="19"/>
      <c r="E140" s="20"/>
      <c r="F140" s="21"/>
      <c r="G140" s="18"/>
    </row>
    <row r="141" spans="1:7" ht="18.75" thickBot="1">
      <c r="B141" s="4"/>
      <c r="C141" s="22" t="s">
        <v>10</v>
      </c>
      <c r="D141" s="23"/>
      <c r="E141" s="24"/>
      <c r="F141" s="25" t="s">
        <v>11</v>
      </c>
      <c r="G141" s="18"/>
    </row>
    <row r="142" spans="1:7">
      <c r="B142" s="4"/>
      <c r="C142" s="26" t="s">
        <v>12</v>
      </c>
      <c r="D142" s="26"/>
      <c r="E142" s="27">
        <v>14540.2111927273</v>
      </c>
      <c r="F142" s="28">
        <v>14540.2111927273</v>
      </c>
      <c r="G142" s="29"/>
    </row>
    <row r="143" spans="1:7">
      <c r="B143" s="30">
        <v>143</v>
      </c>
      <c r="C143" s="31" t="s">
        <v>13</v>
      </c>
      <c r="D143" s="31"/>
      <c r="E143" s="27">
        <v>5596.0880000000006</v>
      </c>
      <c r="F143" s="32">
        <v>5596.0880000000006</v>
      </c>
      <c r="G143" s="33"/>
    </row>
    <row r="144" spans="1:7">
      <c r="B144" s="30"/>
      <c r="C144" s="34" t="s">
        <v>14</v>
      </c>
      <c r="D144" s="34"/>
      <c r="E144" s="27">
        <v>0</v>
      </c>
      <c r="F144" s="32">
        <v>0</v>
      </c>
      <c r="G144" s="33"/>
    </row>
    <row r="145" spans="2:7">
      <c r="B145" s="30"/>
      <c r="C145" s="34" t="s">
        <v>15</v>
      </c>
      <c r="D145" s="34"/>
      <c r="E145" s="27">
        <v>0</v>
      </c>
      <c r="F145" s="32">
        <v>0</v>
      </c>
      <c r="G145" s="33"/>
    </row>
    <row r="146" spans="2:7">
      <c r="B146" s="30"/>
      <c r="C146" s="34" t="s">
        <v>16</v>
      </c>
      <c r="D146" s="34"/>
      <c r="E146" s="27">
        <v>0</v>
      </c>
      <c r="F146" s="32">
        <v>0</v>
      </c>
      <c r="G146" s="33"/>
    </row>
    <row r="147" spans="2:7">
      <c r="B147" s="30"/>
      <c r="C147" s="34" t="s">
        <v>17</v>
      </c>
      <c r="D147" s="34"/>
      <c r="E147" s="27">
        <v>0</v>
      </c>
      <c r="F147" s="32">
        <v>0</v>
      </c>
      <c r="G147" s="33"/>
    </row>
    <row r="148" spans="2:7">
      <c r="B148" s="30"/>
      <c r="C148" s="35" t="s">
        <v>18</v>
      </c>
      <c r="D148" s="35"/>
      <c r="E148" s="36">
        <v>20136.2991927273</v>
      </c>
      <c r="F148" s="37">
        <v>20136.2991927273</v>
      </c>
      <c r="G148" s="38"/>
    </row>
    <row r="149" spans="2:7" ht="15.75" thickBot="1">
      <c r="B149" s="30"/>
      <c r="C149" s="39"/>
      <c r="D149" s="39"/>
      <c r="E149" s="40"/>
      <c r="F149" s="41"/>
      <c r="G149" s="38"/>
    </row>
    <row r="150" spans="2:7" ht="18.75" thickBot="1">
      <c r="B150" s="30"/>
      <c r="C150" s="22" t="s">
        <v>19</v>
      </c>
      <c r="D150" s="23"/>
      <c r="E150" s="42"/>
      <c r="F150" s="43"/>
      <c r="G150" s="38"/>
    </row>
    <row r="151" spans="2:7">
      <c r="B151" s="44">
        <v>121</v>
      </c>
      <c r="C151" s="39" t="s">
        <v>20</v>
      </c>
      <c r="D151" s="39"/>
      <c r="E151" s="45"/>
      <c r="F151" s="46"/>
      <c r="G151" s="47"/>
    </row>
    <row r="152" spans="2:7">
      <c r="B152" s="44"/>
      <c r="C152" s="48" t="s">
        <v>21</v>
      </c>
      <c r="D152" s="48"/>
      <c r="E152" s="49">
        <v>0</v>
      </c>
      <c r="F152" s="50">
        <v>0</v>
      </c>
      <c r="G152" s="47"/>
    </row>
    <row r="153" spans="2:7">
      <c r="B153" s="44"/>
      <c r="C153" s="48" t="s">
        <v>22</v>
      </c>
      <c r="D153" s="48"/>
      <c r="E153" s="49">
        <v>0</v>
      </c>
      <c r="F153" s="50">
        <v>0</v>
      </c>
      <c r="G153" s="47"/>
    </row>
    <row r="154" spans="2:7">
      <c r="B154" s="51"/>
      <c r="C154" s="48" t="s">
        <v>23</v>
      </c>
      <c r="D154" s="48"/>
      <c r="E154" s="49">
        <v>0</v>
      </c>
      <c r="F154" s="50">
        <v>0</v>
      </c>
      <c r="G154" s="52"/>
    </row>
    <row r="155" spans="2:7">
      <c r="B155" s="51"/>
      <c r="C155" s="48" t="s">
        <v>24</v>
      </c>
      <c r="D155" s="48"/>
      <c r="E155" s="49">
        <v>0</v>
      </c>
      <c r="F155" s="50">
        <v>0</v>
      </c>
      <c r="G155" s="52"/>
    </row>
    <row r="156" spans="2:7">
      <c r="B156" s="44"/>
      <c r="C156" s="48" t="s">
        <v>25</v>
      </c>
      <c r="D156" s="48"/>
      <c r="E156" s="49">
        <v>0</v>
      </c>
      <c r="F156" s="50">
        <v>0</v>
      </c>
      <c r="G156" s="52"/>
    </row>
    <row r="157" spans="2:7">
      <c r="B157" s="44"/>
      <c r="C157" s="53" t="s">
        <v>26</v>
      </c>
      <c r="D157" s="53"/>
      <c r="E157" s="36">
        <v>0</v>
      </c>
      <c r="F157" s="54">
        <v>0</v>
      </c>
      <c r="G157" s="52"/>
    </row>
    <row r="158" spans="2:7">
      <c r="B158" s="44">
        <v>122</v>
      </c>
      <c r="C158" s="39" t="s">
        <v>27</v>
      </c>
      <c r="D158" s="39"/>
      <c r="E158" s="36"/>
      <c r="F158" s="50"/>
      <c r="G158" s="55"/>
    </row>
    <row r="159" spans="2:7">
      <c r="B159" s="44"/>
      <c r="C159" s="48" t="s">
        <v>28</v>
      </c>
      <c r="D159" s="48"/>
      <c r="E159" s="49">
        <v>0</v>
      </c>
      <c r="F159" s="50">
        <v>0</v>
      </c>
      <c r="G159" s="52"/>
    </row>
    <row r="160" spans="2:7">
      <c r="B160" s="44"/>
      <c r="C160" s="48" t="s">
        <v>29</v>
      </c>
      <c r="D160" s="48"/>
      <c r="E160" s="49">
        <v>0</v>
      </c>
      <c r="F160" s="50">
        <v>0</v>
      </c>
      <c r="G160" s="52"/>
    </row>
    <row r="161" spans="2:7">
      <c r="B161" s="44"/>
      <c r="C161" s="48" t="s">
        <v>30</v>
      </c>
      <c r="D161" s="48"/>
      <c r="E161" s="49">
        <v>0</v>
      </c>
      <c r="F161" s="50">
        <v>0</v>
      </c>
      <c r="G161" s="52"/>
    </row>
    <row r="162" spans="2:7">
      <c r="B162" s="44"/>
      <c r="C162" s="48" t="s">
        <v>31</v>
      </c>
      <c r="D162" s="48"/>
      <c r="E162" s="49">
        <v>0</v>
      </c>
      <c r="F162" s="50">
        <v>0</v>
      </c>
      <c r="G162" s="52"/>
    </row>
    <row r="163" spans="2:7">
      <c r="B163" s="44"/>
      <c r="C163" s="48" t="s">
        <v>32</v>
      </c>
      <c r="D163" s="48"/>
      <c r="E163" s="49">
        <v>108.5334807272726</v>
      </c>
      <c r="F163" s="50">
        <v>108.5334807272726</v>
      </c>
      <c r="G163" s="52"/>
    </row>
    <row r="164" spans="2:7">
      <c r="B164" s="44"/>
      <c r="C164" s="48" t="s">
        <v>33</v>
      </c>
      <c r="D164" s="48"/>
      <c r="E164" s="49">
        <v>0</v>
      </c>
      <c r="F164" s="50">
        <v>0</v>
      </c>
      <c r="G164" s="52"/>
    </row>
    <row r="165" spans="2:7">
      <c r="B165" s="44"/>
      <c r="C165" s="48" t="s">
        <v>34</v>
      </c>
      <c r="D165" s="48"/>
      <c r="E165" s="49">
        <v>0</v>
      </c>
      <c r="F165" s="50">
        <v>0</v>
      </c>
      <c r="G165" s="52"/>
    </row>
    <row r="166" spans="2:7">
      <c r="B166" s="44"/>
      <c r="C166" s="48" t="s">
        <v>35</v>
      </c>
      <c r="D166" s="48"/>
      <c r="E166" s="49">
        <v>0</v>
      </c>
      <c r="F166" s="50">
        <v>0</v>
      </c>
      <c r="G166" s="52"/>
    </row>
    <row r="167" spans="2:7">
      <c r="B167" s="44"/>
      <c r="C167" s="53" t="s">
        <v>26</v>
      </c>
      <c r="D167" s="53"/>
      <c r="E167" s="36">
        <v>108.5334807272726</v>
      </c>
      <c r="F167" s="54">
        <v>108.5334807272726</v>
      </c>
      <c r="G167" s="52"/>
    </row>
    <row r="168" spans="2:7">
      <c r="B168" s="44">
        <v>123</v>
      </c>
      <c r="C168" s="39" t="s">
        <v>36</v>
      </c>
      <c r="D168" s="39"/>
      <c r="E168" s="56"/>
      <c r="F168" s="57"/>
      <c r="G168" s="52"/>
    </row>
    <row r="169" spans="2:7">
      <c r="B169" s="44"/>
      <c r="C169" s="48" t="s">
        <v>37</v>
      </c>
      <c r="D169" s="48"/>
      <c r="E169" s="49">
        <v>108.5334807272726</v>
      </c>
      <c r="F169" s="50">
        <v>108.5334807272726</v>
      </c>
      <c r="G169" s="52"/>
    </row>
    <row r="170" spans="2:7">
      <c r="B170" s="44"/>
      <c r="C170" s="48" t="s">
        <v>38</v>
      </c>
      <c r="D170" s="48"/>
      <c r="E170" s="49">
        <v>0</v>
      </c>
      <c r="F170" s="50">
        <v>0</v>
      </c>
      <c r="G170" s="52"/>
    </row>
    <row r="171" spans="2:7">
      <c r="B171" s="44"/>
      <c r="C171" s="48" t="s">
        <v>39</v>
      </c>
      <c r="D171" s="48"/>
      <c r="E171" s="49">
        <v>940.62349963636279</v>
      </c>
      <c r="F171" s="50">
        <v>940.62349963636279</v>
      </c>
      <c r="G171" s="52"/>
    </row>
    <row r="172" spans="2:7">
      <c r="B172" s="44"/>
      <c r="C172" s="48" t="s">
        <v>40</v>
      </c>
      <c r="D172" s="48"/>
      <c r="E172" s="49">
        <v>0</v>
      </c>
      <c r="F172" s="50">
        <v>0</v>
      </c>
      <c r="G172" s="52"/>
    </row>
    <row r="173" spans="2:7">
      <c r="B173" s="44"/>
      <c r="C173" s="48" t="s">
        <v>41</v>
      </c>
      <c r="D173" s="48"/>
      <c r="E173" s="49">
        <v>0</v>
      </c>
      <c r="F173" s="50">
        <v>0</v>
      </c>
      <c r="G173" s="52"/>
    </row>
    <row r="174" spans="2:7">
      <c r="B174" s="44"/>
      <c r="C174" s="48" t="s">
        <v>42</v>
      </c>
      <c r="D174" s="48"/>
      <c r="E174" s="49">
        <v>217.06696145454521</v>
      </c>
      <c r="F174" s="50">
        <v>217.06696145454521</v>
      </c>
      <c r="G174" s="52"/>
    </row>
    <row r="175" spans="2:7">
      <c r="B175" s="44"/>
      <c r="C175" s="53" t="s">
        <v>26</v>
      </c>
      <c r="D175" s="53"/>
      <c r="E175" s="36">
        <v>1266.2239418181805</v>
      </c>
      <c r="F175" s="54">
        <v>1266.2239418181805</v>
      </c>
      <c r="G175" s="52"/>
    </row>
    <row r="176" spans="2:7">
      <c r="B176" s="44">
        <v>124</v>
      </c>
      <c r="C176" s="39" t="s">
        <v>43</v>
      </c>
      <c r="D176" s="39"/>
      <c r="E176" s="56"/>
      <c r="F176" s="57"/>
      <c r="G176" s="52"/>
    </row>
    <row r="177" spans="2:7">
      <c r="B177" s="44"/>
      <c r="C177" s="48" t="s">
        <v>44</v>
      </c>
      <c r="D177" s="48"/>
      <c r="E177" s="49">
        <v>165.81503999999998</v>
      </c>
      <c r="F177" s="50">
        <v>165.81503999999998</v>
      </c>
      <c r="G177" s="52"/>
    </row>
    <row r="178" spans="2:7">
      <c r="B178" s="44"/>
      <c r="C178" s="48" t="s">
        <v>45</v>
      </c>
      <c r="D178" s="48"/>
      <c r="E178" s="49">
        <v>0</v>
      </c>
      <c r="F178" s="50">
        <v>0</v>
      </c>
      <c r="G178" s="52"/>
    </row>
    <row r="179" spans="2:7">
      <c r="B179" s="44"/>
      <c r="C179" s="48" t="s">
        <v>46</v>
      </c>
      <c r="D179" s="48"/>
      <c r="E179" s="49">
        <v>0</v>
      </c>
      <c r="F179" s="50">
        <v>0</v>
      </c>
      <c r="G179" s="52"/>
    </row>
    <row r="180" spans="2:7">
      <c r="B180" s="44"/>
      <c r="C180" s="53" t="s">
        <v>26</v>
      </c>
      <c r="D180" s="53"/>
      <c r="E180" s="36">
        <v>165.81503999999998</v>
      </c>
      <c r="F180" s="54">
        <v>165.81503999999998</v>
      </c>
      <c r="G180" s="52"/>
    </row>
    <row r="181" spans="2:7">
      <c r="B181" s="44">
        <v>125</v>
      </c>
      <c r="C181" s="39" t="s">
        <v>47</v>
      </c>
      <c r="D181" s="39"/>
      <c r="E181" s="36"/>
      <c r="F181" s="50"/>
      <c r="G181" s="52"/>
    </row>
    <row r="182" spans="2:7">
      <c r="B182" s="44"/>
      <c r="C182" s="48" t="s">
        <v>48</v>
      </c>
      <c r="D182" s="48"/>
      <c r="E182" s="58">
        <v>0</v>
      </c>
      <c r="F182" s="50">
        <v>0</v>
      </c>
      <c r="G182" s="52"/>
    </row>
    <row r="183" spans="2:7">
      <c r="B183" s="44"/>
      <c r="C183" s="48" t="s">
        <v>49</v>
      </c>
      <c r="D183" s="48"/>
      <c r="E183" s="58">
        <v>0</v>
      </c>
      <c r="F183" s="50">
        <v>0</v>
      </c>
      <c r="G183" s="52"/>
    </row>
    <row r="184" spans="2:7">
      <c r="B184" s="44"/>
      <c r="C184" s="48" t="s">
        <v>50</v>
      </c>
      <c r="D184" s="48"/>
      <c r="E184" s="58">
        <v>132.65203199999999</v>
      </c>
      <c r="F184" s="50">
        <v>132.65203199999999</v>
      </c>
      <c r="G184" s="52"/>
    </row>
    <row r="185" spans="2:7">
      <c r="B185" s="44"/>
      <c r="C185" s="48" t="s">
        <v>51</v>
      </c>
      <c r="D185" s="48"/>
      <c r="E185" s="58">
        <v>0</v>
      </c>
      <c r="F185" s="50">
        <v>0</v>
      </c>
      <c r="G185" s="52"/>
    </row>
    <row r="186" spans="2:7">
      <c r="B186" s="44"/>
      <c r="C186" s="53" t="s">
        <v>26</v>
      </c>
      <c r="D186" s="53"/>
      <c r="E186" s="56">
        <v>132.65203199999999</v>
      </c>
      <c r="F186" s="54">
        <v>132.65203199999999</v>
      </c>
      <c r="G186" s="52"/>
    </row>
    <row r="187" spans="2:7">
      <c r="B187" s="44">
        <v>126</v>
      </c>
      <c r="C187" s="39" t="s">
        <v>52</v>
      </c>
      <c r="D187" s="39"/>
      <c r="E187" s="56"/>
      <c r="F187" s="50"/>
      <c r="G187" s="52"/>
    </row>
    <row r="188" spans="2:7">
      <c r="B188" s="44"/>
      <c r="C188" s="48" t="s">
        <v>53</v>
      </c>
      <c r="D188" s="48"/>
      <c r="E188" s="49">
        <v>0</v>
      </c>
      <c r="F188" s="50">
        <v>0</v>
      </c>
      <c r="G188" s="52"/>
    </row>
    <row r="189" spans="2:7">
      <c r="B189" s="44"/>
      <c r="C189" s="48" t="s">
        <v>54</v>
      </c>
      <c r="D189" s="48"/>
      <c r="E189" s="49">
        <v>0</v>
      </c>
      <c r="F189" s="50"/>
      <c r="G189" s="52"/>
    </row>
    <row r="190" spans="2:7">
      <c r="B190" s="44"/>
      <c r="C190" s="48" t="s">
        <v>55</v>
      </c>
      <c r="D190" s="48"/>
      <c r="E190" s="49">
        <v>0</v>
      </c>
      <c r="F190" s="50"/>
      <c r="G190" s="52"/>
    </row>
    <row r="191" spans="2:7">
      <c r="B191" s="44"/>
      <c r="C191" s="48" t="s">
        <v>56</v>
      </c>
      <c r="D191" s="48"/>
      <c r="E191" s="49">
        <v>0</v>
      </c>
      <c r="F191" s="57"/>
      <c r="G191" s="52"/>
    </row>
    <row r="192" spans="2:7">
      <c r="B192" s="44"/>
      <c r="C192" s="53" t="s">
        <v>26</v>
      </c>
      <c r="D192" s="53"/>
      <c r="E192" s="56">
        <v>0</v>
      </c>
      <c r="F192" s="54">
        <v>0</v>
      </c>
      <c r="G192" s="52"/>
    </row>
    <row r="193" spans="2:7">
      <c r="B193" s="44">
        <v>127</v>
      </c>
      <c r="C193" s="39" t="s">
        <v>57</v>
      </c>
      <c r="D193" s="39"/>
      <c r="E193" s="56"/>
      <c r="F193" s="54"/>
      <c r="G193" s="52"/>
    </row>
    <row r="194" spans="2:7">
      <c r="B194" s="44"/>
      <c r="C194" s="48" t="s">
        <v>58</v>
      </c>
      <c r="D194" s="48"/>
      <c r="E194" s="49">
        <v>0</v>
      </c>
      <c r="F194" s="50">
        <v>0</v>
      </c>
      <c r="G194" s="52"/>
    </row>
    <row r="195" spans="2:7">
      <c r="B195" s="44"/>
      <c r="C195" s="48" t="s">
        <v>59</v>
      </c>
      <c r="D195" s="48"/>
      <c r="E195" s="49">
        <v>0</v>
      </c>
      <c r="F195" s="50">
        <v>0</v>
      </c>
      <c r="G195" s="52"/>
    </row>
    <row r="196" spans="2:7">
      <c r="B196" s="44"/>
      <c r="C196" s="48" t="s">
        <v>60</v>
      </c>
      <c r="D196" s="48"/>
      <c r="E196" s="49">
        <v>0</v>
      </c>
      <c r="F196" s="50">
        <v>0</v>
      </c>
      <c r="G196" s="52"/>
    </row>
    <row r="197" spans="2:7">
      <c r="B197" s="44"/>
      <c r="C197" s="59" t="s">
        <v>61</v>
      </c>
      <c r="D197" s="59"/>
      <c r="E197" s="49">
        <v>0</v>
      </c>
      <c r="F197" s="50">
        <v>0</v>
      </c>
      <c r="G197" s="52"/>
    </row>
    <row r="198" spans="2:7">
      <c r="B198" s="44"/>
      <c r="C198" s="53" t="s">
        <v>26</v>
      </c>
      <c r="D198" s="53"/>
      <c r="E198" s="56">
        <v>0</v>
      </c>
      <c r="F198" s="54">
        <v>0</v>
      </c>
      <c r="G198" s="52"/>
    </row>
    <row r="199" spans="2:7">
      <c r="B199" s="44">
        <v>128</v>
      </c>
      <c r="C199" s="39" t="s">
        <v>62</v>
      </c>
      <c r="D199" s="39"/>
      <c r="E199" s="56"/>
      <c r="F199" s="54"/>
      <c r="G199" s="52"/>
    </row>
    <row r="200" spans="2:7">
      <c r="B200" s="44"/>
      <c r="C200" s="48" t="s">
        <v>63</v>
      </c>
      <c r="D200" s="48"/>
      <c r="E200" s="49">
        <v>0</v>
      </c>
      <c r="F200" s="50">
        <v>0</v>
      </c>
      <c r="G200" s="52"/>
    </row>
    <row r="201" spans="2:7">
      <c r="B201" s="44"/>
      <c r="C201" s="48" t="s">
        <v>64</v>
      </c>
      <c r="D201" s="48"/>
      <c r="E201" s="49">
        <v>0</v>
      </c>
      <c r="F201" s="50">
        <v>0</v>
      </c>
      <c r="G201" s="52"/>
    </row>
    <row r="202" spans="2:7">
      <c r="B202" s="44"/>
      <c r="C202" s="48" t="s">
        <v>65</v>
      </c>
      <c r="D202" s="48"/>
      <c r="E202" s="49">
        <v>397.95609599999995</v>
      </c>
      <c r="F202" s="50">
        <v>397.95609599999995</v>
      </c>
      <c r="G202" s="52"/>
    </row>
    <row r="203" spans="2:7">
      <c r="B203" s="44"/>
      <c r="C203" s="48" t="s">
        <v>66</v>
      </c>
      <c r="D203" s="48"/>
      <c r="E203" s="49">
        <v>0</v>
      </c>
      <c r="F203" s="50">
        <v>0</v>
      </c>
      <c r="G203" s="52"/>
    </row>
    <row r="204" spans="2:7">
      <c r="B204" s="44"/>
      <c r="C204" s="48" t="s">
        <v>67</v>
      </c>
      <c r="D204" s="48"/>
      <c r="E204" s="49">
        <v>0</v>
      </c>
      <c r="F204" s="50">
        <v>0</v>
      </c>
      <c r="G204" s="52"/>
    </row>
    <row r="205" spans="2:7">
      <c r="B205" s="44"/>
      <c r="C205" s="53" t="s">
        <v>26</v>
      </c>
      <c r="D205" s="53"/>
      <c r="E205" s="56">
        <v>397.95609599999995</v>
      </c>
      <c r="F205" s="54">
        <v>397.95609599999995</v>
      </c>
      <c r="G205" s="52"/>
    </row>
    <row r="206" spans="2:7">
      <c r="B206" s="44">
        <v>135</v>
      </c>
      <c r="C206" s="39" t="s">
        <v>68</v>
      </c>
      <c r="D206" s="39"/>
      <c r="E206" s="56"/>
      <c r="F206" s="50"/>
      <c r="G206" s="52"/>
    </row>
    <row r="207" spans="2:7">
      <c r="B207" s="44"/>
      <c r="C207" s="48" t="s">
        <v>69</v>
      </c>
      <c r="D207" s="48"/>
      <c r="E207" s="49">
        <v>0</v>
      </c>
      <c r="F207" s="50">
        <v>0</v>
      </c>
      <c r="G207" s="52"/>
    </row>
    <row r="208" spans="2:7">
      <c r="B208" s="44"/>
      <c r="C208" s="48" t="s">
        <v>70</v>
      </c>
      <c r="D208" s="48"/>
      <c r="E208" s="49">
        <v>0</v>
      </c>
      <c r="F208" s="50">
        <v>0</v>
      </c>
      <c r="G208" s="52"/>
    </row>
    <row r="209" spans="2:7">
      <c r="B209" s="44"/>
      <c r="C209" s="48" t="s">
        <v>71</v>
      </c>
      <c r="D209" s="48"/>
      <c r="E209" s="49">
        <v>0</v>
      </c>
      <c r="F209" s="50">
        <v>0</v>
      </c>
      <c r="G209" s="52"/>
    </row>
    <row r="210" spans="2:7">
      <c r="B210" s="44"/>
      <c r="C210" s="48" t="s">
        <v>72</v>
      </c>
      <c r="D210" s="48"/>
      <c r="E210" s="49">
        <v>0</v>
      </c>
      <c r="F210" s="50">
        <v>0</v>
      </c>
      <c r="G210" s="52"/>
    </row>
    <row r="211" spans="2:7">
      <c r="B211" s="44"/>
      <c r="C211" s="48" t="s">
        <v>73</v>
      </c>
      <c r="D211" s="48"/>
      <c r="E211" s="49">
        <v>217.06696145454521</v>
      </c>
      <c r="F211" s="50">
        <v>217.06696145454521</v>
      </c>
      <c r="G211" s="52"/>
    </row>
    <row r="212" spans="2:7">
      <c r="B212" s="44"/>
      <c r="C212" s="48" t="s">
        <v>74</v>
      </c>
      <c r="D212" s="48"/>
      <c r="E212" s="49">
        <v>0</v>
      </c>
      <c r="F212" s="50">
        <v>0</v>
      </c>
      <c r="G212" s="52"/>
    </row>
    <row r="213" spans="2:7">
      <c r="B213" s="44"/>
      <c r="C213" s="48" t="s">
        <v>75</v>
      </c>
      <c r="D213" s="48"/>
      <c r="E213" s="49">
        <v>1028.0532479999999</v>
      </c>
      <c r="F213" s="50">
        <v>1028.0532479999999</v>
      </c>
      <c r="G213" s="52"/>
    </row>
    <row r="214" spans="2:7">
      <c r="B214" s="44"/>
      <c r="C214" s="48" t="s">
        <v>76</v>
      </c>
      <c r="D214" s="48"/>
      <c r="E214" s="49">
        <v>0</v>
      </c>
      <c r="F214" s="50">
        <v>0</v>
      </c>
      <c r="G214" s="52"/>
    </row>
    <row r="215" spans="2:7">
      <c r="B215" s="44"/>
      <c r="C215" s="48" t="s">
        <v>77</v>
      </c>
      <c r="D215" s="48"/>
      <c r="E215" s="49">
        <v>0</v>
      </c>
      <c r="F215" s="50">
        <v>0</v>
      </c>
      <c r="G215" s="52"/>
    </row>
    <row r="216" spans="2:7">
      <c r="B216" s="44"/>
      <c r="C216" s="53" t="s">
        <v>26</v>
      </c>
      <c r="D216" s="53"/>
      <c r="E216" s="56">
        <v>1245.1202094545451</v>
      </c>
      <c r="F216" s="54">
        <v>1245.1202094545451</v>
      </c>
      <c r="G216" s="52"/>
    </row>
    <row r="217" spans="2:7">
      <c r="B217" s="44">
        <v>136</v>
      </c>
      <c r="C217" s="39" t="s">
        <v>78</v>
      </c>
      <c r="D217" s="39"/>
      <c r="E217" s="56"/>
      <c r="F217" s="50"/>
      <c r="G217" s="52"/>
    </row>
    <row r="218" spans="2:7">
      <c r="B218" s="44"/>
      <c r="C218" s="48" t="s">
        <v>79</v>
      </c>
      <c r="D218" s="48"/>
      <c r="E218" s="49">
        <v>0</v>
      </c>
      <c r="F218" s="50">
        <v>0</v>
      </c>
      <c r="G218" s="52"/>
    </row>
    <row r="219" spans="2:7">
      <c r="B219" s="44"/>
      <c r="C219" s="48" t="s">
        <v>80</v>
      </c>
      <c r="D219" s="48"/>
      <c r="E219" s="49">
        <v>0</v>
      </c>
      <c r="F219" s="50">
        <v>0</v>
      </c>
      <c r="G219" s="52"/>
    </row>
    <row r="220" spans="2:7">
      <c r="B220" s="44"/>
      <c r="C220" s="48" t="s">
        <v>81</v>
      </c>
      <c r="D220" s="48"/>
      <c r="E220" s="49">
        <v>0</v>
      </c>
      <c r="F220" s="50">
        <v>0</v>
      </c>
      <c r="G220" s="52"/>
    </row>
    <row r="221" spans="2:7">
      <c r="B221" s="44"/>
      <c r="C221" s="48" t="s">
        <v>82</v>
      </c>
      <c r="D221" s="48"/>
      <c r="E221" s="49">
        <v>0</v>
      </c>
      <c r="F221" s="50">
        <v>0</v>
      </c>
      <c r="G221" s="52"/>
    </row>
    <row r="222" spans="2:7">
      <c r="B222" s="44"/>
      <c r="C222" s="48" t="s">
        <v>83</v>
      </c>
      <c r="D222" s="48"/>
      <c r="E222" s="49">
        <v>0</v>
      </c>
      <c r="F222" s="50">
        <v>0</v>
      </c>
      <c r="G222" s="52"/>
    </row>
    <row r="223" spans="2:7">
      <c r="B223" s="44"/>
      <c r="C223" s="48" t="s">
        <v>84</v>
      </c>
      <c r="D223" s="48"/>
      <c r="E223" s="49">
        <v>0</v>
      </c>
      <c r="F223" s="50">
        <v>0</v>
      </c>
      <c r="G223" s="52"/>
    </row>
    <row r="224" spans="2:7">
      <c r="B224" s="44"/>
      <c r="C224" s="53" t="s">
        <v>26</v>
      </c>
      <c r="D224" s="53"/>
      <c r="E224" s="56">
        <v>0</v>
      </c>
      <c r="F224" s="54">
        <v>0</v>
      </c>
      <c r="G224" s="52"/>
    </row>
    <row r="225" spans="2:7">
      <c r="B225" s="44">
        <v>142</v>
      </c>
      <c r="C225" s="39" t="s">
        <v>85</v>
      </c>
      <c r="D225" s="39"/>
      <c r="E225" s="56"/>
      <c r="F225" s="50"/>
      <c r="G225" s="52"/>
    </row>
    <row r="226" spans="2:7">
      <c r="B226" s="44"/>
      <c r="C226" s="48" t="s">
        <v>86</v>
      </c>
      <c r="D226" s="48"/>
      <c r="E226" s="49">
        <v>0</v>
      </c>
      <c r="F226" s="50">
        <v>0</v>
      </c>
      <c r="G226" s="52"/>
    </row>
    <row r="227" spans="2:7">
      <c r="B227" s="44"/>
      <c r="C227" s="48" t="s">
        <v>87</v>
      </c>
      <c r="D227" s="48"/>
      <c r="E227" s="49">
        <v>0</v>
      </c>
      <c r="F227" s="50">
        <v>0</v>
      </c>
      <c r="G227" s="52"/>
    </row>
    <row r="228" spans="2:7">
      <c r="B228" s="44"/>
      <c r="C228" s="53" t="s">
        <v>26</v>
      </c>
      <c r="D228" s="53"/>
      <c r="E228" s="56">
        <v>0</v>
      </c>
      <c r="F228" s="54">
        <v>0</v>
      </c>
      <c r="G228" s="52"/>
    </row>
    <row r="229" spans="2:7">
      <c r="B229" s="44">
        <v>144</v>
      </c>
      <c r="C229" s="39" t="s">
        <v>88</v>
      </c>
      <c r="D229" s="39"/>
      <c r="E229" s="49">
        <v>0</v>
      </c>
      <c r="F229" s="54">
        <v>0</v>
      </c>
      <c r="G229" s="52"/>
    </row>
    <row r="230" spans="2:7">
      <c r="B230" s="44">
        <v>221</v>
      </c>
      <c r="C230" s="39" t="s">
        <v>89</v>
      </c>
      <c r="D230" s="39"/>
      <c r="E230" s="49">
        <v>0</v>
      </c>
      <c r="F230" s="54">
        <v>0</v>
      </c>
      <c r="G230" s="52"/>
    </row>
    <row r="231" spans="2:7">
      <c r="B231" s="44">
        <v>222</v>
      </c>
      <c r="C231" s="39" t="s">
        <v>90</v>
      </c>
      <c r="D231" s="39"/>
      <c r="E231" s="49">
        <v>0</v>
      </c>
      <c r="F231" s="54">
        <v>0</v>
      </c>
      <c r="G231" s="52"/>
    </row>
    <row r="232" spans="2:7">
      <c r="B232" s="44">
        <v>224</v>
      </c>
      <c r="C232" s="39" t="s">
        <v>91</v>
      </c>
      <c r="D232" s="39"/>
      <c r="E232" s="49">
        <v>0</v>
      </c>
      <c r="F232" s="54">
        <v>0</v>
      </c>
      <c r="G232" s="52"/>
    </row>
    <row r="233" spans="2:7">
      <c r="B233" s="44">
        <v>225</v>
      </c>
      <c r="C233" s="39" t="s">
        <v>92</v>
      </c>
      <c r="D233" s="39"/>
      <c r="E233" s="49">
        <v>0</v>
      </c>
      <c r="F233" s="54">
        <v>0</v>
      </c>
      <c r="G233" s="38"/>
    </row>
    <row r="234" spans="2:7">
      <c r="B234" s="44">
        <v>226</v>
      </c>
      <c r="C234" s="39" t="s">
        <v>93</v>
      </c>
      <c r="D234" s="39"/>
      <c r="E234" s="49">
        <v>0</v>
      </c>
      <c r="F234" s="54">
        <v>0</v>
      </c>
      <c r="G234" s="60"/>
    </row>
    <row r="235" spans="2:7" ht="15.75" thickBot="1">
      <c r="B235" s="61"/>
      <c r="C235" s="62" t="s">
        <v>94</v>
      </c>
      <c r="D235" s="62"/>
      <c r="E235" s="94">
        <v>0</v>
      </c>
      <c r="F235" s="63">
        <v>0</v>
      </c>
      <c r="G235" s="38"/>
    </row>
    <row r="236" spans="2:7">
      <c r="B236" s="64"/>
      <c r="C236" s="65" t="s">
        <v>95</v>
      </c>
      <c r="D236" s="66"/>
      <c r="E236" s="67">
        <v>3316.3007999999982</v>
      </c>
      <c r="F236" s="68">
        <v>3316.3007999999982</v>
      </c>
      <c r="G236" s="69"/>
    </row>
    <row r="237" spans="2:7" ht="15.75" thickBot="1">
      <c r="B237" s="64"/>
      <c r="C237" s="70"/>
      <c r="D237" s="71"/>
      <c r="E237" s="72"/>
      <c r="F237" s="73"/>
      <c r="G237" s="69"/>
    </row>
    <row r="238" spans="2:7" ht="15.75" thickBot="1">
      <c r="B238" s="64"/>
      <c r="C238" s="70" t="s">
        <v>96</v>
      </c>
      <c r="D238" s="71"/>
      <c r="E238" s="74">
        <v>16819.998392727302</v>
      </c>
      <c r="F238" s="75">
        <v>16819.998392727302</v>
      </c>
      <c r="G238" s="76"/>
    </row>
    <row r="239" spans="2:7" ht="8.25" customHeight="1" thickBot="1">
      <c r="B239" s="77"/>
      <c r="C239" s="81"/>
      <c r="D239" s="81"/>
      <c r="E239" s="78"/>
      <c r="F239" s="78"/>
      <c r="G239" s="79"/>
    </row>
    <row r="240" spans="2:7">
      <c r="B240" s="85"/>
      <c r="C240" s="84"/>
      <c r="D240" s="84"/>
      <c r="E240" s="85"/>
      <c r="F240" s="85"/>
      <c r="G240" s="85"/>
    </row>
    <row r="241" spans="1:7" ht="6" customHeight="1" thickBot="1"/>
    <row r="242" spans="1:7">
      <c r="B242" s="1"/>
      <c r="C242" s="2"/>
      <c r="D242" s="2"/>
      <c r="E242" s="2"/>
      <c r="F242" s="2"/>
      <c r="G242" s="3"/>
    </row>
    <row r="243" spans="1:7">
      <c r="B243" s="4"/>
      <c r="C243" s="5"/>
      <c r="D243" s="5"/>
      <c r="E243" s="5"/>
      <c r="F243" s="5"/>
      <c r="G243" s="6"/>
    </row>
    <row r="244" spans="1:7">
      <c r="B244" s="4"/>
      <c r="C244" s="5"/>
      <c r="D244" s="5"/>
      <c r="E244" s="5"/>
      <c r="F244" s="5"/>
      <c r="G244" s="6"/>
    </row>
    <row r="245" spans="1:7">
      <c r="B245" s="4"/>
      <c r="C245" s="5"/>
      <c r="D245" s="5"/>
      <c r="E245" s="5"/>
      <c r="F245" s="5"/>
      <c r="G245" s="6"/>
    </row>
    <row r="246" spans="1:7">
      <c r="B246" s="4"/>
      <c r="C246" s="5"/>
      <c r="D246" s="5"/>
      <c r="E246" s="5"/>
      <c r="F246" s="5"/>
      <c r="G246" s="6"/>
    </row>
    <row r="247" spans="1:7" ht="16.5" customHeight="1">
      <c r="B247" s="4"/>
      <c r="C247" s="5"/>
      <c r="D247" s="5"/>
      <c r="E247" s="5"/>
      <c r="F247" s="5"/>
      <c r="G247" s="6"/>
    </row>
    <row r="248" spans="1:7" ht="22.5" customHeight="1" thickBot="1">
      <c r="B248" s="4"/>
      <c r="C248" s="95" t="s">
        <v>0</v>
      </c>
      <c r="D248" s="95"/>
      <c r="E248" s="95"/>
      <c r="F248" s="5"/>
      <c r="G248" s="6"/>
    </row>
    <row r="249" spans="1:7" ht="21" thickTop="1">
      <c r="B249" s="4"/>
      <c r="C249" s="7"/>
      <c r="D249" s="7"/>
      <c r="E249" s="5"/>
      <c r="F249" s="5"/>
      <c r="G249" s="6"/>
    </row>
    <row r="250" spans="1:7">
      <c r="B250" s="8" t="s">
        <v>1</v>
      </c>
      <c r="C250" s="9" t="s">
        <v>97</v>
      </c>
      <c r="D250" s="5"/>
      <c r="E250" s="10" t="s">
        <v>2</v>
      </c>
      <c r="F250" s="9" t="s">
        <v>98</v>
      </c>
      <c r="G250" s="6"/>
    </row>
    <row r="251" spans="1:7" ht="3.75" customHeight="1">
      <c r="A251" s="80"/>
      <c r="B251" s="5"/>
      <c r="C251" s="5"/>
      <c r="D251" s="5"/>
      <c r="E251" s="11"/>
      <c r="F251" s="5"/>
      <c r="G251" s="6"/>
    </row>
    <row r="252" spans="1:7">
      <c r="A252" s="80"/>
      <c r="B252" s="12" t="s">
        <v>3</v>
      </c>
      <c r="C252" s="9" t="s">
        <v>99</v>
      </c>
      <c r="D252" s="5"/>
      <c r="E252" s="10" t="s">
        <v>4</v>
      </c>
      <c r="F252" s="82" t="s">
        <v>100</v>
      </c>
      <c r="G252" s="6"/>
    </row>
    <row r="253" spans="1:7" ht="3.75" customHeight="1">
      <c r="A253" s="80"/>
      <c r="B253" s="5"/>
      <c r="C253" s="5"/>
      <c r="D253" s="5"/>
      <c r="E253" s="11"/>
      <c r="F253" s="5"/>
      <c r="G253" s="6"/>
    </row>
    <row r="254" spans="1:7">
      <c r="A254" s="80"/>
      <c r="B254" s="10" t="s">
        <v>5</v>
      </c>
      <c r="C254" s="9" t="s">
        <v>101</v>
      </c>
      <c r="D254" s="5"/>
      <c r="E254" s="10" t="s">
        <v>6</v>
      </c>
      <c r="F254" s="9" t="s">
        <v>107</v>
      </c>
      <c r="G254" s="6"/>
    </row>
    <row r="255" spans="1:7" ht="4.5" customHeight="1">
      <c r="A255" s="80"/>
      <c r="B255" s="13"/>
      <c r="C255" s="5"/>
      <c r="D255" s="5"/>
      <c r="E255" s="11"/>
      <c r="F255" s="5"/>
      <c r="G255" s="6"/>
    </row>
    <row r="256" spans="1:7">
      <c r="A256" s="80"/>
      <c r="B256" s="10" t="s">
        <v>7</v>
      </c>
      <c r="C256" s="9" t="s">
        <v>117</v>
      </c>
      <c r="D256" s="5"/>
      <c r="E256" s="11"/>
      <c r="F256" s="5"/>
      <c r="G256" s="6"/>
    </row>
    <row r="257" spans="1:7" ht="3.75" customHeight="1">
      <c r="A257" s="80"/>
      <c r="B257" s="5"/>
      <c r="C257" s="5"/>
      <c r="D257" s="5"/>
      <c r="E257" s="11"/>
      <c r="F257" s="5"/>
      <c r="G257" s="6"/>
    </row>
    <row r="258" spans="1:7">
      <c r="B258" s="14" t="s">
        <v>8</v>
      </c>
      <c r="C258" s="15" t="s">
        <v>105</v>
      </c>
      <c r="D258" s="5"/>
      <c r="E258" s="86" t="s">
        <v>109</v>
      </c>
      <c r="F258" s="87">
        <v>45352</v>
      </c>
      <c r="G258" s="6"/>
    </row>
    <row r="259" spans="1:7">
      <c r="B259" s="16" t="s">
        <v>9</v>
      </c>
      <c r="C259" s="17" t="s">
        <v>130</v>
      </c>
      <c r="D259" s="5"/>
      <c r="E259" s="88" t="s">
        <v>110</v>
      </c>
      <c r="F259" s="89">
        <v>45382</v>
      </c>
      <c r="G259" s="18"/>
    </row>
    <row r="260" spans="1:7" ht="15.75" thickBot="1">
      <c r="B260" s="4"/>
      <c r="C260" s="19"/>
      <c r="D260" s="19"/>
      <c r="E260" s="20"/>
      <c r="F260" s="21"/>
      <c r="G260" s="18"/>
    </row>
    <row r="261" spans="1:7" ht="18.75" thickBot="1">
      <c r="B261" s="4"/>
      <c r="C261" s="22" t="s">
        <v>10</v>
      </c>
      <c r="D261" s="23"/>
      <c r="E261" s="24"/>
      <c r="F261" s="25" t="s">
        <v>11</v>
      </c>
      <c r="G261" s="18"/>
    </row>
    <row r="262" spans="1:7">
      <c r="B262" s="4"/>
      <c r="C262" s="26" t="s">
        <v>12</v>
      </c>
      <c r="D262" s="26"/>
      <c r="E262" s="27">
        <v>16819.998392727302</v>
      </c>
      <c r="F262" s="28">
        <v>16819.998392727302</v>
      </c>
      <c r="G262" s="29"/>
    </row>
    <row r="263" spans="1:7">
      <c r="B263" s="30">
        <v>143</v>
      </c>
      <c r="C263" s="31" t="s">
        <v>13</v>
      </c>
      <c r="D263" s="31"/>
      <c r="E263" s="27">
        <v>5596.0880000000006</v>
      </c>
      <c r="F263" s="32">
        <v>5596.0880000000006</v>
      </c>
      <c r="G263" s="33"/>
    </row>
    <row r="264" spans="1:7">
      <c r="B264" s="30"/>
      <c r="C264" s="34" t="s">
        <v>14</v>
      </c>
      <c r="D264" s="34"/>
      <c r="E264" s="27">
        <v>0</v>
      </c>
      <c r="F264" s="32">
        <v>0</v>
      </c>
      <c r="G264" s="33"/>
    </row>
    <row r="265" spans="1:7">
      <c r="B265" s="30"/>
      <c r="C265" s="34" t="s">
        <v>15</v>
      </c>
      <c r="D265" s="34"/>
      <c r="E265" s="27">
        <v>0</v>
      </c>
      <c r="F265" s="32">
        <v>0</v>
      </c>
      <c r="G265" s="33"/>
    </row>
    <row r="266" spans="1:7">
      <c r="B266" s="30"/>
      <c r="C266" s="34" t="s">
        <v>16</v>
      </c>
      <c r="D266" s="34"/>
      <c r="E266" s="27">
        <v>0</v>
      </c>
      <c r="F266" s="32">
        <v>0</v>
      </c>
      <c r="G266" s="33"/>
    </row>
    <row r="267" spans="1:7">
      <c r="B267" s="30"/>
      <c r="C267" s="34" t="s">
        <v>17</v>
      </c>
      <c r="D267" s="34"/>
      <c r="E267" s="27">
        <v>0</v>
      </c>
      <c r="F267" s="32">
        <v>0</v>
      </c>
      <c r="G267" s="33"/>
    </row>
    <row r="268" spans="1:7">
      <c r="B268" s="30"/>
      <c r="C268" s="35" t="s">
        <v>18</v>
      </c>
      <c r="D268" s="35"/>
      <c r="E268" s="36">
        <v>22416.086392727302</v>
      </c>
      <c r="F268" s="37">
        <v>22416.086392727302</v>
      </c>
      <c r="G268" s="38"/>
    </row>
    <row r="269" spans="1:7" ht="15.75" thickBot="1">
      <c r="B269" s="30"/>
      <c r="C269" s="39"/>
      <c r="D269" s="39"/>
      <c r="E269" s="40"/>
      <c r="F269" s="41"/>
      <c r="G269" s="38"/>
    </row>
    <row r="270" spans="1:7" ht="18.75" thickBot="1">
      <c r="B270" s="30"/>
      <c r="C270" s="22" t="s">
        <v>19</v>
      </c>
      <c r="D270" s="23"/>
      <c r="E270" s="42"/>
      <c r="F270" s="43"/>
      <c r="G270" s="38"/>
    </row>
    <row r="271" spans="1:7">
      <c r="B271" s="44">
        <v>121</v>
      </c>
      <c r="C271" s="39" t="s">
        <v>20</v>
      </c>
      <c r="D271" s="39"/>
      <c r="E271" s="45"/>
      <c r="F271" s="46"/>
      <c r="G271" s="47"/>
    </row>
    <row r="272" spans="1:7">
      <c r="B272" s="44"/>
      <c r="C272" s="48" t="s">
        <v>21</v>
      </c>
      <c r="D272" s="48"/>
      <c r="E272" s="49">
        <v>0</v>
      </c>
      <c r="F272" s="50">
        <v>0</v>
      </c>
      <c r="G272" s="47"/>
    </row>
    <row r="273" spans="2:7">
      <c r="B273" s="44"/>
      <c r="C273" s="48" t="s">
        <v>22</v>
      </c>
      <c r="D273" s="48"/>
      <c r="E273" s="49">
        <v>0</v>
      </c>
      <c r="F273" s="50">
        <v>0</v>
      </c>
      <c r="G273" s="47"/>
    </row>
    <row r="274" spans="2:7">
      <c r="B274" s="51"/>
      <c r="C274" s="48" t="s">
        <v>23</v>
      </c>
      <c r="D274" s="48"/>
      <c r="E274" s="49">
        <v>0</v>
      </c>
      <c r="F274" s="50">
        <v>0</v>
      </c>
      <c r="G274" s="52"/>
    </row>
    <row r="275" spans="2:7">
      <c r="B275" s="51"/>
      <c r="C275" s="48" t="s">
        <v>24</v>
      </c>
      <c r="D275" s="48"/>
      <c r="E275" s="49">
        <v>994.89024000000006</v>
      </c>
      <c r="F275" s="50">
        <v>994.89024000000006</v>
      </c>
      <c r="G275" s="52"/>
    </row>
    <row r="276" spans="2:7">
      <c r="B276" s="44"/>
      <c r="C276" s="48" t="s">
        <v>25</v>
      </c>
      <c r="D276" s="48"/>
      <c r="E276" s="49">
        <v>0</v>
      </c>
      <c r="F276" s="50">
        <v>0</v>
      </c>
      <c r="G276" s="52"/>
    </row>
    <row r="277" spans="2:7">
      <c r="B277" s="44"/>
      <c r="C277" s="53" t="s">
        <v>26</v>
      </c>
      <c r="D277" s="53"/>
      <c r="E277" s="36">
        <v>994.89024000000006</v>
      </c>
      <c r="F277" s="54">
        <v>994.89024000000006</v>
      </c>
      <c r="G277" s="52"/>
    </row>
    <row r="278" spans="2:7">
      <c r="B278" s="44">
        <v>122</v>
      </c>
      <c r="C278" s="39" t="s">
        <v>27</v>
      </c>
      <c r="D278" s="39"/>
      <c r="E278" s="36"/>
      <c r="F278" s="50"/>
      <c r="G278" s="55"/>
    </row>
    <row r="279" spans="2:7">
      <c r="B279" s="44"/>
      <c r="C279" s="48" t="s">
        <v>28</v>
      </c>
      <c r="D279" s="48"/>
      <c r="E279" s="49">
        <v>0</v>
      </c>
      <c r="F279" s="50">
        <v>0</v>
      </c>
      <c r="G279" s="52"/>
    </row>
    <row r="280" spans="2:7">
      <c r="B280" s="44"/>
      <c r="C280" s="48" t="s">
        <v>29</v>
      </c>
      <c r="D280" s="48"/>
      <c r="E280" s="49">
        <v>0</v>
      </c>
      <c r="F280" s="50">
        <v>0</v>
      </c>
      <c r="G280" s="52"/>
    </row>
    <row r="281" spans="2:7">
      <c r="B281" s="44"/>
      <c r="C281" s="48" t="s">
        <v>30</v>
      </c>
      <c r="D281" s="48"/>
      <c r="E281" s="49">
        <v>0</v>
      </c>
      <c r="F281" s="50">
        <v>0</v>
      </c>
      <c r="G281" s="52"/>
    </row>
    <row r="282" spans="2:7">
      <c r="B282" s="44"/>
      <c r="C282" s="48" t="s">
        <v>31</v>
      </c>
      <c r="D282" s="48"/>
      <c r="E282" s="49">
        <v>0</v>
      </c>
      <c r="F282" s="50">
        <v>0</v>
      </c>
      <c r="G282" s="52"/>
    </row>
    <row r="283" spans="2:7">
      <c r="B283" s="44"/>
      <c r="C283" s="48" t="s">
        <v>32</v>
      </c>
      <c r="D283" s="48"/>
      <c r="E283" s="49">
        <v>331.63008000000002</v>
      </c>
      <c r="F283" s="50">
        <v>331.63008000000002</v>
      </c>
      <c r="G283" s="52"/>
    </row>
    <row r="284" spans="2:7">
      <c r="B284" s="44"/>
      <c r="C284" s="48" t="s">
        <v>33</v>
      </c>
      <c r="D284" s="48"/>
      <c r="E284" s="49">
        <v>0</v>
      </c>
      <c r="F284" s="50">
        <v>0</v>
      </c>
      <c r="G284" s="52"/>
    </row>
    <row r="285" spans="2:7">
      <c r="B285" s="44"/>
      <c r="C285" s="48" t="s">
        <v>34</v>
      </c>
      <c r="D285" s="48"/>
      <c r="E285" s="49">
        <v>0</v>
      </c>
      <c r="F285" s="50">
        <v>0</v>
      </c>
      <c r="G285" s="52"/>
    </row>
    <row r="286" spans="2:7">
      <c r="B286" s="44"/>
      <c r="C286" s="48" t="s">
        <v>35</v>
      </c>
      <c r="D286" s="48"/>
      <c r="E286" s="49">
        <v>0</v>
      </c>
      <c r="F286" s="50">
        <v>0</v>
      </c>
      <c r="G286" s="52"/>
    </row>
    <row r="287" spans="2:7">
      <c r="B287" s="44"/>
      <c r="C287" s="53" t="s">
        <v>26</v>
      </c>
      <c r="D287" s="53"/>
      <c r="E287" s="36">
        <v>331.63008000000002</v>
      </c>
      <c r="F287" s="54">
        <v>331.63008000000002</v>
      </c>
      <c r="G287" s="52"/>
    </row>
    <row r="288" spans="2:7">
      <c r="B288" s="44">
        <v>123</v>
      </c>
      <c r="C288" s="39" t="s">
        <v>36</v>
      </c>
      <c r="D288" s="39"/>
      <c r="E288" s="56"/>
      <c r="F288" s="57"/>
      <c r="G288" s="52"/>
    </row>
    <row r="289" spans="2:7">
      <c r="B289" s="44"/>
      <c r="C289" s="48" t="s">
        <v>37</v>
      </c>
      <c r="D289" s="48"/>
      <c r="E289" s="49">
        <v>271.33370181818157</v>
      </c>
      <c r="F289" s="50">
        <v>271.33370181818157</v>
      </c>
      <c r="G289" s="52"/>
    </row>
    <row r="290" spans="2:7">
      <c r="B290" s="44"/>
      <c r="C290" s="48" t="s">
        <v>38</v>
      </c>
      <c r="D290" s="48"/>
      <c r="E290" s="49">
        <v>2230.9659927272705</v>
      </c>
      <c r="F290" s="50">
        <v>2230.9659927272705</v>
      </c>
      <c r="G290" s="52"/>
    </row>
    <row r="291" spans="2:7">
      <c r="B291" s="44"/>
      <c r="C291" s="48" t="s">
        <v>39</v>
      </c>
      <c r="D291" s="48"/>
      <c r="E291" s="49">
        <v>271.33370181818157</v>
      </c>
      <c r="F291" s="50">
        <v>271.33370181818157</v>
      </c>
      <c r="G291" s="52"/>
    </row>
    <row r="292" spans="2:7">
      <c r="B292" s="44"/>
      <c r="C292" s="48" t="s">
        <v>40</v>
      </c>
      <c r="D292" s="48"/>
      <c r="E292" s="49">
        <v>0</v>
      </c>
      <c r="F292" s="50">
        <v>0</v>
      </c>
      <c r="G292" s="52"/>
    </row>
    <row r="293" spans="2:7">
      <c r="B293" s="44"/>
      <c r="C293" s="48" t="s">
        <v>41</v>
      </c>
      <c r="D293" s="48"/>
      <c r="E293" s="49">
        <v>0</v>
      </c>
      <c r="F293" s="50">
        <v>0</v>
      </c>
      <c r="G293" s="52"/>
    </row>
    <row r="294" spans="2:7">
      <c r="B294" s="44"/>
      <c r="C294" s="48" t="s">
        <v>42</v>
      </c>
      <c r="D294" s="48"/>
      <c r="E294" s="49">
        <v>542.66740363636313</v>
      </c>
      <c r="F294" s="50">
        <v>542.66740363636313</v>
      </c>
      <c r="G294" s="52"/>
    </row>
    <row r="295" spans="2:7">
      <c r="B295" s="44"/>
      <c r="C295" s="53" t="s">
        <v>26</v>
      </c>
      <c r="D295" s="53"/>
      <c r="E295" s="36">
        <v>3316.3007999999963</v>
      </c>
      <c r="F295" s="54">
        <v>3316.3007999999963</v>
      </c>
      <c r="G295" s="52"/>
    </row>
    <row r="296" spans="2:7">
      <c r="B296" s="44">
        <v>124</v>
      </c>
      <c r="C296" s="39" t="s">
        <v>43</v>
      </c>
      <c r="D296" s="39"/>
      <c r="E296" s="56"/>
      <c r="F296" s="57"/>
      <c r="G296" s="52"/>
    </row>
    <row r="297" spans="2:7">
      <c r="B297" s="44"/>
      <c r="C297" s="48" t="s">
        <v>44</v>
      </c>
      <c r="D297" s="48"/>
      <c r="E297" s="49">
        <v>0</v>
      </c>
      <c r="F297" s="50">
        <v>0</v>
      </c>
      <c r="G297" s="52"/>
    </row>
    <row r="298" spans="2:7">
      <c r="B298" s="44"/>
      <c r="C298" s="48" t="s">
        <v>45</v>
      </c>
      <c r="D298" s="48"/>
      <c r="E298" s="49">
        <v>2570.13312</v>
      </c>
      <c r="F298" s="50">
        <v>2570.13312</v>
      </c>
      <c r="G298" s="52"/>
    </row>
    <row r="299" spans="2:7">
      <c r="B299" s="44"/>
      <c r="C299" s="48" t="s">
        <v>46</v>
      </c>
      <c r="D299" s="48"/>
      <c r="E299" s="49">
        <v>0</v>
      </c>
      <c r="F299" s="50">
        <v>0</v>
      </c>
      <c r="G299" s="52"/>
    </row>
    <row r="300" spans="2:7">
      <c r="B300" s="44"/>
      <c r="C300" s="53" t="s">
        <v>26</v>
      </c>
      <c r="D300" s="53"/>
      <c r="E300" s="36">
        <v>2570.13312</v>
      </c>
      <c r="F300" s="54">
        <v>2570.13312</v>
      </c>
      <c r="G300" s="52"/>
    </row>
    <row r="301" spans="2:7">
      <c r="B301" s="44">
        <v>125</v>
      </c>
      <c r="C301" s="39" t="s">
        <v>47</v>
      </c>
      <c r="D301" s="39"/>
      <c r="E301" s="36"/>
      <c r="F301" s="50"/>
      <c r="G301" s="52"/>
    </row>
    <row r="302" spans="2:7">
      <c r="B302" s="44"/>
      <c r="C302" s="48" t="s">
        <v>48</v>
      </c>
      <c r="D302" s="48"/>
      <c r="E302" s="58">
        <v>0</v>
      </c>
      <c r="F302" s="50">
        <v>0</v>
      </c>
      <c r="G302" s="52"/>
    </row>
    <row r="303" spans="2:7">
      <c r="B303" s="44"/>
      <c r="C303" s="48" t="s">
        <v>49</v>
      </c>
      <c r="D303" s="48"/>
      <c r="E303" s="58">
        <v>0</v>
      </c>
      <c r="F303" s="50">
        <v>0</v>
      </c>
      <c r="G303" s="52"/>
    </row>
    <row r="304" spans="2:7">
      <c r="B304" s="44"/>
      <c r="C304" s="48" t="s">
        <v>50</v>
      </c>
      <c r="D304" s="48"/>
      <c r="E304" s="58">
        <v>1077.7977600000002</v>
      </c>
      <c r="F304" s="50">
        <v>1077.7977600000002</v>
      </c>
      <c r="G304" s="52"/>
    </row>
    <row r="305" spans="2:7">
      <c r="B305" s="44"/>
      <c r="C305" s="48" t="s">
        <v>51</v>
      </c>
      <c r="D305" s="48"/>
      <c r="E305" s="58">
        <v>0</v>
      </c>
      <c r="F305" s="50">
        <v>0</v>
      </c>
      <c r="G305" s="52"/>
    </row>
    <row r="306" spans="2:7">
      <c r="B306" s="44"/>
      <c r="C306" s="53" t="s">
        <v>26</v>
      </c>
      <c r="D306" s="53"/>
      <c r="E306" s="56">
        <v>1077.7977600000002</v>
      </c>
      <c r="F306" s="54">
        <v>1077.7977600000002</v>
      </c>
      <c r="G306" s="52"/>
    </row>
    <row r="307" spans="2:7">
      <c r="B307" s="44">
        <v>126</v>
      </c>
      <c r="C307" s="39" t="s">
        <v>52</v>
      </c>
      <c r="D307" s="39"/>
      <c r="E307" s="56"/>
      <c r="F307" s="50"/>
      <c r="G307" s="52"/>
    </row>
    <row r="308" spans="2:7">
      <c r="B308" s="44"/>
      <c r="C308" s="48" t="s">
        <v>53</v>
      </c>
      <c r="D308" s="48"/>
      <c r="E308" s="49">
        <v>0</v>
      </c>
      <c r="F308" s="50">
        <v>0</v>
      </c>
      <c r="G308" s="52"/>
    </row>
    <row r="309" spans="2:7">
      <c r="B309" s="44"/>
      <c r="C309" s="48" t="s">
        <v>54</v>
      </c>
      <c r="D309" s="48"/>
      <c r="E309" s="49">
        <v>0</v>
      </c>
      <c r="F309" s="50"/>
      <c r="G309" s="52"/>
    </row>
    <row r="310" spans="2:7">
      <c r="B310" s="44"/>
      <c r="C310" s="48" t="s">
        <v>55</v>
      </c>
      <c r="D310" s="48"/>
      <c r="E310" s="49">
        <v>0</v>
      </c>
      <c r="F310" s="50"/>
      <c r="G310" s="52"/>
    </row>
    <row r="311" spans="2:7">
      <c r="B311" s="44"/>
      <c r="C311" s="48" t="s">
        <v>56</v>
      </c>
      <c r="D311" s="48"/>
      <c r="E311" s="49">
        <v>0</v>
      </c>
      <c r="F311" s="57"/>
      <c r="G311" s="52"/>
    </row>
    <row r="312" spans="2:7">
      <c r="B312" s="44"/>
      <c r="C312" s="53" t="s">
        <v>26</v>
      </c>
      <c r="D312" s="53"/>
      <c r="E312" s="56">
        <v>0</v>
      </c>
      <c r="F312" s="54">
        <v>0</v>
      </c>
      <c r="G312" s="52"/>
    </row>
    <row r="313" spans="2:7">
      <c r="B313" s="44">
        <v>127</v>
      </c>
      <c r="C313" s="39" t="s">
        <v>57</v>
      </c>
      <c r="D313" s="39"/>
      <c r="E313" s="56"/>
      <c r="F313" s="54"/>
      <c r="G313" s="52"/>
    </row>
    <row r="314" spans="2:7">
      <c r="B314" s="44"/>
      <c r="C314" s="48" t="s">
        <v>58</v>
      </c>
      <c r="D314" s="48"/>
      <c r="E314" s="49">
        <v>0</v>
      </c>
      <c r="F314" s="50">
        <v>0</v>
      </c>
      <c r="G314" s="52"/>
    </row>
    <row r="315" spans="2:7">
      <c r="B315" s="44"/>
      <c r="C315" s="48" t="s">
        <v>59</v>
      </c>
      <c r="D315" s="48"/>
      <c r="E315" s="49">
        <v>0</v>
      </c>
      <c r="F315" s="50">
        <v>0</v>
      </c>
      <c r="G315" s="52"/>
    </row>
    <row r="316" spans="2:7">
      <c r="B316" s="44"/>
      <c r="C316" s="48" t="s">
        <v>60</v>
      </c>
      <c r="D316" s="48"/>
      <c r="E316" s="49">
        <v>0</v>
      </c>
      <c r="F316" s="50">
        <v>0</v>
      </c>
      <c r="G316" s="52"/>
    </row>
    <row r="317" spans="2:7">
      <c r="B317" s="44"/>
      <c r="C317" s="59" t="s">
        <v>61</v>
      </c>
      <c r="D317" s="59"/>
      <c r="E317" s="49">
        <v>0</v>
      </c>
      <c r="F317" s="50">
        <v>0</v>
      </c>
      <c r="G317" s="52"/>
    </row>
    <row r="318" spans="2:7">
      <c r="B318" s="44"/>
      <c r="C318" s="53" t="s">
        <v>26</v>
      </c>
      <c r="D318" s="53"/>
      <c r="E318" s="56">
        <v>0</v>
      </c>
      <c r="F318" s="54">
        <v>0</v>
      </c>
      <c r="G318" s="52"/>
    </row>
    <row r="319" spans="2:7">
      <c r="B319" s="44">
        <v>128</v>
      </c>
      <c r="C319" s="39" t="s">
        <v>62</v>
      </c>
      <c r="D319" s="39"/>
      <c r="E319" s="56"/>
      <c r="F319" s="54"/>
      <c r="G319" s="52"/>
    </row>
    <row r="320" spans="2:7">
      <c r="B320" s="44"/>
      <c r="C320" s="48" t="s">
        <v>63</v>
      </c>
      <c r="D320" s="48"/>
      <c r="E320" s="49">
        <v>0</v>
      </c>
      <c r="F320" s="50">
        <v>0</v>
      </c>
      <c r="G320" s="52"/>
    </row>
    <row r="321" spans="2:7">
      <c r="B321" s="44"/>
      <c r="C321" s="48" t="s">
        <v>64</v>
      </c>
      <c r="D321" s="48"/>
      <c r="E321" s="49">
        <v>0</v>
      </c>
      <c r="F321" s="50">
        <v>0</v>
      </c>
      <c r="G321" s="52"/>
    </row>
    <row r="322" spans="2:7">
      <c r="B322" s="44"/>
      <c r="C322" s="48" t="s">
        <v>65</v>
      </c>
      <c r="D322" s="48"/>
      <c r="E322" s="49">
        <v>0</v>
      </c>
      <c r="F322" s="50">
        <v>0</v>
      </c>
      <c r="G322" s="52"/>
    </row>
    <row r="323" spans="2:7">
      <c r="B323" s="44"/>
      <c r="C323" s="48" t="s">
        <v>66</v>
      </c>
      <c r="D323" s="48"/>
      <c r="E323" s="49">
        <v>0</v>
      </c>
      <c r="F323" s="50">
        <v>0</v>
      </c>
      <c r="G323" s="52"/>
    </row>
    <row r="324" spans="2:7">
      <c r="B324" s="44"/>
      <c r="C324" s="48" t="s">
        <v>67</v>
      </c>
      <c r="D324" s="48"/>
      <c r="E324" s="49">
        <v>0</v>
      </c>
      <c r="F324" s="50">
        <v>0</v>
      </c>
      <c r="G324" s="52"/>
    </row>
    <row r="325" spans="2:7">
      <c r="B325" s="44"/>
      <c r="C325" s="53" t="s">
        <v>26</v>
      </c>
      <c r="D325" s="53"/>
      <c r="E325" s="56">
        <v>0</v>
      </c>
      <c r="F325" s="54">
        <v>0</v>
      </c>
      <c r="G325" s="52"/>
    </row>
    <row r="326" spans="2:7">
      <c r="B326" s="44">
        <v>135</v>
      </c>
      <c r="C326" s="39" t="s">
        <v>68</v>
      </c>
      <c r="D326" s="39"/>
      <c r="E326" s="56"/>
      <c r="F326" s="50"/>
      <c r="G326" s="52"/>
    </row>
    <row r="327" spans="2:7">
      <c r="B327" s="44"/>
      <c r="C327" s="48" t="s">
        <v>69</v>
      </c>
      <c r="D327" s="48"/>
      <c r="E327" s="49">
        <v>0</v>
      </c>
      <c r="F327" s="50">
        <v>0</v>
      </c>
      <c r="G327" s="52"/>
    </row>
    <row r="328" spans="2:7">
      <c r="B328" s="44"/>
      <c r="C328" s="48" t="s">
        <v>70</v>
      </c>
      <c r="D328" s="48"/>
      <c r="E328" s="49">
        <v>0</v>
      </c>
      <c r="F328" s="50">
        <v>0</v>
      </c>
      <c r="G328" s="52"/>
    </row>
    <row r="329" spans="2:7">
      <c r="B329" s="44"/>
      <c r="C329" s="48" t="s">
        <v>71</v>
      </c>
      <c r="D329" s="48"/>
      <c r="E329" s="49">
        <v>0</v>
      </c>
      <c r="F329" s="50">
        <v>0</v>
      </c>
      <c r="G329" s="52"/>
    </row>
    <row r="330" spans="2:7">
      <c r="B330" s="44"/>
      <c r="C330" s="48" t="s">
        <v>72</v>
      </c>
      <c r="D330" s="48"/>
      <c r="E330" s="49">
        <v>0</v>
      </c>
      <c r="F330" s="50">
        <v>0</v>
      </c>
      <c r="G330" s="52"/>
    </row>
    <row r="331" spans="2:7">
      <c r="B331" s="44"/>
      <c r="C331" s="48" t="s">
        <v>73</v>
      </c>
      <c r="D331" s="48"/>
      <c r="E331" s="49">
        <v>0</v>
      </c>
      <c r="F331" s="50">
        <v>0</v>
      </c>
      <c r="G331" s="52"/>
    </row>
    <row r="332" spans="2:7">
      <c r="B332" s="44"/>
      <c r="C332" s="48" t="s">
        <v>74</v>
      </c>
      <c r="D332" s="48"/>
      <c r="E332" s="49">
        <v>0</v>
      </c>
      <c r="F332" s="50">
        <v>0</v>
      </c>
      <c r="G332" s="52"/>
    </row>
    <row r="333" spans="2:7">
      <c r="B333" s="44"/>
      <c r="C333" s="48" t="s">
        <v>75</v>
      </c>
      <c r="D333" s="48"/>
      <c r="E333" s="49">
        <v>0</v>
      </c>
      <c r="F333" s="50">
        <v>0</v>
      </c>
      <c r="G333" s="52"/>
    </row>
    <row r="334" spans="2:7">
      <c r="B334" s="44"/>
      <c r="C334" s="48" t="s">
        <v>76</v>
      </c>
      <c r="D334" s="48"/>
      <c r="E334" s="49">
        <v>0</v>
      </c>
      <c r="F334" s="50">
        <v>0</v>
      </c>
      <c r="G334" s="52"/>
    </row>
    <row r="335" spans="2:7">
      <c r="B335" s="44"/>
      <c r="C335" s="48" t="s">
        <v>77</v>
      </c>
      <c r="D335" s="48"/>
      <c r="E335" s="49">
        <v>0</v>
      </c>
      <c r="F335" s="50">
        <v>0</v>
      </c>
      <c r="G335" s="52"/>
    </row>
    <row r="336" spans="2:7">
      <c r="B336" s="44"/>
      <c r="C336" s="53" t="s">
        <v>26</v>
      </c>
      <c r="D336" s="53"/>
      <c r="E336" s="56">
        <v>0</v>
      </c>
      <c r="F336" s="54">
        <v>0</v>
      </c>
      <c r="G336" s="52"/>
    </row>
    <row r="337" spans="2:7">
      <c r="B337" s="44">
        <v>136</v>
      </c>
      <c r="C337" s="39" t="s">
        <v>78</v>
      </c>
      <c r="D337" s="39"/>
      <c r="E337" s="56"/>
      <c r="F337" s="50"/>
      <c r="G337" s="52"/>
    </row>
    <row r="338" spans="2:7">
      <c r="B338" s="44"/>
      <c r="C338" s="48" t="s">
        <v>79</v>
      </c>
      <c r="D338" s="48"/>
      <c r="E338" s="49">
        <v>0</v>
      </c>
      <c r="F338" s="50">
        <v>0</v>
      </c>
      <c r="G338" s="52"/>
    </row>
    <row r="339" spans="2:7">
      <c r="B339" s="44"/>
      <c r="C339" s="48" t="s">
        <v>80</v>
      </c>
      <c r="D339" s="48"/>
      <c r="E339" s="49">
        <v>0</v>
      </c>
      <c r="F339" s="50">
        <v>0</v>
      </c>
      <c r="G339" s="52"/>
    </row>
    <row r="340" spans="2:7">
      <c r="B340" s="44"/>
      <c r="C340" s="48" t="s">
        <v>81</v>
      </c>
      <c r="D340" s="48"/>
      <c r="E340" s="49">
        <v>0</v>
      </c>
      <c r="F340" s="50">
        <v>0</v>
      </c>
      <c r="G340" s="52"/>
    </row>
    <row r="341" spans="2:7">
      <c r="B341" s="44"/>
      <c r="C341" s="48" t="s">
        <v>82</v>
      </c>
      <c r="D341" s="48"/>
      <c r="E341" s="49">
        <v>0</v>
      </c>
      <c r="F341" s="50">
        <v>0</v>
      </c>
      <c r="G341" s="52"/>
    </row>
    <row r="342" spans="2:7">
      <c r="B342" s="44"/>
      <c r="C342" s="48" t="s">
        <v>83</v>
      </c>
      <c r="D342" s="48"/>
      <c r="E342" s="49">
        <v>0</v>
      </c>
      <c r="F342" s="50">
        <v>0</v>
      </c>
      <c r="G342" s="52"/>
    </row>
    <row r="343" spans="2:7">
      <c r="B343" s="44"/>
      <c r="C343" s="48" t="s">
        <v>84</v>
      </c>
      <c r="D343" s="48"/>
      <c r="E343" s="49">
        <v>0</v>
      </c>
      <c r="F343" s="50">
        <v>0</v>
      </c>
      <c r="G343" s="52"/>
    </row>
    <row r="344" spans="2:7">
      <c r="B344" s="44"/>
      <c r="C344" s="53" t="s">
        <v>26</v>
      </c>
      <c r="D344" s="53"/>
      <c r="E344" s="56">
        <v>0</v>
      </c>
      <c r="F344" s="54">
        <v>0</v>
      </c>
      <c r="G344" s="52"/>
    </row>
    <row r="345" spans="2:7">
      <c r="B345" s="44">
        <v>142</v>
      </c>
      <c r="C345" s="39" t="s">
        <v>85</v>
      </c>
      <c r="D345" s="39"/>
      <c r="E345" s="56"/>
      <c r="F345" s="50"/>
      <c r="G345" s="52"/>
    </row>
    <row r="346" spans="2:7">
      <c r="B346" s="44"/>
      <c r="C346" s="48" t="s">
        <v>86</v>
      </c>
      <c r="D346" s="48"/>
      <c r="E346" s="49">
        <v>0</v>
      </c>
      <c r="F346" s="50">
        <v>0</v>
      </c>
      <c r="G346" s="52"/>
    </row>
    <row r="347" spans="2:7">
      <c r="B347" s="44"/>
      <c r="C347" s="48" t="s">
        <v>87</v>
      </c>
      <c r="D347" s="48"/>
      <c r="E347" s="49">
        <v>0</v>
      </c>
      <c r="F347" s="50">
        <v>0</v>
      </c>
      <c r="G347" s="52"/>
    </row>
    <row r="348" spans="2:7">
      <c r="B348" s="44"/>
      <c r="C348" s="53" t="s">
        <v>26</v>
      </c>
      <c r="D348" s="53"/>
      <c r="E348" s="56">
        <v>0</v>
      </c>
      <c r="F348" s="54">
        <v>0</v>
      </c>
      <c r="G348" s="52"/>
    </row>
    <row r="349" spans="2:7">
      <c r="B349" s="44">
        <v>144</v>
      </c>
      <c r="C349" s="39" t="s">
        <v>88</v>
      </c>
      <c r="D349" s="39"/>
      <c r="E349" s="49">
        <v>0</v>
      </c>
      <c r="F349" s="54">
        <v>0</v>
      </c>
      <c r="G349" s="52"/>
    </row>
    <row r="350" spans="2:7">
      <c r="B350" s="44">
        <v>221</v>
      </c>
      <c r="C350" s="39" t="s">
        <v>89</v>
      </c>
      <c r="D350" s="39"/>
      <c r="E350" s="49">
        <v>0</v>
      </c>
      <c r="F350" s="54">
        <v>0</v>
      </c>
      <c r="G350" s="52"/>
    </row>
    <row r="351" spans="2:7">
      <c r="B351" s="44">
        <v>222</v>
      </c>
      <c r="C351" s="39" t="s">
        <v>90</v>
      </c>
      <c r="D351" s="39"/>
      <c r="E351" s="49">
        <v>0</v>
      </c>
      <c r="F351" s="54">
        <v>0</v>
      </c>
      <c r="G351" s="52"/>
    </row>
    <row r="352" spans="2:7">
      <c r="B352" s="44">
        <v>224</v>
      </c>
      <c r="C352" s="39" t="s">
        <v>91</v>
      </c>
      <c r="D352" s="39"/>
      <c r="E352" s="49">
        <v>0</v>
      </c>
      <c r="F352" s="54">
        <v>0</v>
      </c>
      <c r="G352" s="52"/>
    </row>
    <row r="353" spans="2:7">
      <c r="B353" s="44">
        <v>225</v>
      </c>
      <c r="C353" s="39" t="s">
        <v>92</v>
      </c>
      <c r="D353" s="39"/>
      <c r="E353" s="49">
        <v>0</v>
      </c>
      <c r="F353" s="54">
        <v>0</v>
      </c>
      <c r="G353" s="38"/>
    </row>
    <row r="354" spans="2:7">
      <c r="B354" s="44">
        <v>226</v>
      </c>
      <c r="C354" s="39" t="s">
        <v>93</v>
      </c>
      <c r="D354" s="39"/>
      <c r="E354" s="49">
        <v>0</v>
      </c>
      <c r="F354" s="54">
        <v>0</v>
      </c>
      <c r="G354" s="60"/>
    </row>
    <row r="355" spans="2:7" ht="15.75" thickBot="1">
      <c r="B355" s="61"/>
      <c r="C355" s="62" t="s">
        <v>94</v>
      </c>
      <c r="D355" s="62"/>
      <c r="E355" s="94">
        <v>0</v>
      </c>
      <c r="F355" s="63">
        <v>0</v>
      </c>
      <c r="G355" s="38"/>
    </row>
    <row r="356" spans="2:7">
      <c r="B356" s="64"/>
      <c r="C356" s="65" t="s">
        <v>95</v>
      </c>
      <c r="D356" s="66"/>
      <c r="E356" s="67">
        <v>8290.7519999999968</v>
      </c>
      <c r="F356" s="68">
        <v>8290.7519999999968</v>
      </c>
      <c r="G356" s="69"/>
    </row>
    <row r="357" spans="2:7" ht="15.75" thickBot="1">
      <c r="B357" s="64"/>
      <c r="C357" s="70"/>
      <c r="D357" s="71"/>
      <c r="E357" s="72"/>
      <c r="F357" s="73"/>
      <c r="G357" s="69"/>
    </row>
    <row r="358" spans="2:7" ht="15.75" thickBot="1">
      <c r="B358" s="64"/>
      <c r="C358" s="70" t="s">
        <v>96</v>
      </c>
      <c r="D358" s="71"/>
      <c r="E358" s="74">
        <v>14125.334392727305</v>
      </c>
      <c r="F358" s="75">
        <v>14125.334392727305</v>
      </c>
      <c r="G358" s="76"/>
    </row>
    <row r="359" spans="2:7" ht="8.25" customHeight="1" thickBot="1">
      <c r="B359" s="77"/>
      <c r="C359" s="81"/>
      <c r="D359" s="81"/>
      <c r="E359" s="78"/>
      <c r="F359" s="78"/>
      <c r="G359" s="79"/>
    </row>
    <row r="360" spans="2:7">
      <c r="B360" s="85"/>
      <c r="C360" s="84"/>
      <c r="D360" s="84"/>
      <c r="E360" s="85"/>
      <c r="F360" s="85"/>
      <c r="G360" s="85"/>
    </row>
  </sheetData>
  <mergeCells count="3">
    <mergeCell ref="C8:E8"/>
    <mergeCell ref="C128:E128"/>
    <mergeCell ref="C248:E248"/>
  </mergeCells>
  <dataValidations count="1">
    <dataValidation type="list" allowBlank="1" showInputMessage="1" showErrorMessage="1" sqref="C136 C16 C256" xr:uid="{6224D3EE-313D-49F5-87F6-F27F3F658931}">
      <formula1>FacList</formula1>
    </dataValidation>
  </dataValidations>
  <hyperlinks>
    <hyperlink ref="F12" r:id="rId1" xr:uid="{8967E252-2962-4DAC-BC3F-87DC227D7EDA}"/>
    <hyperlink ref="F132" r:id="rId2" xr:uid="{405471DF-6CB9-4911-AB1F-55A82423CAF4}"/>
    <hyperlink ref="F252" r:id="rId3" xr:uid="{E3E00066-E0D1-446D-B80C-B4F28B65893F}"/>
  </hyperlinks>
  <pageMargins left="0.7" right="0.7" top="0.75" bottom="0.75" header="0.3" footer="0.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1A34C-9A80-4F46-9BBF-C0F1A95BB152}">
  <dimension ref="A1:G360"/>
  <sheetViews>
    <sheetView topLeftCell="D1" zoomScale="90" zoomScaleNormal="90" workbookViewId="0">
      <selection activeCell="D1" sqref="A1:XFD1048576"/>
    </sheetView>
  </sheetViews>
  <sheetFormatPr defaultColWidth="8.85546875" defaultRowHeight="15"/>
  <cols>
    <col min="1" max="1" width="1.140625" customWidth="1"/>
    <col min="2" max="2" width="27.42578125" customWidth="1"/>
    <col min="3" max="3" width="42.7109375" bestFit="1" customWidth="1"/>
    <col min="4" max="4" width="4" customWidth="1"/>
    <col min="5" max="5" width="25.42578125" customWidth="1"/>
    <col min="6" max="6" width="27.42578125" customWidth="1"/>
    <col min="7" max="7" width="4.7109375" customWidth="1"/>
  </cols>
  <sheetData>
    <row r="1" spans="1:7" ht="6" customHeight="1" thickBot="1"/>
    <row r="2" spans="1:7">
      <c r="B2" s="1"/>
      <c r="C2" s="2"/>
      <c r="D2" s="2"/>
      <c r="E2" s="2"/>
      <c r="F2" s="2"/>
      <c r="G2" s="3"/>
    </row>
    <row r="3" spans="1:7">
      <c r="B3" s="4"/>
      <c r="C3" s="5"/>
      <c r="D3" s="5"/>
      <c r="E3" s="5"/>
      <c r="F3" s="5"/>
      <c r="G3" s="6"/>
    </row>
    <row r="4" spans="1:7">
      <c r="B4" s="4"/>
      <c r="C4" s="5"/>
      <c r="D4" s="5"/>
      <c r="E4" s="5"/>
      <c r="F4" s="5"/>
      <c r="G4" s="6"/>
    </row>
    <row r="5" spans="1:7">
      <c r="B5" s="4"/>
      <c r="C5" s="5"/>
      <c r="D5" s="5"/>
      <c r="E5" s="5"/>
      <c r="F5" s="5"/>
      <c r="G5" s="6"/>
    </row>
    <row r="6" spans="1:7">
      <c r="B6" s="4"/>
      <c r="C6" s="5"/>
      <c r="D6" s="5"/>
      <c r="E6" s="5"/>
      <c r="F6" s="5"/>
      <c r="G6" s="6"/>
    </row>
    <row r="7" spans="1:7" ht="16.5" customHeight="1">
      <c r="B7" s="4"/>
      <c r="C7" s="5"/>
      <c r="D7" s="5"/>
      <c r="E7" s="5"/>
      <c r="F7" s="5"/>
      <c r="G7" s="6"/>
    </row>
    <row r="8" spans="1:7" ht="22.5" customHeight="1" thickBot="1">
      <c r="B8" s="4"/>
      <c r="C8" s="95" t="s">
        <v>0</v>
      </c>
      <c r="D8" s="95"/>
      <c r="E8" s="95"/>
      <c r="F8" s="5"/>
      <c r="G8" s="6"/>
    </row>
    <row r="9" spans="1:7" ht="21" thickTop="1">
      <c r="B9" s="4"/>
      <c r="C9" s="7"/>
      <c r="D9" s="7"/>
      <c r="E9" s="5"/>
      <c r="F9" s="5"/>
      <c r="G9" s="6"/>
    </row>
    <row r="10" spans="1:7">
      <c r="B10" s="8" t="s">
        <v>1</v>
      </c>
      <c r="C10" s="9" t="s">
        <v>97</v>
      </c>
      <c r="D10" s="5"/>
      <c r="E10" s="10" t="s">
        <v>2</v>
      </c>
      <c r="F10" s="9" t="s">
        <v>98</v>
      </c>
      <c r="G10" s="6"/>
    </row>
    <row r="11" spans="1:7" ht="3.75" customHeight="1">
      <c r="A11" s="80"/>
      <c r="B11" s="5"/>
      <c r="C11" s="5"/>
      <c r="D11" s="5"/>
      <c r="E11" s="11"/>
      <c r="F11" s="5"/>
      <c r="G11" s="6"/>
    </row>
    <row r="12" spans="1:7">
      <c r="A12" s="80"/>
      <c r="B12" s="12" t="s">
        <v>3</v>
      </c>
      <c r="C12" s="9" t="s">
        <v>99</v>
      </c>
      <c r="D12" s="5"/>
      <c r="E12" s="10" t="s">
        <v>4</v>
      </c>
      <c r="F12" s="82" t="s">
        <v>100</v>
      </c>
      <c r="G12" s="6"/>
    </row>
    <row r="13" spans="1:7" ht="3.75" customHeight="1">
      <c r="A13" s="80"/>
      <c r="B13" s="5"/>
      <c r="C13" s="5"/>
      <c r="D13" s="5"/>
      <c r="E13" s="11"/>
      <c r="F13" s="5"/>
      <c r="G13" s="6"/>
    </row>
    <row r="14" spans="1:7">
      <c r="A14" s="80"/>
      <c r="B14" s="10" t="s">
        <v>5</v>
      </c>
      <c r="C14" s="9" t="s">
        <v>101</v>
      </c>
      <c r="D14" s="5"/>
      <c r="E14" s="10" t="s">
        <v>6</v>
      </c>
      <c r="F14" s="9" t="s">
        <v>107</v>
      </c>
      <c r="G14" s="6"/>
    </row>
    <row r="15" spans="1:7" ht="4.5" customHeight="1">
      <c r="A15" s="80"/>
      <c r="B15" s="13"/>
      <c r="C15" s="5"/>
      <c r="D15" s="5"/>
      <c r="E15" s="11"/>
      <c r="F15" s="5"/>
      <c r="G15" s="6"/>
    </row>
    <row r="16" spans="1:7">
      <c r="A16" s="80"/>
      <c r="B16" s="10" t="s">
        <v>7</v>
      </c>
      <c r="C16" s="9" t="s">
        <v>118</v>
      </c>
      <c r="D16" s="5"/>
      <c r="E16" s="11"/>
      <c r="F16" s="5"/>
      <c r="G16" s="6"/>
    </row>
    <row r="17" spans="1:7" ht="3.75" customHeight="1">
      <c r="A17" s="80"/>
      <c r="B17" s="5"/>
      <c r="C17" s="5"/>
      <c r="D17" s="5"/>
      <c r="E17" s="11"/>
      <c r="F17" s="5"/>
      <c r="G17" s="6"/>
    </row>
    <row r="18" spans="1:7">
      <c r="B18" s="14" t="s">
        <v>8</v>
      </c>
      <c r="C18" s="15" t="s">
        <v>103</v>
      </c>
      <c r="D18" s="5"/>
      <c r="E18" s="86" t="s">
        <v>109</v>
      </c>
      <c r="F18" s="87">
        <v>45292</v>
      </c>
      <c r="G18" s="6"/>
    </row>
    <row r="19" spans="1:7">
      <c r="B19" s="16" t="s">
        <v>9</v>
      </c>
      <c r="C19" s="17" t="s">
        <v>130</v>
      </c>
      <c r="D19" s="5"/>
      <c r="E19" s="88" t="s">
        <v>110</v>
      </c>
      <c r="F19" s="89">
        <v>45322</v>
      </c>
      <c r="G19" s="18"/>
    </row>
    <row r="20" spans="1:7" ht="15.75" thickBot="1">
      <c r="B20" s="4"/>
      <c r="C20" s="19"/>
      <c r="D20" s="19"/>
      <c r="E20" s="20"/>
      <c r="F20" s="21"/>
      <c r="G20" s="18"/>
    </row>
    <row r="21" spans="1:7" ht="18.75" thickBot="1">
      <c r="B21" s="4"/>
      <c r="C21" s="22" t="s">
        <v>10</v>
      </c>
      <c r="D21" s="23"/>
      <c r="E21" s="24"/>
      <c r="F21" s="25" t="s">
        <v>11</v>
      </c>
      <c r="G21" s="18"/>
    </row>
    <row r="22" spans="1:7">
      <c r="B22" s="4"/>
      <c r="C22" s="26" t="s">
        <v>12</v>
      </c>
      <c r="D22" s="26"/>
      <c r="E22" s="27">
        <v>13089.499192727297</v>
      </c>
      <c r="F22" s="28">
        <v>13089.499192727297</v>
      </c>
      <c r="G22" s="29"/>
    </row>
    <row r="23" spans="1:7">
      <c r="B23" s="30">
        <v>143</v>
      </c>
      <c r="C23" s="31" t="s">
        <v>13</v>
      </c>
      <c r="D23" s="31"/>
      <c r="E23" s="27">
        <v>5596.0880000000006</v>
      </c>
      <c r="F23" s="32">
        <v>5596.0880000000006</v>
      </c>
      <c r="G23" s="33"/>
    </row>
    <row r="24" spans="1:7">
      <c r="B24" s="30"/>
      <c r="C24" s="34" t="s">
        <v>14</v>
      </c>
      <c r="D24" s="34"/>
      <c r="E24" s="27">
        <v>0</v>
      </c>
      <c r="F24" s="32">
        <v>0</v>
      </c>
      <c r="G24" s="33"/>
    </row>
    <row r="25" spans="1:7">
      <c r="B25" s="30"/>
      <c r="C25" s="34" t="s">
        <v>15</v>
      </c>
      <c r="D25" s="34"/>
      <c r="E25" s="27">
        <v>0</v>
      </c>
      <c r="F25" s="32">
        <v>0</v>
      </c>
      <c r="G25" s="33"/>
    </row>
    <row r="26" spans="1:7">
      <c r="B26" s="30"/>
      <c r="C26" s="34" t="s">
        <v>16</v>
      </c>
      <c r="D26" s="34"/>
      <c r="E26" s="27">
        <v>0</v>
      </c>
      <c r="F26" s="32">
        <v>0</v>
      </c>
      <c r="G26" s="33"/>
    </row>
    <row r="27" spans="1:7">
      <c r="B27" s="30"/>
      <c r="C27" s="34" t="s">
        <v>17</v>
      </c>
      <c r="D27" s="34"/>
      <c r="E27" s="27">
        <v>0</v>
      </c>
      <c r="F27" s="32">
        <v>0</v>
      </c>
      <c r="G27" s="33"/>
    </row>
    <row r="28" spans="1:7">
      <c r="B28" s="30"/>
      <c r="C28" s="35" t="s">
        <v>18</v>
      </c>
      <c r="D28" s="35"/>
      <c r="E28" s="36">
        <v>18685.587192727296</v>
      </c>
      <c r="F28" s="37">
        <v>18685.587192727296</v>
      </c>
      <c r="G28" s="38"/>
    </row>
    <row r="29" spans="1:7" ht="15.75" thickBot="1">
      <c r="B29" s="30"/>
      <c r="C29" s="39"/>
      <c r="D29" s="39"/>
      <c r="E29" s="40"/>
      <c r="F29" s="41"/>
      <c r="G29" s="38"/>
    </row>
    <row r="30" spans="1:7" ht="18.75" thickBot="1">
      <c r="B30" s="30"/>
      <c r="C30" s="22" t="s">
        <v>19</v>
      </c>
      <c r="D30" s="23"/>
      <c r="E30" s="42"/>
      <c r="F30" s="43"/>
      <c r="G30" s="38"/>
    </row>
    <row r="31" spans="1:7">
      <c r="B31" s="44">
        <v>121</v>
      </c>
      <c r="C31" s="39" t="s">
        <v>20</v>
      </c>
      <c r="D31" s="39"/>
      <c r="E31" s="45"/>
      <c r="F31" s="46"/>
      <c r="G31" s="47"/>
    </row>
    <row r="32" spans="1:7">
      <c r="B32" s="44"/>
      <c r="C32" s="48" t="s">
        <v>21</v>
      </c>
      <c r="D32" s="48"/>
      <c r="E32" s="49">
        <v>362.72039999999993</v>
      </c>
      <c r="F32" s="50">
        <v>362.72039999999993</v>
      </c>
      <c r="G32" s="47"/>
    </row>
    <row r="33" spans="2:7">
      <c r="B33" s="44"/>
      <c r="C33" s="48" t="s">
        <v>22</v>
      </c>
      <c r="D33" s="48"/>
      <c r="E33" s="49">
        <v>373.08383999999955</v>
      </c>
      <c r="F33" s="50">
        <v>373.08383999999955</v>
      </c>
      <c r="G33" s="47"/>
    </row>
    <row r="34" spans="2:7">
      <c r="B34" s="51"/>
      <c r="C34" s="48" t="s">
        <v>23</v>
      </c>
      <c r="D34" s="48"/>
      <c r="E34" s="49">
        <v>445.62792000000002</v>
      </c>
      <c r="F34" s="50">
        <v>445.62792000000002</v>
      </c>
      <c r="G34" s="52"/>
    </row>
    <row r="35" spans="2:7">
      <c r="B35" s="51"/>
      <c r="C35" s="48" t="s">
        <v>24</v>
      </c>
      <c r="D35" s="48"/>
      <c r="E35" s="49">
        <v>305.25041454545419</v>
      </c>
      <c r="F35" s="50">
        <v>305.25041454545419</v>
      </c>
      <c r="G35" s="52"/>
    </row>
    <row r="36" spans="2:7">
      <c r="B36" s="44"/>
      <c r="C36" s="48" t="s">
        <v>25</v>
      </c>
      <c r="D36" s="48"/>
      <c r="E36" s="49">
        <v>0</v>
      </c>
      <c r="F36" s="50">
        <v>0</v>
      </c>
      <c r="G36" s="52"/>
    </row>
    <row r="37" spans="2:7">
      <c r="B37" s="44"/>
      <c r="C37" s="53" t="s">
        <v>26</v>
      </c>
      <c r="D37" s="53"/>
      <c r="E37" s="36">
        <v>1486.6825745454535</v>
      </c>
      <c r="F37" s="54">
        <v>1486.6825745454535</v>
      </c>
      <c r="G37" s="52"/>
    </row>
    <row r="38" spans="2:7">
      <c r="B38" s="44">
        <v>122</v>
      </c>
      <c r="C38" s="39" t="s">
        <v>27</v>
      </c>
      <c r="D38" s="39"/>
      <c r="E38" s="36"/>
      <c r="F38" s="50"/>
      <c r="G38" s="55"/>
    </row>
    <row r="39" spans="2:7">
      <c r="B39" s="44"/>
      <c r="C39" s="48" t="s">
        <v>28</v>
      </c>
      <c r="D39" s="48"/>
      <c r="E39" s="49">
        <v>176.17848000000001</v>
      </c>
      <c r="F39" s="50">
        <v>176.17848000000001</v>
      </c>
      <c r="G39" s="52"/>
    </row>
    <row r="40" spans="2:7">
      <c r="B40" s="44"/>
      <c r="C40" s="48" t="s">
        <v>29</v>
      </c>
      <c r="D40" s="48"/>
      <c r="E40" s="49">
        <v>0</v>
      </c>
      <c r="F40" s="50">
        <v>0</v>
      </c>
      <c r="G40" s="52"/>
    </row>
    <row r="41" spans="2:7">
      <c r="B41" s="44"/>
      <c r="C41" s="48" t="s">
        <v>30</v>
      </c>
      <c r="D41" s="48"/>
      <c r="E41" s="49">
        <v>233.64846545454537</v>
      </c>
      <c r="F41" s="50">
        <v>233.64846545454537</v>
      </c>
      <c r="G41" s="52"/>
    </row>
    <row r="42" spans="2:7">
      <c r="B42" s="44"/>
      <c r="C42" s="48" t="s">
        <v>31</v>
      </c>
      <c r="D42" s="48"/>
      <c r="E42" s="49">
        <v>41.453760000000003</v>
      </c>
      <c r="F42" s="50">
        <v>41.453760000000003</v>
      </c>
      <c r="G42" s="52"/>
    </row>
    <row r="43" spans="2:7">
      <c r="B43" s="44"/>
      <c r="C43" s="48" t="s">
        <v>32</v>
      </c>
      <c r="D43" s="48"/>
      <c r="E43" s="49">
        <v>165.81504000000001</v>
      </c>
      <c r="F43" s="50">
        <v>165.81504000000001</v>
      </c>
      <c r="G43" s="52"/>
    </row>
    <row r="44" spans="2:7">
      <c r="B44" s="44"/>
      <c r="C44" s="48" t="s">
        <v>33</v>
      </c>
      <c r="D44" s="48"/>
      <c r="E44" s="49">
        <v>0</v>
      </c>
      <c r="F44" s="50">
        <v>0</v>
      </c>
      <c r="G44" s="52"/>
    </row>
    <row r="45" spans="2:7">
      <c r="B45" s="44"/>
      <c r="C45" s="48" t="s">
        <v>34</v>
      </c>
      <c r="D45" s="48"/>
      <c r="E45" s="49">
        <v>0</v>
      </c>
      <c r="F45" s="50">
        <v>0</v>
      </c>
      <c r="G45" s="52"/>
    </row>
    <row r="46" spans="2:7">
      <c r="B46" s="44"/>
      <c r="C46" s="48" t="s">
        <v>35</v>
      </c>
      <c r="D46" s="48"/>
      <c r="E46" s="49">
        <v>0</v>
      </c>
      <c r="F46" s="50">
        <v>0</v>
      </c>
      <c r="G46" s="52"/>
    </row>
    <row r="47" spans="2:7">
      <c r="B47" s="44"/>
      <c r="C47" s="53" t="s">
        <v>26</v>
      </c>
      <c r="D47" s="53"/>
      <c r="E47" s="36">
        <v>617.09574545454529</v>
      </c>
      <c r="F47" s="54">
        <v>617.09574545454529</v>
      </c>
      <c r="G47" s="52"/>
    </row>
    <row r="48" spans="2:7">
      <c r="B48" s="44">
        <v>123</v>
      </c>
      <c r="C48" s="39" t="s">
        <v>36</v>
      </c>
      <c r="D48" s="39"/>
      <c r="E48" s="56"/>
      <c r="F48" s="57"/>
      <c r="G48" s="52"/>
    </row>
    <row r="49" spans="2:7">
      <c r="B49" s="44"/>
      <c r="C49" s="48" t="s">
        <v>37</v>
      </c>
      <c r="D49" s="48"/>
      <c r="E49" s="49">
        <v>150.7409454545454</v>
      </c>
      <c r="F49" s="50">
        <v>150.7409454545454</v>
      </c>
      <c r="G49" s="52"/>
    </row>
    <row r="50" spans="2:7">
      <c r="B50" s="44"/>
      <c r="C50" s="48" t="s">
        <v>38</v>
      </c>
      <c r="D50" s="48"/>
      <c r="E50" s="49">
        <v>0</v>
      </c>
      <c r="F50" s="50">
        <v>0</v>
      </c>
      <c r="G50" s="52"/>
    </row>
    <row r="51" spans="2:7">
      <c r="B51" s="44"/>
      <c r="C51" s="48" t="s">
        <v>39</v>
      </c>
      <c r="D51" s="48"/>
      <c r="E51" s="49">
        <v>177.1206109090908</v>
      </c>
      <c r="F51" s="50">
        <v>177.1206109090908</v>
      </c>
      <c r="G51" s="52"/>
    </row>
    <row r="52" spans="2:7">
      <c r="B52" s="44"/>
      <c r="C52" s="48" t="s">
        <v>40</v>
      </c>
      <c r="D52" s="48"/>
      <c r="E52" s="49">
        <v>135.66685090909078</v>
      </c>
      <c r="F52" s="50">
        <v>135.66685090909078</v>
      </c>
      <c r="G52" s="52"/>
    </row>
    <row r="53" spans="2:7">
      <c r="B53" s="44"/>
      <c r="C53" s="48" t="s">
        <v>41</v>
      </c>
      <c r="D53" s="48"/>
      <c r="E53" s="49">
        <v>0</v>
      </c>
      <c r="F53" s="50">
        <v>0</v>
      </c>
      <c r="G53" s="52"/>
    </row>
    <row r="54" spans="2:7">
      <c r="B54" s="44"/>
      <c r="C54" s="48" t="s">
        <v>42</v>
      </c>
      <c r="D54" s="48"/>
      <c r="E54" s="49">
        <v>238.35912000000002</v>
      </c>
      <c r="F54" s="50">
        <v>238.35912000000002</v>
      </c>
      <c r="G54" s="52"/>
    </row>
    <row r="55" spans="2:7">
      <c r="B55" s="44"/>
      <c r="C55" s="53" t="s">
        <v>26</v>
      </c>
      <c r="D55" s="53"/>
      <c r="E55" s="36">
        <v>701.88752727272697</v>
      </c>
      <c r="F55" s="54">
        <v>701.88752727272697</v>
      </c>
      <c r="G55" s="52"/>
    </row>
    <row r="56" spans="2:7">
      <c r="B56" s="44">
        <v>124</v>
      </c>
      <c r="C56" s="39" t="s">
        <v>43</v>
      </c>
      <c r="D56" s="39"/>
      <c r="E56" s="56"/>
      <c r="F56" s="57"/>
      <c r="G56" s="52"/>
    </row>
    <row r="57" spans="2:7">
      <c r="B57" s="44"/>
      <c r="C57" s="48" t="s">
        <v>44</v>
      </c>
      <c r="D57" s="48"/>
      <c r="E57" s="49">
        <v>448.45431272727234</v>
      </c>
      <c r="F57" s="50">
        <v>448.45431272727234</v>
      </c>
      <c r="G57" s="52"/>
    </row>
    <row r="58" spans="2:7">
      <c r="B58" s="44"/>
      <c r="C58" s="48" t="s">
        <v>45</v>
      </c>
      <c r="D58" s="48"/>
      <c r="E58" s="49">
        <v>0</v>
      </c>
      <c r="F58" s="50">
        <v>0</v>
      </c>
      <c r="G58" s="52"/>
    </row>
    <row r="59" spans="2:7">
      <c r="B59" s="44"/>
      <c r="C59" s="48" t="s">
        <v>46</v>
      </c>
      <c r="D59" s="48"/>
      <c r="E59" s="49">
        <v>0</v>
      </c>
      <c r="F59" s="50">
        <v>0</v>
      </c>
      <c r="G59" s="52"/>
    </row>
    <row r="60" spans="2:7">
      <c r="B60" s="44"/>
      <c r="C60" s="53" t="s">
        <v>26</v>
      </c>
      <c r="D60" s="53"/>
      <c r="E60" s="36">
        <v>448.45431272727234</v>
      </c>
      <c r="F60" s="54">
        <v>448.45431272727234</v>
      </c>
      <c r="G60" s="52"/>
    </row>
    <row r="61" spans="2:7">
      <c r="B61" s="44">
        <v>125</v>
      </c>
      <c r="C61" s="39" t="s">
        <v>47</v>
      </c>
      <c r="D61" s="39"/>
      <c r="E61" s="36"/>
      <c r="F61" s="50"/>
      <c r="G61" s="52"/>
    </row>
    <row r="62" spans="2:7">
      <c r="B62" s="44"/>
      <c r="C62" s="48" t="s">
        <v>48</v>
      </c>
      <c r="D62" s="48"/>
      <c r="E62" s="58">
        <v>0</v>
      </c>
      <c r="F62" s="50">
        <v>0</v>
      </c>
      <c r="G62" s="52"/>
    </row>
    <row r="63" spans="2:7">
      <c r="B63" s="44"/>
      <c r="C63" s="48" t="s">
        <v>49</v>
      </c>
      <c r="D63" s="48"/>
      <c r="E63" s="58">
        <v>0</v>
      </c>
      <c r="F63" s="50">
        <v>0</v>
      </c>
      <c r="G63" s="52"/>
    </row>
    <row r="64" spans="2:7">
      <c r="B64" s="44"/>
      <c r="C64" s="48" t="s">
        <v>50</v>
      </c>
      <c r="D64" s="48"/>
      <c r="E64" s="58">
        <v>725.44080000000008</v>
      </c>
      <c r="F64" s="50">
        <v>725.44080000000008</v>
      </c>
      <c r="G64" s="52"/>
    </row>
    <row r="65" spans="2:7">
      <c r="B65" s="44"/>
      <c r="C65" s="48" t="s">
        <v>51</v>
      </c>
      <c r="D65" s="48"/>
      <c r="E65" s="58">
        <v>165.81504000000001</v>
      </c>
      <c r="F65" s="50">
        <v>165.81504000000001</v>
      </c>
      <c r="G65" s="52"/>
    </row>
    <row r="66" spans="2:7">
      <c r="B66" s="44"/>
      <c r="C66" s="53" t="s">
        <v>26</v>
      </c>
      <c r="D66" s="53"/>
      <c r="E66" s="56">
        <v>891.25584000000003</v>
      </c>
      <c r="F66" s="54">
        <v>891.25584000000003</v>
      </c>
      <c r="G66" s="52"/>
    </row>
    <row r="67" spans="2:7">
      <c r="B67" s="44">
        <v>126</v>
      </c>
      <c r="C67" s="39" t="s">
        <v>52</v>
      </c>
      <c r="D67" s="39"/>
      <c r="E67" s="56"/>
      <c r="F67" s="50"/>
      <c r="G67" s="52"/>
    </row>
    <row r="68" spans="2:7">
      <c r="B68" s="44"/>
      <c r="C68" s="48" t="s">
        <v>53</v>
      </c>
      <c r="D68" s="48"/>
      <c r="E68" s="49">
        <v>0</v>
      </c>
      <c r="F68" s="50">
        <v>0</v>
      </c>
      <c r="G68" s="52"/>
    </row>
    <row r="69" spans="2:7">
      <c r="B69" s="44"/>
      <c r="C69" s="48" t="s">
        <v>54</v>
      </c>
      <c r="D69" s="48"/>
      <c r="E69" s="49">
        <v>0</v>
      </c>
      <c r="F69" s="50"/>
      <c r="G69" s="52"/>
    </row>
    <row r="70" spans="2:7">
      <c r="B70" s="44"/>
      <c r="C70" s="48" t="s">
        <v>55</v>
      </c>
      <c r="D70" s="48"/>
      <c r="E70" s="49">
        <v>0</v>
      </c>
      <c r="F70" s="50"/>
      <c r="G70" s="52"/>
    </row>
    <row r="71" spans="2:7">
      <c r="B71" s="44"/>
      <c r="C71" s="48" t="s">
        <v>56</v>
      </c>
      <c r="D71" s="48"/>
      <c r="E71" s="49">
        <v>0</v>
      </c>
      <c r="F71" s="57"/>
      <c r="G71" s="52"/>
    </row>
    <row r="72" spans="2:7">
      <c r="B72" s="44"/>
      <c r="C72" s="53" t="s">
        <v>26</v>
      </c>
      <c r="D72" s="53"/>
      <c r="E72" s="56">
        <v>0</v>
      </c>
      <c r="F72" s="54">
        <v>0</v>
      </c>
      <c r="G72" s="52"/>
    </row>
    <row r="73" spans="2:7">
      <c r="B73" s="44">
        <v>127</v>
      </c>
      <c r="C73" s="39" t="s">
        <v>57</v>
      </c>
      <c r="D73" s="39"/>
      <c r="E73" s="56"/>
      <c r="F73" s="54"/>
      <c r="G73" s="52"/>
    </row>
    <row r="74" spans="2:7">
      <c r="B74" s="44"/>
      <c r="C74" s="48" t="s">
        <v>58</v>
      </c>
      <c r="D74" s="48"/>
      <c r="E74" s="49">
        <v>0</v>
      </c>
      <c r="F74" s="50">
        <v>0</v>
      </c>
      <c r="G74" s="52"/>
    </row>
    <row r="75" spans="2:7">
      <c r="B75" s="44"/>
      <c r="C75" s="48" t="s">
        <v>59</v>
      </c>
      <c r="D75" s="48"/>
      <c r="E75" s="49">
        <v>0</v>
      </c>
      <c r="F75" s="50">
        <v>0</v>
      </c>
      <c r="G75" s="52"/>
    </row>
    <row r="76" spans="2:7">
      <c r="B76" s="44"/>
      <c r="C76" s="48" t="s">
        <v>60</v>
      </c>
      <c r="D76" s="48"/>
      <c r="E76" s="49">
        <v>0</v>
      </c>
      <c r="F76" s="50">
        <v>0</v>
      </c>
      <c r="G76" s="52"/>
    </row>
    <row r="77" spans="2:7">
      <c r="B77" s="44"/>
      <c r="C77" s="59" t="s">
        <v>61</v>
      </c>
      <c r="D77" s="59"/>
      <c r="E77" s="49">
        <v>0</v>
      </c>
      <c r="F77" s="50">
        <v>0</v>
      </c>
      <c r="G77" s="52"/>
    </row>
    <row r="78" spans="2:7">
      <c r="B78" s="44"/>
      <c r="C78" s="53" t="s">
        <v>26</v>
      </c>
      <c r="D78" s="53"/>
      <c r="E78" s="56">
        <v>0</v>
      </c>
      <c r="F78" s="54">
        <v>0</v>
      </c>
      <c r="G78" s="52"/>
    </row>
    <row r="79" spans="2:7">
      <c r="B79" s="44">
        <v>128</v>
      </c>
      <c r="C79" s="39" t="s">
        <v>62</v>
      </c>
      <c r="D79" s="39"/>
      <c r="E79" s="56"/>
      <c r="F79" s="54"/>
      <c r="G79" s="52"/>
    </row>
    <row r="80" spans="2:7">
      <c r="B80" s="44"/>
      <c r="C80" s="48" t="s">
        <v>63</v>
      </c>
      <c r="D80" s="48"/>
      <c r="E80" s="49">
        <v>0</v>
      </c>
      <c r="F80" s="50">
        <v>0</v>
      </c>
      <c r="G80" s="52"/>
    </row>
    <row r="81" spans="2:7">
      <c r="B81" s="44"/>
      <c r="C81" s="48" t="s">
        <v>64</v>
      </c>
      <c r="D81" s="48"/>
      <c r="E81" s="49">
        <v>0</v>
      </c>
      <c r="F81" s="50">
        <v>0</v>
      </c>
      <c r="G81" s="52"/>
    </row>
    <row r="82" spans="2:7">
      <c r="B82" s="44"/>
      <c r="C82" s="48" t="s">
        <v>65</v>
      </c>
      <c r="D82" s="48"/>
      <c r="E82" s="49">
        <v>0</v>
      </c>
      <c r="F82" s="50">
        <v>0</v>
      </c>
      <c r="G82" s="52"/>
    </row>
    <row r="83" spans="2:7">
      <c r="B83" s="44"/>
      <c r="C83" s="48" t="s">
        <v>66</v>
      </c>
      <c r="D83" s="48"/>
      <c r="E83" s="49">
        <v>0</v>
      </c>
      <c r="F83" s="50">
        <v>0</v>
      </c>
      <c r="G83" s="52"/>
    </row>
    <row r="84" spans="2:7">
      <c r="B84" s="44"/>
      <c r="C84" s="48" t="s">
        <v>67</v>
      </c>
      <c r="D84" s="48"/>
      <c r="E84" s="49">
        <v>0</v>
      </c>
      <c r="F84" s="50">
        <v>0</v>
      </c>
      <c r="G84" s="52"/>
    </row>
    <row r="85" spans="2:7">
      <c r="B85" s="44"/>
      <c r="C85" s="53" t="s">
        <v>26</v>
      </c>
      <c r="D85" s="53"/>
      <c r="E85" s="56">
        <v>0</v>
      </c>
      <c r="F85" s="54">
        <v>0</v>
      </c>
      <c r="G85" s="52"/>
    </row>
    <row r="86" spans="2:7">
      <c r="B86" s="44">
        <v>135</v>
      </c>
      <c r="C86" s="39" t="s">
        <v>68</v>
      </c>
      <c r="D86" s="39"/>
      <c r="E86" s="56"/>
      <c r="F86" s="50"/>
      <c r="G86" s="52"/>
    </row>
    <row r="87" spans="2:7">
      <c r="B87" s="44"/>
      <c r="C87" s="48" t="s">
        <v>69</v>
      </c>
      <c r="D87" s="48"/>
      <c r="E87" s="49">
        <v>0</v>
      </c>
      <c r="F87" s="50">
        <v>0</v>
      </c>
      <c r="G87" s="52"/>
    </row>
    <row r="88" spans="2:7">
      <c r="B88" s="44"/>
      <c r="C88" s="48" t="s">
        <v>70</v>
      </c>
      <c r="D88" s="48"/>
      <c r="E88" s="49">
        <v>0</v>
      </c>
      <c r="F88" s="50">
        <v>0</v>
      </c>
      <c r="G88" s="52"/>
    </row>
    <row r="89" spans="2:7">
      <c r="B89" s="44"/>
      <c r="C89" s="48" t="s">
        <v>71</v>
      </c>
      <c r="D89" s="48"/>
      <c r="E89" s="49">
        <v>0</v>
      </c>
      <c r="F89" s="50">
        <v>0</v>
      </c>
      <c r="G89" s="52"/>
    </row>
    <row r="90" spans="2:7">
      <c r="B90" s="44"/>
      <c r="C90" s="48" t="s">
        <v>72</v>
      </c>
      <c r="D90" s="48"/>
      <c r="E90" s="49">
        <v>0</v>
      </c>
      <c r="F90" s="50">
        <v>0</v>
      </c>
      <c r="G90" s="52"/>
    </row>
    <row r="91" spans="2:7">
      <c r="B91" s="44"/>
      <c r="C91" s="48" t="s">
        <v>73</v>
      </c>
      <c r="D91" s="48"/>
      <c r="E91" s="49">
        <v>0</v>
      </c>
      <c r="F91" s="50">
        <v>0</v>
      </c>
      <c r="G91" s="52"/>
    </row>
    <row r="92" spans="2:7">
      <c r="B92" s="44"/>
      <c r="C92" s="48" t="s">
        <v>74</v>
      </c>
      <c r="D92" s="48"/>
      <c r="E92" s="49">
        <v>0</v>
      </c>
      <c r="F92" s="50">
        <v>0</v>
      </c>
      <c r="G92" s="52"/>
    </row>
    <row r="93" spans="2:7">
      <c r="B93" s="44"/>
      <c r="C93" s="48" t="s">
        <v>75</v>
      </c>
      <c r="D93" s="48"/>
      <c r="E93" s="49">
        <v>0</v>
      </c>
      <c r="F93" s="50">
        <v>0</v>
      </c>
      <c r="G93" s="52"/>
    </row>
    <row r="94" spans="2:7">
      <c r="B94" s="44"/>
      <c r="C94" s="48" t="s">
        <v>76</v>
      </c>
      <c r="D94" s="48"/>
      <c r="E94" s="49">
        <v>0</v>
      </c>
      <c r="F94" s="50">
        <v>0</v>
      </c>
      <c r="G94" s="52"/>
    </row>
    <row r="95" spans="2:7">
      <c r="B95" s="44"/>
      <c r="C95" s="48" t="s">
        <v>77</v>
      </c>
      <c r="D95" s="48"/>
      <c r="E95" s="49">
        <v>0</v>
      </c>
      <c r="F95" s="50">
        <v>0</v>
      </c>
      <c r="G95" s="52"/>
    </row>
    <row r="96" spans="2:7">
      <c r="B96" s="44"/>
      <c r="C96" s="53" t="s">
        <v>26</v>
      </c>
      <c r="D96" s="53"/>
      <c r="E96" s="56">
        <v>0</v>
      </c>
      <c r="F96" s="54">
        <v>0</v>
      </c>
      <c r="G96" s="52"/>
    </row>
    <row r="97" spans="2:7">
      <c r="B97" s="44">
        <v>136</v>
      </c>
      <c r="C97" s="39" t="s">
        <v>78</v>
      </c>
      <c r="D97" s="39"/>
      <c r="E97" s="56"/>
      <c r="F97" s="50"/>
      <c r="G97" s="52"/>
    </row>
    <row r="98" spans="2:7">
      <c r="B98" s="44"/>
      <c r="C98" s="48" t="s">
        <v>79</v>
      </c>
      <c r="D98" s="48"/>
      <c r="E98" s="49">
        <v>0</v>
      </c>
      <c r="F98" s="50">
        <v>0</v>
      </c>
      <c r="G98" s="52"/>
    </row>
    <row r="99" spans="2:7">
      <c r="B99" s="44"/>
      <c r="C99" s="48" t="s">
        <v>80</v>
      </c>
      <c r="D99" s="48"/>
      <c r="E99" s="49">
        <v>0</v>
      </c>
      <c r="F99" s="50">
        <v>0</v>
      </c>
      <c r="G99" s="52"/>
    </row>
    <row r="100" spans="2:7">
      <c r="B100" s="44"/>
      <c r="C100" s="48" t="s">
        <v>81</v>
      </c>
      <c r="D100" s="48"/>
      <c r="E100" s="49">
        <v>0</v>
      </c>
      <c r="F100" s="50">
        <v>0</v>
      </c>
      <c r="G100" s="52"/>
    </row>
    <row r="101" spans="2:7">
      <c r="B101" s="44"/>
      <c r="C101" s="48" t="s">
        <v>82</v>
      </c>
      <c r="D101" s="48"/>
      <c r="E101" s="49">
        <v>0</v>
      </c>
      <c r="F101" s="50">
        <v>0</v>
      </c>
      <c r="G101" s="52"/>
    </row>
    <row r="102" spans="2:7">
      <c r="B102" s="44"/>
      <c r="C102" s="48" t="s">
        <v>83</v>
      </c>
      <c r="D102" s="48"/>
      <c r="E102" s="49">
        <v>0</v>
      </c>
      <c r="F102" s="50">
        <v>0</v>
      </c>
      <c r="G102" s="52"/>
    </row>
    <row r="103" spans="2:7">
      <c r="B103" s="44"/>
      <c r="C103" s="48" t="s">
        <v>84</v>
      </c>
      <c r="D103" s="48"/>
      <c r="E103" s="49">
        <v>0</v>
      </c>
      <c r="F103" s="50">
        <v>0</v>
      </c>
      <c r="G103" s="52"/>
    </row>
    <row r="104" spans="2:7">
      <c r="B104" s="44"/>
      <c r="C104" s="53" t="s">
        <v>26</v>
      </c>
      <c r="D104" s="53"/>
      <c r="E104" s="56">
        <v>0</v>
      </c>
      <c r="F104" s="54">
        <v>0</v>
      </c>
      <c r="G104" s="52"/>
    </row>
    <row r="105" spans="2:7">
      <c r="B105" s="44">
        <v>142</v>
      </c>
      <c r="C105" s="39" t="s">
        <v>85</v>
      </c>
      <c r="D105" s="39"/>
      <c r="E105" s="56"/>
      <c r="F105" s="50"/>
      <c r="G105" s="52"/>
    </row>
    <row r="106" spans="2:7">
      <c r="B106" s="44"/>
      <c r="C106" s="48" t="s">
        <v>86</v>
      </c>
      <c r="D106" s="48"/>
      <c r="E106" s="49">
        <v>0</v>
      </c>
      <c r="F106" s="50">
        <v>0</v>
      </c>
      <c r="G106" s="52"/>
    </row>
    <row r="107" spans="2:7">
      <c r="B107" s="44"/>
      <c r="C107" s="48" t="s">
        <v>87</v>
      </c>
      <c r="D107" s="48"/>
      <c r="E107" s="49">
        <v>0</v>
      </c>
      <c r="F107" s="50">
        <v>0</v>
      </c>
      <c r="G107" s="52"/>
    </row>
    <row r="108" spans="2:7">
      <c r="B108" s="44"/>
      <c r="C108" s="53" t="s">
        <v>26</v>
      </c>
      <c r="D108" s="53"/>
      <c r="E108" s="56">
        <v>0</v>
      </c>
      <c r="F108" s="54">
        <v>0</v>
      </c>
      <c r="G108" s="52"/>
    </row>
    <row r="109" spans="2:7">
      <c r="B109" s="44">
        <v>144</v>
      </c>
      <c r="C109" s="39" t="s">
        <v>88</v>
      </c>
      <c r="D109" s="39"/>
      <c r="E109" s="49">
        <v>0</v>
      </c>
      <c r="F109" s="54">
        <v>0</v>
      </c>
      <c r="G109" s="52"/>
    </row>
    <row r="110" spans="2:7">
      <c r="B110" s="44">
        <v>221</v>
      </c>
      <c r="C110" s="39" t="s">
        <v>89</v>
      </c>
      <c r="D110" s="39"/>
      <c r="E110" s="49">
        <v>0</v>
      </c>
      <c r="F110" s="54">
        <v>0</v>
      </c>
      <c r="G110" s="52"/>
    </row>
    <row r="111" spans="2:7">
      <c r="B111" s="44">
        <v>222</v>
      </c>
      <c r="C111" s="39" t="s">
        <v>90</v>
      </c>
      <c r="D111" s="39"/>
      <c r="E111" s="49">
        <v>0</v>
      </c>
      <c r="F111" s="54">
        <v>0</v>
      </c>
      <c r="G111" s="52"/>
    </row>
    <row r="112" spans="2:7">
      <c r="B112" s="44">
        <v>224</v>
      </c>
      <c r="C112" s="39" t="s">
        <v>91</v>
      </c>
      <c r="D112" s="39"/>
      <c r="E112" s="49">
        <v>0</v>
      </c>
      <c r="F112" s="54">
        <v>0</v>
      </c>
      <c r="G112" s="52"/>
    </row>
    <row r="113" spans="2:7">
      <c r="B113" s="44">
        <v>225</v>
      </c>
      <c r="C113" s="39" t="s">
        <v>92</v>
      </c>
      <c r="D113" s="39"/>
      <c r="E113" s="49">
        <v>0</v>
      </c>
      <c r="F113" s="54">
        <v>0</v>
      </c>
      <c r="G113" s="38"/>
    </row>
    <row r="114" spans="2:7">
      <c r="B114" s="44">
        <v>226</v>
      </c>
      <c r="C114" s="39" t="s">
        <v>93</v>
      </c>
      <c r="D114" s="39"/>
      <c r="E114" s="49">
        <v>0</v>
      </c>
      <c r="F114" s="54">
        <v>0</v>
      </c>
      <c r="G114" s="60"/>
    </row>
    <row r="115" spans="2:7" ht="15.75" thickBot="1">
      <c r="B115" s="61"/>
      <c r="C115" s="62" t="s">
        <v>94</v>
      </c>
      <c r="D115" s="62"/>
      <c r="E115" s="90">
        <v>0</v>
      </c>
      <c r="F115" s="63">
        <v>0</v>
      </c>
      <c r="G115" s="38"/>
    </row>
    <row r="116" spans="2:7">
      <c r="B116" s="64"/>
      <c r="C116" s="65" t="s">
        <v>95</v>
      </c>
      <c r="D116" s="66"/>
      <c r="E116" s="91">
        <v>4145.3759999999975</v>
      </c>
      <c r="F116" s="68">
        <v>4145.3759999999975</v>
      </c>
      <c r="G116" s="69"/>
    </row>
    <row r="117" spans="2:7" ht="15.75" thickBot="1">
      <c r="B117" s="64"/>
      <c r="C117" s="70"/>
      <c r="D117" s="71"/>
      <c r="E117" s="92"/>
      <c r="F117" s="73"/>
      <c r="G117" s="69"/>
    </row>
    <row r="118" spans="2:7" ht="15.75" thickBot="1">
      <c r="B118" s="64"/>
      <c r="C118" s="70" t="s">
        <v>96</v>
      </c>
      <c r="D118" s="71"/>
      <c r="E118" s="93">
        <v>14540.2111927273</v>
      </c>
      <c r="F118" s="75">
        <v>14540.2111927273</v>
      </c>
      <c r="G118" s="76"/>
    </row>
    <row r="119" spans="2:7" ht="8.25" customHeight="1" thickBot="1">
      <c r="B119" s="77"/>
      <c r="C119" s="81"/>
      <c r="D119" s="81"/>
      <c r="E119" s="78"/>
      <c r="F119" s="78"/>
      <c r="G119" s="79"/>
    </row>
    <row r="120" spans="2:7">
      <c r="B120" s="83"/>
      <c r="C120" s="84"/>
      <c r="D120" s="84"/>
      <c r="E120" s="85"/>
      <c r="F120" s="83"/>
      <c r="G120" s="85"/>
    </row>
    <row r="121" spans="2:7" ht="6" customHeight="1" thickBot="1"/>
    <row r="122" spans="2:7">
      <c r="B122" s="1"/>
      <c r="C122" s="2"/>
      <c r="D122" s="2"/>
      <c r="E122" s="2"/>
      <c r="F122" s="2"/>
      <c r="G122" s="3"/>
    </row>
    <row r="123" spans="2:7">
      <c r="B123" s="4"/>
      <c r="C123" s="5"/>
      <c r="D123" s="5"/>
      <c r="E123" s="5"/>
      <c r="F123" s="5"/>
      <c r="G123" s="6"/>
    </row>
    <row r="124" spans="2:7">
      <c r="B124" s="4"/>
      <c r="C124" s="5"/>
      <c r="D124" s="5"/>
      <c r="E124" s="5"/>
      <c r="F124" s="5"/>
      <c r="G124" s="6"/>
    </row>
    <row r="125" spans="2:7">
      <c r="B125" s="4"/>
      <c r="C125" s="5"/>
      <c r="D125" s="5"/>
      <c r="E125" s="5"/>
      <c r="F125" s="5"/>
      <c r="G125" s="6"/>
    </row>
    <row r="126" spans="2:7">
      <c r="B126" s="4"/>
      <c r="C126" s="5"/>
      <c r="D126" s="5"/>
      <c r="E126" s="5"/>
      <c r="F126" s="5"/>
      <c r="G126" s="6"/>
    </row>
    <row r="127" spans="2:7" ht="16.5" customHeight="1">
      <c r="B127" s="4"/>
      <c r="C127" s="5"/>
      <c r="D127" s="5"/>
      <c r="E127" s="5"/>
      <c r="F127" s="5"/>
      <c r="G127" s="6"/>
    </row>
    <row r="128" spans="2:7" ht="22.5" customHeight="1" thickBot="1">
      <c r="B128" s="4"/>
      <c r="C128" s="95" t="s">
        <v>0</v>
      </c>
      <c r="D128" s="95"/>
      <c r="E128" s="95"/>
      <c r="F128" s="5"/>
      <c r="G128" s="6"/>
    </row>
    <row r="129" spans="1:7" ht="21" thickTop="1">
      <c r="B129" s="4"/>
      <c r="C129" s="7"/>
      <c r="D129" s="7"/>
      <c r="E129" s="5"/>
      <c r="F129" s="5"/>
      <c r="G129" s="6"/>
    </row>
    <row r="130" spans="1:7">
      <c r="B130" s="8" t="s">
        <v>1</v>
      </c>
      <c r="C130" s="9" t="s">
        <v>97</v>
      </c>
      <c r="D130" s="5"/>
      <c r="E130" s="10" t="s">
        <v>2</v>
      </c>
      <c r="F130" s="9" t="s">
        <v>98</v>
      </c>
      <c r="G130" s="6"/>
    </row>
    <row r="131" spans="1:7" ht="3.75" customHeight="1">
      <c r="A131" s="80"/>
      <c r="B131" s="5"/>
      <c r="C131" s="5"/>
      <c r="D131" s="5"/>
      <c r="E131" s="11"/>
      <c r="F131" s="5"/>
      <c r="G131" s="6"/>
    </row>
    <row r="132" spans="1:7">
      <c r="A132" s="80"/>
      <c r="B132" s="12" t="s">
        <v>3</v>
      </c>
      <c r="C132" s="9" t="s">
        <v>99</v>
      </c>
      <c r="D132" s="5"/>
      <c r="E132" s="10" t="s">
        <v>4</v>
      </c>
      <c r="F132" s="82" t="s">
        <v>100</v>
      </c>
      <c r="G132" s="6"/>
    </row>
    <row r="133" spans="1:7" ht="3.75" customHeight="1">
      <c r="A133" s="80"/>
      <c r="B133" s="5"/>
      <c r="C133" s="5"/>
      <c r="D133" s="5"/>
      <c r="E133" s="11"/>
      <c r="F133" s="5"/>
      <c r="G133" s="6"/>
    </row>
    <row r="134" spans="1:7">
      <c r="A134" s="80"/>
      <c r="B134" s="10" t="s">
        <v>5</v>
      </c>
      <c r="C134" s="9" t="s">
        <v>101</v>
      </c>
      <c r="D134" s="5"/>
      <c r="E134" s="10" t="s">
        <v>6</v>
      </c>
      <c r="F134" s="9" t="s">
        <v>107</v>
      </c>
      <c r="G134" s="6"/>
    </row>
    <row r="135" spans="1:7" ht="4.5" customHeight="1">
      <c r="A135" s="80"/>
      <c r="B135" s="13"/>
      <c r="C135" s="5"/>
      <c r="D135" s="5"/>
      <c r="E135" s="11"/>
      <c r="F135" s="5"/>
      <c r="G135" s="6"/>
    </row>
    <row r="136" spans="1:7">
      <c r="A136" s="80"/>
      <c r="B136" s="10" t="s">
        <v>7</v>
      </c>
      <c r="C136" s="9" t="s">
        <v>118</v>
      </c>
      <c r="D136" s="5"/>
      <c r="E136" s="11"/>
      <c r="F136" s="5"/>
      <c r="G136" s="6"/>
    </row>
    <row r="137" spans="1:7" ht="3.75" customHeight="1">
      <c r="A137" s="80"/>
      <c r="B137" s="5"/>
      <c r="C137" s="5"/>
      <c r="D137" s="5"/>
      <c r="E137" s="11"/>
      <c r="F137" s="5"/>
      <c r="G137" s="6"/>
    </row>
    <row r="138" spans="1:7">
      <c r="B138" s="14" t="s">
        <v>8</v>
      </c>
      <c r="C138" s="15" t="s">
        <v>104</v>
      </c>
      <c r="D138" s="5"/>
      <c r="E138" s="86" t="s">
        <v>109</v>
      </c>
      <c r="F138" s="87">
        <v>45323</v>
      </c>
      <c r="G138" s="6"/>
    </row>
    <row r="139" spans="1:7">
      <c r="B139" s="16" t="s">
        <v>9</v>
      </c>
      <c r="C139" s="17" t="s">
        <v>130</v>
      </c>
      <c r="D139" s="5"/>
      <c r="E139" s="88" t="s">
        <v>110</v>
      </c>
      <c r="F139" s="89">
        <v>45351</v>
      </c>
      <c r="G139" s="18"/>
    </row>
    <row r="140" spans="1:7" ht="15.75" thickBot="1">
      <c r="B140" s="4"/>
      <c r="C140" s="19"/>
      <c r="D140" s="19"/>
      <c r="E140" s="20"/>
      <c r="F140" s="21"/>
      <c r="G140" s="18"/>
    </row>
    <row r="141" spans="1:7" ht="18.75" thickBot="1">
      <c r="B141" s="4"/>
      <c r="C141" s="22" t="s">
        <v>10</v>
      </c>
      <c r="D141" s="23"/>
      <c r="E141" s="24"/>
      <c r="F141" s="25" t="s">
        <v>11</v>
      </c>
      <c r="G141" s="18"/>
    </row>
    <row r="142" spans="1:7">
      <c r="B142" s="4"/>
      <c r="C142" s="26" t="s">
        <v>12</v>
      </c>
      <c r="D142" s="26"/>
      <c r="E142" s="27">
        <v>14540.2111927273</v>
      </c>
      <c r="F142" s="28">
        <v>14540.2111927273</v>
      </c>
      <c r="G142" s="29"/>
    </row>
    <row r="143" spans="1:7">
      <c r="B143" s="30">
        <v>143</v>
      </c>
      <c r="C143" s="31" t="s">
        <v>13</v>
      </c>
      <c r="D143" s="31"/>
      <c r="E143" s="27">
        <v>5596.0880000000006</v>
      </c>
      <c r="F143" s="32">
        <v>5596.0880000000006</v>
      </c>
      <c r="G143" s="33"/>
    </row>
    <row r="144" spans="1:7">
      <c r="B144" s="30"/>
      <c r="C144" s="34" t="s">
        <v>14</v>
      </c>
      <c r="D144" s="34"/>
      <c r="E144" s="27">
        <v>0</v>
      </c>
      <c r="F144" s="32">
        <v>0</v>
      </c>
      <c r="G144" s="33"/>
    </row>
    <row r="145" spans="2:7">
      <c r="B145" s="30"/>
      <c r="C145" s="34" t="s">
        <v>15</v>
      </c>
      <c r="D145" s="34"/>
      <c r="E145" s="27">
        <v>0</v>
      </c>
      <c r="F145" s="32">
        <v>0</v>
      </c>
      <c r="G145" s="33"/>
    </row>
    <row r="146" spans="2:7">
      <c r="B146" s="30"/>
      <c r="C146" s="34" t="s">
        <v>16</v>
      </c>
      <c r="D146" s="34"/>
      <c r="E146" s="27">
        <v>0</v>
      </c>
      <c r="F146" s="32">
        <v>0</v>
      </c>
      <c r="G146" s="33"/>
    </row>
    <row r="147" spans="2:7">
      <c r="B147" s="30"/>
      <c r="C147" s="34" t="s">
        <v>17</v>
      </c>
      <c r="D147" s="34"/>
      <c r="E147" s="27">
        <v>0</v>
      </c>
      <c r="F147" s="32">
        <v>0</v>
      </c>
      <c r="G147" s="33"/>
    </row>
    <row r="148" spans="2:7">
      <c r="B148" s="30"/>
      <c r="C148" s="35" t="s">
        <v>18</v>
      </c>
      <c r="D148" s="35"/>
      <c r="E148" s="36">
        <v>20136.2991927273</v>
      </c>
      <c r="F148" s="37">
        <v>20136.2991927273</v>
      </c>
      <c r="G148" s="38"/>
    </row>
    <row r="149" spans="2:7" ht="15.75" thickBot="1">
      <c r="B149" s="30"/>
      <c r="C149" s="39"/>
      <c r="D149" s="39"/>
      <c r="E149" s="40"/>
      <c r="F149" s="41"/>
      <c r="G149" s="38"/>
    </row>
    <row r="150" spans="2:7" ht="18.75" thickBot="1">
      <c r="B150" s="30"/>
      <c r="C150" s="22" t="s">
        <v>19</v>
      </c>
      <c r="D150" s="23"/>
      <c r="E150" s="42"/>
      <c r="F150" s="43"/>
      <c r="G150" s="38"/>
    </row>
    <row r="151" spans="2:7">
      <c r="B151" s="44">
        <v>121</v>
      </c>
      <c r="C151" s="39" t="s">
        <v>20</v>
      </c>
      <c r="D151" s="39"/>
      <c r="E151" s="45"/>
      <c r="F151" s="46"/>
      <c r="G151" s="47"/>
    </row>
    <row r="152" spans="2:7">
      <c r="B152" s="44"/>
      <c r="C152" s="48" t="s">
        <v>21</v>
      </c>
      <c r="D152" s="48"/>
      <c r="E152" s="49">
        <v>0</v>
      </c>
      <c r="F152" s="50">
        <v>0</v>
      </c>
      <c r="G152" s="47"/>
    </row>
    <row r="153" spans="2:7">
      <c r="B153" s="44"/>
      <c r="C153" s="48" t="s">
        <v>22</v>
      </c>
      <c r="D153" s="48"/>
      <c r="E153" s="49">
        <v>0</v>
      </c>
      <c r="F153" s="50">
        <v>0</v>
      </c>
      <c r="G153" s="47"/>
    </row>
    <row r="154" spans="2:7">
      <c r="B154" s="51"/>
      <c r="C154" s="48" t="s">
        <v>23</v>
      </c>
      <c r="D154" s="48"/>
      <c r="E154" s="49">
        <v>0</v>
      </c>
      <c r="F154" s="50">
        <v>0</v>
      </c>
      <c r="G154" s="52"/>
    </row>
    <row r="155" spans="2:7">
      <c r="B155" s="51"/>
      <c r="C155" s="48" t="s">
        <v>24</v>
      </c>
      <c r="D155" s="48"/>
      <c r="E155" s="49">
        <v>0</v>
      </c>
      <c r="F155" s="50">
        <v>0</v>
      </c>
      <c r="G155" s="52"/>
    </row>
    <row r="156" spans="2:7">
      <c r="B156" s="44"/>
      <c r="C156" s="48" t="s">
        <v>25</v>
      </c>
      <c r="D156" s="48"/>
      <c r="E156" s="49">
        <v>0</v>
      </c>
      <c r="F156" s="50">
        <v>0</v>
      </c>
      <c r="G156" s="52"/>
    </row>
    <row r="157" spans="2:7">
      <c r="B157" s="44"/>
      <c r="C157" s="53" t="s">
        <v>26</v>
      </c>
      <c r="D157" s="53"/>
      <c r="E157" s="36">
        <v>0</v>
      </c>
      <c r="F157" s="54">
        <v>0</v>
      </c>
      <c r="G157" s="52"/>
    </row>
    <row r="158" spans="2:7">
      <c r="B158" s="44">
        <v>122</v>
      </c>
      <c r="C158" s="39" t="s">
        <v>27</v>
      </c>
      <c r="D158" s="39"/>
      <c r="E158" s="36"/>
      <c r="F158" s="50"/>
      <c r="G158" s="55"/>
    </row>
    <row r="159" spans="2:7">
      <c r="B159" s="44"/>
      <c r="C159" s="48" t="s">
        <v>28</v>
      </c>
      <c r="D159" s="48"/>
      <c r="E159" s="49">
        <v>0</v>
      </c>
      <c r="F159" s="50">
        <v>0</v>
      </c>
      <c r="G159" s="52"/>
    </row>
    <row r="160" spans="2:7">
      <c r="B160" s="44"/>
      <c r="C160" s="48" t="s">
        <v>29</v>
      </c>
      <c r="D160" s="48"/>
      <c r="E160" s="49">
        <v>0</v>
      </c>
      <c r="F160" s="50">
        <v>0</v>
      </c>
      <c r="G160" s="52"/>
    </row>
    <row r="161" spans="2:7">
      <c r="B161" s="44"/>
      <c r="C161" s="48" t="s">
        <v>30</v>
      </c>
      <c r="D161" s="48"/>
      <c r="E161" s="49">
        <v>0</v>
      </c>
      <c r="F161" s="50">
        <v>0</v>
      </c>
      <c r="G161" s="52"/>
    </row>
    <row r="162" spans="2:7">
      <c r="B162" s="44"/>
      <c r="C162" s="48" t="s">
        <v>31</v>
      </c>
      <c r="D162" s="48"/>
      <c r="E162" s="49">
        <v>0</v>
      </c>
      <c r="F162" s="50">
        <v>0</v>
      </c>
      <c r="G162" s="52"/>
    </row>
    <row r="163" spans="2:7">
      <c r="B163" s="44"/>
      <c r="C163" s="48" t="s">
        <v>32</v>
      </c>
      <c r="D163" s="48"/>
      <c r="E163" s="49">
        <v>108.5334807272726</v>
      </c>
      <c r="F163" s="50">
        <v>108.5334807272726</v>
      </c>
      <c r="G163" s="52"/>
    </row>
    <row r="164" spans="2:7">
      <c r="B164" s="44"/>
      <c r="C164" s="48" t="s">
        <v>33</v>
      </c>
      <c r="D164" s="48"/>
      <c r="E164" s="49">
        <v>0</v>
      </c>
      <c r="F164" s="50">
        <v>0</v>
      </c>
      <c r="G164" s="52"/>
    </row>
    <row r="165" spans="2:7">
      <c r="B165" s="44"/>
      <c r="C165" s="48" t="s">
        <v>34</v>
      </c>
      <c r="D165" s="48"/>
      <c r="E165" s="49">
        <v>0</v>
      </c>
      <c r="F165" s="50">
        <v>0</v>
      </c>
      <c r="G165" s="52"/>
    </row>
    <row r="166" spans="2:7">
      <c r="B166" s="44"/>
      <c r="C166" s="48" t="s">
        <v>35</v>
      </c>
      <c r="D166" s="48"/>
      <c r="E166" s="49">
        <v>0</v>
      </c>
      <c r="F166" s="50">
        <v>0</v>
      </c>
      <c r="G166" s="52"/>
    </row>
    <row r="167" spans="2:7">
      <c r="B167" s="44"/>
      <c r="C167" s="53" t="s">
        <v>26</v>
      </c>
      <c r="D167" s="53"/>
      <c r="E167" s="36">
        <v>108.5334807272726</v>
      </c>
      <c r="F167" s="54">
        <v>108.5334807272726</v>
      </c>
      <c r="G167" s="52"/>
    </row>
    <row r="168" spans="2:7">
      <c r="B168" s="44">
        <v>123</v>
      </c>
      <c r="C168" s="39" t="s">
        <v>36</v>
      </c>
      <c r="D168" s="39"/>
      <c r="E168" s="56"/>
      <c r="F168" s="57"/>
      <c r="G168" s="52"/>
    </row>
    <row r="169" spans="2:7">
      <c r="B169" s="44"/>
      <c r="C169" s="48" t="s">
        <v>37</v>
      </c>
      <c r="D169" s="48"/>
      <c r="E169" s="49">
        <v>108.5334807272726</v>
      </c>
      <c r="F169" s="50">
        <v>108.5334807272726</v>
      </c>
      <c r="G169" s="52"/>
    </row>
    <row r="170" spans="2:7">
      <c r="B170" s="44"/>
      <c r="C170" s="48" t="s">
        <v>38</v>
      </c>
      <c r="D170" s="48"/>
      <c r="E170" s="49">
        <v>0</v>
      </c>
      <c r="F170" s="50">
        <v>0</v>
      </c>
      <c r="G170" s="52"/>
    </row>
    <row r="171" spans="2:7">
      <c r="B171" s="44"/>
      <c r="C171" s="48" t="s">
        <v>39</v>
      </c>
      <c r="D171" s="48"/>
      <c r="E171" s="49">
        <v>940.62349963636279</v>
      </c>
      <c r="F171" s="50">
        <v>940.62349963636279</v>
      </c>
      <c r="G171" s="52"/>
    </row>
    <row r="172" spans="2:7">
      <c r="B172" s="44"/>
      <c r="C172" s="48" t="s">
        <v>40</v>
      </c>
      <c r="D172" s="48"/>
      <c r="E172" s="49">
        <v>0</v>
      </c>
      <c r="F172" s="50">
        <v>0</v>
      </c>
      <c r="G172" s="52"/>
    </row>
    <row r="173" spans="2:7">
      <c r="B173" s="44"/>
      <c r="C173" s="48" t="s">
        <v>41</v>
      </c>
      <c r="D173" s="48"/>
      <c r="E173" s="49">
        <v>0</v>
      </c>
      <c r="F173" s="50">
        <v>0</v>
      </c>
      <c r="G173" s="52"/>
    </row>
    <row r="174" spans="2:7">
      <c r="B174" s="44"/>
      <c r="C174" s="48" t="s">
        <v>42</v>
      </c>
      <c r="D174" s="48"/>
      <c r="E174" s="49">
        <v>217.06696145454521</v>
      </c>
      <c r="F174" s="50">
        <v>217.06696145454521</v>
      </c>
      <c r="G174" s="52"/>
    </row>
    <row r="175" spans="2:7">
      <c r="B175" s="44"/>
      <c r="C175" s="53" t="s">
        <v>26</v>
      </c>
      <c r="D175" s="53"/>
      <c r="E175" s="36">
        <v>1266.2239418181805</v>
      </c>
      <c r="F175" s="54">
        <v>1266.2239418181805</v>
      </c>
      <c r="G175" s="52"/>
    </row>
    <row r="176" spans="2:7">
      <c r="B176" s="44">
        <v>124</v>
      </c>
      <c r="C176" s="39" t="s">
        <v>43</v>
      </c>
      <c r="D176" s="39"/>
      <c r="E176" s="56"/>
      <c r="F176" s="57"/>
      <c r="G176" s="52"/>
    </row>
    <row r="177" spans="2:7">
      <c r="B177" s="44"/>
      <c r="C177" s="48" t="s">
        <v>44</v>
      </c>
      <c r="D177" s="48"/>
      <c r="E177" s="49">
        <v>165.81503999999998</v>
      </c>
      <c r="F177" s="50">
        <v>165.81503999999998</v>
      </c>
      <c r="G177" s="52"/>
    </row>
    <row r="178" spans="2:7">
      <c r="B178" s="44"/>
      <c r="C178" s="48" t="s">
        <v>45</v>
      </c>
      <c r="D178" s="48"/>
      <c r="E178" s="49">
        <v>0</v>
      </c>
      <c r="F178" s="50">
        <v>0</v>
      </c>
      <c r="G178" s="52"/>
    </row>
    <row r="179" spans="2:7">
      <c r="B179" s="44"/>
      <c r="C179" s="48" t="s">
        <v>46</v>
      </c>
      <c r="D179" s="48"/>
      <c r="E179" s="49">
        <v>0</v>
      </c>
      <c r="F179" s="50">
        <v>0</v>
      </c>
      <c r="G179" s="52"/>
    </row>
    <row r="180" spans="2:7">
      <c r="B180" s="44"/>
      <c r="C180" s="53" t="s">
        <v>26</v>
      </c>
      <c r="D180" s="53"/>
      <c r="E180" s="36">
        <v>165.81503999999998</v>
      </c>
      <c r="F180" s="54">
        <v>165.81503999999998</v>
      </c>
      <c r="G180" s="52"/>
    </row>
    <row r="181" spans="2:7">
      <c r="B181" s="44">
        <v>125</v>
      </c>
      <c r="C181" s="39" t="s">
        <v>47</v>
      </c>
      <c r="D181" s="39"/>
      <c r="E181" s="36"/>
      <c r="F181" s="50"/>
      <c r="G181" s="52"/>
    </row>
    <row r="182" spans="2:7">
      <c r="B182" s="44"/>
      <c r="C182" s="48" t="s">
        <v>48</v>
      </c>
      <c r="D182" s="48"/>
      <c r="E182" s="58">
        <v>0</v>
      </c>
      <c r="F182" s="50">
        <v>0</v>
      </c>
      <c r="G182" s="52"/>
    </row>
    <row r="183" spans="2:7">
      <c r="B183" s="44"/>
      <c r="C183" s="48" t="s">
        <v>49</v>
      </c>
      <c r="D183" s="48"/>
      <c r="E183" s="58">
        <v>0</v>
      </c>
      <c r="F183" s="50">
        <v>0</v>
      </c>
      <c r="G183" s="52"/>
    </row>
    <row r="184" spans="2:7">
      <c r="B184" s="44"/>
      <c r="C184" s="48" t="s">
        <v>50</v>
      </c>
      <c r="D184" s="48"/>
      <c r="E184" s="58">
        <v>132.65203199999999</v>
      </c>
      <c r="F184" s="50">
        <v>132.65203199999999</v>
      </c>
      <c r="G184" s="52"/>
    </row>
    <row r="185" spans="2:7">
      <c r="B185" s="44"/>
      <c r="C185" s="48" t="s">
        <v>51</v>
      </c>
      <c r="D185" s="48"/>
      <c r="E185" s="58">
        <v>0</v>
      </c>
      <c r="F185" s="50">
        <v>0</v>
      </c>
      <c r="G185" s="52"/>
    </row>
    <row r="186" spans="2:7">
      <c r="B186" s="44"/>
      <c r="C186" s="53" t="s">
        <v>26</v>
      </c>
      <c r="D186" s="53"/>
      <c r="E186" s="56">
        <v>132.65203199999999</v>
      </c>
      <c r="F186" s="54">
        <v>132.65203199999999</v>
      </c>
      <c r="G186" s="52"/>
    </row>
    <row r="187" spans="2:7">
      <c r="B187" s="44">
        <v>126</v>
      </c>
      <c r="C187" s="39" t="s">
        <v>52</v>
      </c>
      <c r="D187" s="39"/>
      <c r="E187" s="56"/>
      <c r="F187" s="50"/>
      <c r="G187" s="52"/>
    </row>
    <row r="188" spans="2:7">
      <c r="B188" s="44"/>
      <c r="C188" s="48" t="s">
        <v>53</v>
      </c>
      <c r="D188" s="48"/>
      <c r="E188" s="49">
        <v>0</v>
      </c>
      <c r="F188" s="50">
        <v>0</v>
      </c>
      <c r="G188" s="52"/>
    </row>
    <row r="189" spans="2:7">
      <c r="B189" s="44"/>
      <c r="C189" s="48" t="s">
        <v>54</v>
      </c>
      <c r="D189" s="48"/>
      <c r="E189" s="49">
        <v>0</v>
      </c>
      <c r="F189" s="50"/>
      <c r="G189" s="52"/>
    </row>
    <row r="190" spans="2:7">
      <c r="B190" s="44"/>
      <c r="C190" s="48" t="s">
        <v>55</v>
      </c>
      <c r="D190" s="48"/>
      <c r="E190" s="49">
        <v>0</v>
      </c>
      <c r="F190" s="50"/>
      <c r="G190" s="52"/>
    </row>
    <row r="191" spans="2:7">
      <c r="B191" s="44"/>
      <c r="C191" s="48" t="s">
        <v>56</v>
      </c>
      <c r="D191" s="48"/>
      <c r="E191" s="49">
        <v>0</v>
      </c>
      <c r="F191" s="57"/>
      <c r="G191" s="52"/>
    </row>
    <row r="192" spans="2:7">
      <c r="B192" s="44"/>
      <c r="C192" s="53" t="s">
        <v>26</v>
      </c>
      <c r="D192" s="53"/>
      <c r="E192" s="56">
        <v>0</v>
      </c>
      <c r="F192" s="54">
        <v>0</v>
      </c>
      <c r="G192" s="52"/>
    </row>
    <row r="193" spans="2:7">
      <c r="B193" s="44">
        <v>127</v>
      </c>
      <c r="C193" s="39" t="s">
        <v>57</v>
      </c>
      <c r="D193" s="39"/>
      <c r="E193" s="56"/>
      <c r="F193" s="54"/>
      <c r="G193" s="52"/>
    </row>
    <row r="194" spans="2:7">
      <c r="B194" s="44"/>
      <c r="C194" s="48" t="s">
        <v>58</v>
      </c>
      <c r="D194" s="48"/>
      <c r="E194" s="49">
        <v>0</v>
      </c>
      <c r="F194" s="50">
        <v>0</v>
      </c>
      <c r="G194" s="52"/>
    </row>
    <row r="195" spans="2:7">
      <c r="B195" s="44"/>
      <c r="C195" s="48" t="s">
        <v>59</v>
      </c>
      <c r="D195" s="48"/>
      <c r="E195" s="49">
        <v>0</v>
      </c>
      <c r="F195" s="50">
        <v>0</v>
      </c>
      <c r="G195" s="52"/>
    </row>
    <row r="196" spans="2:7">
      <c r="B196" s="44"/>
      <c r="C196" s="48" t="s">
        <v>60</v>
      </c>
      <c r="D196" s="48"/>
      <c r="E196" s="49">
        <v>0</v>
      </c>
      <c r="F196" s="50">
        <v>0</v>
      </c>
      <c r="G196" s="52"/>
    </row>
    <row r="197" spans="2:7">
      <c r="B197" s="44"/>
      <c r="C197" s="59" t="s">
        <v>61</v>
      </c>
      <c r="D197" s="59"/>
      <c r="E197" s="49">
        <v>0</v>
      </c>
      <c r="F197" s="50">
        <v>0</v>
      </c>
      <c r="G197" s="52"/>
    </row>
    <row r="198" spans="2:7">
      <c r="B198" s="44"/>
      <c r="C198" s="53" t="s">
        <v>26</v>
      </c>
      <c r="D198" s="53"/>
      <c r="E198" s="56">
        <v>0</v>
      </c>
      <c r="F198" s="54">
        <v>0</v>
      </c>
      <c r="G198" s="52"/>
    </row>
    <row r="199" spans="2:7">
      <c r="B199" s="44">
        <v>128</v>
      </c>
      <c r="C199" s="39" t="s">
        <v>62</v>
      </c>
      <c r="D199" s="39"/>
      <c r="E199" s="56"/>
      <c r="F199" s="54"/>
      <c r="G199" s="52"/>
    </row>
    <row r="200" spans="2:7">
      <c r="B200" s="44"/>
      <c r="C200" s="48" t="s">
        <v>63</v>
      </c>
      <c r="D200" s="48"/>
      <c r="E200" s="49">
        <v>0</v>
      </c>
      <c r="F200" s="50">
        <v>0</v>
      </c>
      <c r="G200" s="52"/>
    </row>
    <row r="201" spans="2:7">
      <c r="B201" s="44"/>
      <c r="C201" s="48" t="s">
        <v>64</v>
      </c>
      <c r="D201" s="48"/>
      <c r="E201" s="49">
        <v>0</v>
      </c>
      <c r="F201" s="50">
        <v>0</v>
      </c>
      <c r="G201" s="52"/>
    </row>
    <row r="202" spans="2:7">
      <c r="B202" s="44"/>
      <c r="C202" s="48" t="s">
        <v>65</v>
      </c>
      <c r="D202" s="48"/>
      <c r="E202" s="49">
        <v>397.95609599999995</v>
      </c>
      <c r="F202" s="50">
        <v>397.95609599999995</v>
      </c>
      <c r="G202" s="52"/>
    </row>
    <row r="203" spans="2:7">
      <c r="B203" s="44"/>
      <c r="C203" s="48" t="s">
        <v>66</v>
      </c>
      <c r="D203" s="48"/>
      <c r="E203" s="49">
        <v>0</v>
      </c>
      <c r="F203" s="50">
        <v>0</v>
      </c>
      <c r="G203" s="52"/>
    </row>
    <row r="204" spans="2:7">
      <c r="B204" s="44"/>
      <c r="C204" s="48" t="s">
        <v>67</v>
      </c>
      <c r="D204" s="48"/>
      <c r="E204" s="49">
        <v>0</v>
      </c>
      <c r="F204" s="50">
        <v>0</v>
      </c>
      <c r="G204" s="52"/>
    </row>
    <row r="205" spans="2:7">
      <c r="B205" s="44"/>
      <c r="C205" s="53" t="s">
        <v>26</v>
      </c>
      <c r="D205" s="53"/>
      <c r="E205" s="56">
        <v>397.95609599999995</v>
      </c>
      <c r="F205" s="54">
        <v>397.95609599999995</v>
      </c>
      <c r="G205" s="52"/>
    </row>
    <row r="206" spans="2:7">
      <c r="B206" s="44">
        <v>135</v>
      </c>
      <c r="C206" s="39" t="s">
        <v>68</v>
      </c>
      <c r="D206" s="39"/>
      <c r="E206" s="56"/>
      <c r="F206" s="50"/>
      <c r="G206" s="52"/>
    </row>
    <row r="207" spans="2:7">
      <c r="B207" s="44"/>
      <c r="C207" s="48" t="s">
        <v>69</v>
      </c>
      <c r="D207" s="48"/>
      <c r="E207" s="49">
        <v>0</v>
      </c>
      <c r="F207" s="50">
        <v>0</v>
      </c>
      <c r="G207" s="52"/>
    </row>
    <row r="208" spans="2:7">
      <c r="B208" s="44"/>
      <c r="C208" s="48" t="s">
        <v>70</v>
      </c>
      <c r="D208" s="48"/>
      <c r="E208" s="49">
        <v>0</v>
      </c>
      <c r="F208" s="50">
        <v>0</v>
      </c>
      <c r="G208" s="52"/>
    </row>
    <row r="209" spans="2:7">
      <c r="B209" s="44"/>
      <c r="C209" s="48" t="s">
        <v>71</v>
      </c>
      <c r="D209" s="48"/>
      <c r="E209" s="49">
        <v>0</v>
      </c>
      <c r="F209" s="50">
        <v>0</v>
      </c>
      <c r="G209" s="52"/>
    </row>
    <row r="210" spans="2:7">
      <c r="B210" s="44"/>
      <c r="C210" s="48" t="s">
        <v>72</v>
      </c>
      <c r="D210" s="48"/>
      <c r="E210" s="49">
        <v>0</v>
      </c>
      <c r="F210" s="50">
        <v>0</v>
      </c>
      <c r="G210" s="52"/>
    </row>
    <row r="211" spans="2:7">
      <c r="B211" s="44"/>
      <c r="C211" s="48" t="s">
        <v>73</v>
      </c>
      <c r="D211" s="48"/>
      <c r="E211" s="49">
        <v>217.06696145454521</v>
      </c>
      <c r="F211" s="50">
        <v>217.06696145454521</v>
      </c>
      <c r="G211" s="52"/>
    </row>
    <row r="212" spans="2:7">
      <c r="B212" s="44"/>
      <c r="C212" s="48" t="s">
        <v>74</v>
      </c>
      <c r="D212" s="48"/>
      <c r="E212" s="49">
        <v>0</v>
      </c>
      <c r="F212" s="50">
        <v>0</v>
      </c>
      <c r="G212" s="52"/>
    </row>
    <row r="213" spans="2:7">
      <c r="B213" s="44"/>
      <c r="C213" s="48" t="s">
        <v>75</v>
      </c>
      <c r="D213" s="48"/>
      <c r="E213" s="49">
        <v>1028.0532479999999</v>
      </c>
      <c r="F213" s="50">
        <v>1028.0532479999999</v>
      </c>
      <c r="G213" s="52"/>
    </row>
    <row r="214" spans="2:7">
      <c r="B214" s="44"/>
      <c r="C214" s="48" t="s">
        <v>76</v>
      </c>
      <c r="D214" s="48"/>
      <c r="E214" s="49">
        <v>0</v>
      </c>
      <c r="F214" s="50">
        <v>0</v>
      </c>
      <c r="G214" s="52"/>
    </row>
    <row r="215" spans="2:7">
      <c r="B215" s="44"/>
      <c r="C215" s="48" t="s">
        <v>77</v>
      </c>
      <c r="D215" s="48"/>
      <c r="E215" s="49">
        <v>0</v>
      </c>
      <c r="F215" s="50">
        <v>0</v>
      </c>
      <c r="G215" s="52"/>
    </row>
    <row r="216" spans="2:7">
      <c r="B216" s="44"/>
      <c r="C216" s="53" t="s">
        <v>26</v>
      </c>
      <c r="D216" s="53"/>
      <c r="E216" s="56">
        <v>1245.1202094545451</v>
      </c>
      <c r="F216" s="54">
        <v>1245.1202094545451</v>
      </c>
      <c r="G216" s="52"/>
    </row>
    <row r="217" spans="2:7">
      <c r="B217" s="44">
        <v>136</v>
      </c>
      <c r="C217" s="39" t="s">
        <v>78</v>
      </c>
      <c r="D217" s="39"/>
      <c r="E217" s="56"/>
      <c r="F217" s="50"/>
      <c r="G217" s="52"/>
    </row>
    <row r="218" spans="2:7">
      <c r="B218" s="44"/>
      <c r="C218" s="48" t="s">
        <v>79</v>
      </c>
      <c r="D218" s="48"/>
      <c r="E218" s="49">
        <v>0</v>
      </c>
      <c r="F218" s="50">
        <v>0</v>
      </c>
      <c r="G218" s="52"/>
    </row>
    <row r="219" spans="2:7">
      <c r="B219" s="44"/>
      <c r="C219" s="48" t="s">
        <v>80</v>
      </c>
      <c r="D219" s="48"/>
      <c r="E219" s="49">
        <v>0</v>
      </c>
      <c r="F219" s="50">
        <v>0</v>
      </c>
      <c r="G219" s="52"/>
    </row>
    <row r="220" spans="2:7">
      <c r="B220" s="44"/>
      <c r="C220" s="48" t="s">
        <v>81</v>
      </c>
      <c r="D220" s="48"/>
      <c r="E220" s="49">
        <v>0</v>
      </c>
      <c r="F220" s="50">
        <v>0</v>
      </c>
      <c r="G220" s="52"/>
    </row>
    <row r="221" spans="2:7">
      <c r="B221" s="44"/>
      <c r="C221" s="48" t="s">
        <v>82</v>
      </c>
      <c r="D221" s="48"/>
      <c r="E221" s="49">
        <v>0</v>
      </c>
      <c r="F221" s="50">
        <v>0</v>
      </c>
      <c r="G221" s="52"/>
    </row>
    <row r="222" spans="2:7">
      <c r="B222" s="44"/>
      <c r="C222" s="48" t="s">
        <v>83</v>
      </c>
      <c r="D222" s="48"/>
      <c r="E222" s="49">
        <v>0</v>
      </c>
      <c r="F222" s="50">
        <v>0</v>
      </c>
      <c r="G222" s="52"/>
    </row>
    <row r="223" spans="2:7">
      <c r="B223" s="44"/>
      <c r="C223" s="48" t="s">
        <v>84</v>
      </c>
      <c r="D223" s="48"/>
      <c r="E223" s="49">
        <v>0</v>
      </c>
      <c r="F223" s="50">
        <v>0</v>
      </c>
      <c r="G223" s="52"/>
    </row>
    <row r="224" spans="2:7">
      <c r="B224" s="44"/>
      <c r="C224" s="53" t="s">
        <v>26</v>
      </c>
      <c r="D224" s="53"/>
      <c r="E224" s="56">
        <v>0</v>
      </c>
      <c r="F224" s="54">
        <v>0</v>
      </c>
      <c r="G224" s="52"/>
    </row>
    <row r="225" spans="2:7">
      <c r="B225" s="44">
        <v>142</v>
      </c>
      <c r="C225" s="39" t="s">
        <v>85</v>
      </c>
      <c r="D225" s="39"/>
      <c r="E225" s="56"/>
      <c r="F225" s="50"/>
      <c r="G225" s="52"/>
    </row>
    <row r="226" spans="2:7">
      <c r="B226" s="44"/>
      <c r="C226" s="48" t="s">
        <v>86</v>
      </c>
      <c r="D226" s="48"/>
      <c r="E226" s="49">
        <v>0</v>
      </c>
      <c r="F226" s="50">
        <v>0</v>
      </c>
      <c r="G226" s="52"/>
    </row>
    <row r="227" spans="2:7">
      <c r="B227" s="44"/>
      <c r="C227" s="48" t="s">
        <v>87</v>
      </c>
      <c r="D227" s="48"/>
      <c r="E227" s="49">
        <v>0</v>
      </c>
      <c r="F227" s="50">
        <v>0</v>
      </c>
      <c r="G227" s="52"/>
    </row>
    <row r="228" spans="2:7">
      <c r="B228" s="44"/>
      <c r="C228" s="53" t="s">
        <v>26</v>
      </c>
      <c r="D228" s="53"/>
      <c r="E228" s="56">
        <v>0</v>
      </c>
      <c r="F228" s="54">
        <v>0</v>
      </c>
      <c r="G228" s="52"/>
    </row>
    <row r="229" spans="2:7">
      <c r="B229" s="44">
        <v>144</v>
      </c>
      <c r="C229" s="39" t="s">
        <v>88</v>
      </c>
      <c r="D229" s="39"/>
      <c r="E229" s="49">
        <v>0</v>
      </c>
      <c r="F229" s="54">
        <v>0</v>
      </c>
      <c r="G229" s="52"/>
    </row>
    <row r="230" spans="2:7">
      <c r="B230" s="44">
        <v>221</v>
      </c>
      <c r="C230" s="39" t="s">
        <v>89</v>
      </c>
      <c r="D230" s="39"/>
      <c r="E230" s="49">
        <v>0</v>
      </c>
      <c r="F230" s="54">
        <v>0</v>
      </c>
      <c r="G230" s="52"/>
    </row>
    <row r="231" spans="2:7">
      <c r="B231" s="44">
        <v>222</v>
      </c>
      <c r="C231" s="39" t="s">
        <v>90</v>
      </c>
      <c r="D231" s="39"/>
      <c r="E231" s="49">
        <v>0</v>
      </c>
      <c r="F231" s="54">
        <v>0</v>
      </c>
      <c r="G231" s="52"/>
    </row>
    <row r="232" spans="2:7">
      <c r="B232" s="44">
        <v>224</v>
      </c>
      <c r="C232" s="39" t="s">
        <v>91</v>
      </c>
      <c r="D232" s="39"/>
      <c r="E232" s="49">
        <v>0</v>
      </c>
      <c r="F232" s="54">
        <v>0</v>
      </c>
      <c r="G232" s="52"/>
    </row>
    <row r="233" spans="2:7">
      <c r="B233" s="44">
        <v>225</v>
      </c>
      <c r="C233" s="39" t="s">
        <v>92</v>
      </c>
      <c r="D233" s="39"/>
      <c r="E233" s="49">
        <v>0</v>
      </c>
      <c r="F233" s="54">
        <v>0</v>
      </c>
      <c r="G233" s="38"/>
    </row>
    <row r="234" spans="2:7">
      <c r="B234" s="44">
        <v>226</v>
      </c>
      <c r="C234" s="39" t="s">
        <v>93</v>
      </c>
      <c r="D234" s="39"/>
      <c r="E234" s="49">
        <v>0</v>
      </c>
      <c r="F234" s="54">
        <v>0</v>
      </c>
      <c r="G234" s="60"/>
    </row>
    <row r="235" spans="2:7" ht="15.75" thickBot="1">
      <c r="B235" s="61"/>
      <c r="C235" s="62" t="s">
        <v>94</v>
      </c>
      <c r="D235" s="62"/>
      <c r="E235" s="94">
        <v>0</v>
      </c>
      <c r="F235" s="63">
        <v>0</v>
      </c>
      <c r="G235" s="38"/>
    </row>
    <row r="236" spans="2:7">
      <c r="B236" s="64"/>
      <c r="C236" s="65" t="s">
        <v>95</v>
      </c>
      <c r="D236" s="66"/>
      <c r="E236" s="67">
        <v>3316.3007999999982</v>
      </c>
      <c r="F236" s="68">
        <v>3316.3007999999982</v>
      </c>
      <c r="G236" s="69"/>
    </row>
    <row r="237" spans="2:7" ht="15.75" thickBot="1">
      <c r="B237" s="64"/>
      <c r="C237" s="70"/>
      <c r="D237" s="71"/>
      <c r="E237" s="72"/>
      <c r="F237" s="73"/>
      <c r="G237" s="69"/>
    </row>
    <row r="238" spans="2:7" ht="15.75" thickBot="1">
      <c r="B238" s="64"/>
      <c r="C238" s="70" t="s">
        <v>96</v>
      </c>
      <c r="D238" s="71"/>
      <c r="E238" s="74">
        <v>16819.998392727302</v>
      </c>
      <c r="F238" s="75">
        <v>16819.998392727302</v>
      </c>
      <c r="G238" s="76"/>
    </row>
    <row r="239" spans="2:7" ht="8.25" customHeight="1" thickBot="1">
      <c r="B239" s="77"/>
      <c r="C239" s="81"/>
      <c r="D239" s="81"/>
      <c r="E239" s="78"/>
      <c r="F239" s="78"/>
      <c r="G239" s="79"/>
    </row>
    <row r="240" spans="2:7">
      <c r="B240" s="85"/>
      <c r="C240" s="84"/>
      <c r="D240" s="84"/>
      <c r="E240" s="85"/>
      <c r="F240" s="85"/>
      <c r="G240" s="85"/>
    </row>
    <row r="241" spans="1:7" ht="6" customHeight="1" thickBot="1"/>
    <row r="242" spans="1:7">
      <c r="B242" s="1"/>
      <c r="C242" s="2"/>
      <c r="D242" s="2"/>
      <c r="E242" s="2"/>
      <c r="F242" s="2"/>
      <c r="G242" s="3"/>
    </row>
    <row r="243" spans="1:7">
      <c r="B243" s="4"/>
      <c r="C243" s="5"/>
      <c r="D243" s="5"/>
      <c r="E243" s="5"/>
      <c r="F243" s="5"/>
      <c r="G243" s="6"/>
    </row>
    <row r="244" spans="1:7">
      <c r="B244" s="4"/>
      <c r="C244" s="5"/>
      <c r="D244" s="5"/>
      <c r="E244" s="5"/>
      <c r="F244" s="5"/>
      <c r="G244" s="6"/>
    </row>
    <row r="245" spans="1:7">
      <c r="B245" s="4"/>
      <c r="C245" s="5"/>
      <c r="D245" s="5"/>
      <c r="E245" s="5"/>
      <c r="F245" s="5"/>
      <c r="G245" s="6"/>
    </row>
    <row r="246" spans="1:7">
      <c r="B246" s="4"/>
      <c r="C246" s="5"/>
      <c r="D246" s="5"/>
      <c r="E246" s="5"/>
      <c r="F246" s="5"/>
      <c r="G246" s="6"/>
    </row>
    <row r="247" spans="1:7" ht="16.5" customHeight="1">
      <c r="B247" s="4"/>
      <c r="C247" s="5"/>
      <c r="D247" s="5"/>
      <c r="E247" s="5"/>
      <c r="F247" s="5"/>
      <c r="G247" s="6"/>
    </row>
    <row r="248" spans="1:7" ht="22.5" customHeight="1" thickBot="1">
      <c r="B248" s="4"/>
      <c r="C248" s="95" t="s">
        <v>0</v>
      </c>
      <c r="D248" s="95"/>
      <c r="E248" s="95"/>
      <c r="F248" s="5"/>
      <c r="G248" s="6"/>
    </row>
    <row r="249" spans="1:7" ht="21" thickTop="1">
      <c r="B249" s="4"/>
      <c r="C249" s="7"/>
      <c r="D249" s="7"/>
      <c r="E249" s="5"/>
      <c r="F249" s="5"/>
      <c r="G249" s="6"/>
    </row>
    <row r="250" spans="1:7">
      <c r="B250" s="8" t="s">
        <v>1</v>
      </c>
      <c r="C250" s="9" t="s">
        <v>97</v>
      </c>
      <c r="D250" s="5"/>
      <c r="E250" s="10" t="s">
        <v>2</v>
      </c>
      <c r="F250" s="9" t="s">
        <v>98</v>
      </c>
      <c r="G250" s="6"/>
    </row>
    <row r="251" spans="1:7" ht="3.75" customHeight="1">
      <c r="A251" s="80"/>
      <c r="B251" s="5"/>
      <c r="C251" s="5"/>
      <c r="D251" s="5"/>
      <c r="E251" s="11"/>
      <c r="F251" s="5"/>
      <c r="G251" s="6"/>
    </row>
    <row r="252" spans="1:7">
      <c r="A252" s="80"/>
      <c r="B252" s="12" t="s">
        <v>3</v>
      </c>
      <c r="C252" s="9" t="s">
        <v>99</v>
      </c>
      <c r="D252" s="5"/>
      <c r="E252" s="10" t="s">
        <v>4</v>
      </c>
      <c r="F252" s="82" t="s">
        <v>100</v>
      </c>
      <c r="G252" s="6"/>
    </row>
    <row r="253" spans="1:7" ht="3.75" customHeight="1">
      <c r="A253" s="80"/>
      <c r="B253" s="5"/>
      <c r="C253" s="5"/>
      <c r="D253" s="5"/>
      <c r="E253" s="11"/>
      <c r="F253" s="5"/>
      <c r="G253" s="6"/>
    </row>
    <row r="254" spans="1:7">
      <c r="A254" s="80"/>
      <c r="B254" s="10" t="s">
        <v>5</v>
      </c>
      <c r="C254" s="9" t="s">
        <v>101</v>
      </c>
      <c r="D254" s="5"/>
      <c r="E254" s="10" t="s">
        <v>6</v>
      </c>
      <c r="F254" s="9" t="s">
        <v>107</v>
      </c>
      <c r="G254" s="6"/>
    </row>
    <row r="255" spans="1:7" ht="4.5" customHeight="1">
      <c r="A255" s="80"/>
      <c r="B255" s="13"/>
      <c r="C255" s="5"/>
      <c r="D255" s="5"/>
      <c r="E255" s="11"/>
      <c r="F255" s="5"/>
      <c r="G255" s="6"/>
    </row>
    <row r="256" spans="1:7">
      <c r="A256" s="80"/>
      <c r="B256" s="10" t="s">
        <v>7</v>
      </c>
      <c r="C256" s="9" t="s">
        <v>118</v>
      </c>
      <c r="D256" s="5"/>
      <c r="E256" s="11"/>
      <c r="F256" s="5"/>
      <c r="G256" s="6"/>
    </row>
    <row r="257" spans="1:7" ht="3.75" customHeight="1">
      <c r="A257" s="80"/>
      <c r="B257" s="5"/>
      <c r="C257" s="5"/>
      <c r="D257" s="5"/>
      <c r="E257" s="11"/>
      <c r="F257" s="5"/>
      <c r="G257" s="6"/>
    </row>
    <row r="258" spans="1:7">
      <c r="B258" s="14" t="s">
        <v>8</v>
      </c>
      <c r="C258" s="15" t="s">
        <v>105</v>
      </c>
      <c r="D258" s="5"/>
      <c r="E258" s="86" t="s">
        <v>109</v>
      </c>
      <c r="F258" s="87">
        <v>45352</v>
      </c>
      <c r="G258" s="6"/>
    </row>
    <row r="259" spans="1:7">
      <c r="B259" s="16" t="s">
        <v>9</v>
      </c>
      <c r="C259" s="17" t="s">
        <v>130</v>
      </c>
      <c r="D259" s="5"/>
      <c r="E259" s="88" t="s">
        <v>110</v>
      </c>
      <c r="F259" s="89">
        <v>45382</v>
      </c>
      <c r="G259" s="18"/>
    </row>
    <row r="260" spans="1:7" ht="15.75" thickBot="1">
      <c r="B260" s="4"/>
      <c r="C260" s="19"/>
      <c r="D260" s="19"/>
      <c r="E260" s="20"/>
      <c r="F260" s="21"/>
      <c r="G260" s="18"/>
    </row>
    <row r="261" spans="1:7" ht="18.75" thickBot="1">
      <c r="B261" s="4"/>
      <c r="C261" s="22" t="s">
        <v>10</v>
      </c>
      <c r="D261" s="23"/>
      <c r="E261" s="24"/>
      <c r="F261" s="25" t="s">
        <v>11</v>
      </c>
      <c r="G261" s="18"/>
    </row>
    <row r="262" spans="1:7">
      <c r="B262" s="4"/>
      <c r="C262" s="26" t="s">
        <v>12</v>
      </c>
      <c r="D262" s="26"/>
      <c r="E262" s="27">
        <v>16819.998392727302</v>
      </c>
      <c r="F262" s="28">
        <v>16819.998392727302</v>
      </c>
      <c r="G262" s="29"/>
    </row>
    <row r="263" spans="1:7">
      <c r="B263" s="30">
        <v>143</v>
      </c>
      <c r="C263" s="31" t="s">
        <v>13</v>
      </c>
      <c r="D263" s="31"/>
      <c r="E263" s="27">
        <v>5596.0880000000006</v>
      </c>
      <c r="F263" s="32">
        <v>5596.0880000000006</v>
      </c>
      <c r="G263" s="33"/>
    </row>
    <row r="264" spans="1:7">
      <c r="B264" s="30"/>
      <c r="C264" s="34" t="s">
        <v>14</v>
      </c>
      <c r="D264" s="34"/>
      <c r="E264" s="27">
        <v>0</v>
      </c>
      <c r="F264" s="32">
        <v>0</v>
      </c>
      <c r="G264" s="33"/>
    </row>
    <row r="265" spans="1:7">
      <c r="B265" s="30"/>
      <c r="C265" s="34" t="s">
        <v>15</v>
      </c>
      <c r="D265" s="34"/>
      <c r="E265" s="27">
        <v>0</v>
      </c>
      <c r="F265" s="32">
        <v>0</v>
      </c>
      <c r="G265" s="33"/>
    </row>
    <row r="266" spans="1:7">
      <c r="B266" s="30"/>
      <c r="C266" s="34" t="s">
        <v>16</v>
      </c>
      <c r="D266" s="34"/>
      <c r="E266" s="27">
        <v>0</v>
      </c>
      <c r="F266" s="32">
        <v>0</v>
      </c>
      <c r="G266" s="33"/>
    </row>
    <row r="267" spans="1:7">
      <c r="B267" s="30"/>
      <c r="C267" s="34" t="s">
        <v>17</v>
      </c>
      <c r="D267" s="34"/>
      <c r="E267" s="27">
        <v>0</v>
      </c>
      <c r="F267" s="32">
        <v>0</v>
      </c>
      <c r="G267" s="33"/>
    </row>
    <row r="268" spans="1:7">
      <c r="B268" s="30"/>
      <c r="C268" s="35" t="s">
        <v>18</v>
      </c>
      <c r="D268" s="35"/>
      <c r="E268" s="36">
        <v>22416.086392727302</v>
      </c>
      <c r="F268" s="37">
        <v>22416.086392727302</v>
      </c>
      <c r="G268" s="38"/>
    </row>
    <row r="269" spans="1:7" ht="15.75" thickBot="1">
      <c r="B269" s="30"/>
      <c r="C269" s="39"/>
      <c r="D269" s="39"/>
      <c r="E269" s="40"/>
      <c r="F269" s="41"/>
      <c r="G269" s="38"/>
    </row>
    <row r="270" spans="1:7" ht="18.75" thickBot="1">
      <c r="B270" s="30"/>
      <c r="C270" s="22" t="s">
        <v>19</v>
      </c>
      <c r="D270" s="23"/>
      <c r="E270" s="42"/>
      <c r="F270" s="43"/>
      <c r="G270" s="38"/>
    </row>
    <row r="271" spans="1:7">
      <c r="B271" s="44">
        <v>121</v>
      </c>
      <c r="C271" s="39" t="s">
        <v>20</v>
      </c>
      <c r="D271" s="39"/>
      <c r="E271" s="45"/>
      <c r="F271" s="46"/>
      <c r="G271" s="47"/>
    </row>
    <row r="272" spans="1:7">
      <c r="B272" s="44"/>
      <c r="C272" s="48" t="s">
        <v>21</v>
      </c>
      <c r="D272" s="48"/>
      <c r="E272" s="49">
        <v>0</v>
      </c>
      <c r="F272" s="50">
        <v>0</v>
      </c>
      <c r="G272" s="47"/>
    </row>
    <row r="273" spans="2:7">
      <c r="B273" s="44"/>
      <c r="C273" s="48" t="s">
        <v>22</v>
      </c>
      <c r="D273" s="48"/>
      <c r="E273" s="49">
        <v>0</v>
      </c>
      <c r="F273" s="50">
        <v>0</v>
      </c>
      <c r="G273" s="47"/>
    </row>
    <row r="274" spans="2:7">
      <c r="B274" s="51"/>
      <c r="C274" s="48" t="s">
        <v>23</v>
      </c>
      <c r="D274" s="48"/>
      <c r="E274" s="49">
        <v>0</v>
      </c>
      <c r="F274" s="50">
        <v>0</v>
      </c>
      <c r="G274" s="52"/>
    </row>
    <row r="275" spans="2:7">
      <c r="B275" s="51"/>
      <c r="C275" s="48" t="s">
        <v>24</v>
      </c>
      <c r="D275" s="48"/>
      <c r="E275" s="49">
        <v>994.89024000000006</v>
      </c>
      <c r="F275" s="50">
        <v>994.89024000000006</v>
      </c>
      <c r="G275" s="52"/>
    </row>
    <row r="276" spans="2:7">
      <c r="B276" s="44"/>
      <c r="C276" s="48" t="s">
        <v>25</v>
      </c>
      <c r="D276" s="48"/>
      <c r="E276" s="49">
        <v>0</v>
      </c>
      <c r="F276" s="50">
        <v>0</v>
      </c>
      <c r="G276" s="52"/>
    </row>
    <row r="277" spans="2:7">
      <c r="B277" s="44"/>
      <c r="C277" s="53" t="s">
        <v>26</v>
      </c>
      <c r="D277" s="53"/>
      <c r="E277" s="36">
        <v>994.89024000000006</v>
      </c>
      <c r="F277" s="54">
        <v>994.89024000000006</v>
      </c>
      <c r="G277" s="52"/>
    </row>
    <row r="278" spans="2:7">
      <c r="B278" s="44">
        <v>122</v>
      </c>
      <c r="C278" s="39" t="s">
        <v>27</v>
      </c>
      <c r="D278" s="39"/>
      <c r="E278" s="36"/>
      <c r="F278" s="50"/>
      <c r="G278" s="55"/>
    </row>
    <row r="279" spans="2:7">
      <c r="B279" s="44"/>
      <c r="C279" s="48" t="s">
        <v>28</v>
      </c>
      <c r="D279" s="48"/>
      <c r="E279" s="49">
        <v>0</v>
      </c>
      <c r="F279" s="50">
        <v>0</v>
      </c>
      <c r="G279" s="52"/>
    </row>
    <row r="280" spans="2:7">
      <c r="B280" s="44"/>
      <c r="C280" s="48" t="s">
        <v>29</v>
      </c>
      <c r="D280" s="48"/>
      <c r="E280" s="49">
        <v>0</v>
      </c>
      <c r="F280" s="50">
        <v>0</v>
      </c>
      <c r="G280" s="52"/>
    </row>
    <row r="281" spans="2:7">
      <c r="B281" s="44"/>
      <c r="C281" s="48" t="s">
        <v>30</v>
      </c>
      <c r="D281" s="48"/>
      <c r="E281" s="49">
        <v>0</v>
      </c>
      <c r="F281" s="50">
        <v>0</v>
      </c>
      <c r="G281" s="52"/>
    </row>
    <row r="282" spans="2:7">
      <c r="B282" s="44"/>
      <c r="C282" s="48" t="s">
        <v>31</v>
      </c>
      <c r="D282" s="48"/>
      <c r="E282" s="49">
        <v>0</v>
      </c>
      <c r="F282" s="50">
        <v>0</v>
      </c>
      <c r="G282" s="52"/>
    </row>
    <row r="283" spans="2:7">
      <c r="B283" s="44"/>
      <c r="C283" s="48" t="s">
        <v>32</v>
      </c>
      <c r="D283" s="48"/>
      <c r="E283" s="49">
        <v>331.63008000000002</v>
      </c>
      <c r="F283" s="50">
        <v>331.63008000000002</v>
      </c>
      <c r="G283" s="52"/>
    </row>
    <row r="284" spans="2:7">
      <c r="B284" s="44"/>
      <c r="C284" s="48" t="s">
        <v>33</v>
      </c>
      <c r="D284" s="48"/>
      <c r="E284" s="49">
        <v>0</v>
      </c>
      <c r="F284" s="50">
        <v>0</v>
      </c>
      <c r="G284" s="52"/>
    </row>
    <row r="285" spans="2:7">
      <c r="B285" s="44"/>
      <c r="C285" s="48" t="s">
        <v>34</v>
      </c>
      <c r="D285" s="48"/>
      <c r="E285" s="49">
        <v>0</v>
      </c>
      <c r="F285" s="50">
        <v>0</v>
      </c>
      <c r="G285" s="52"/>
    </row>
    <row r="286" spans="2:7">
      <c r="B286" s="44"/>
      <c r="C286" s="48" t="s">
        <v>35</v>
      </c>
      <c r="D286" s="48"/>
      <c r="E286" s="49">
        <v>0</v>
      </c>
      <c r="F286" s="50">
        <v>0</v>
      </c>
      <c r="G286" s="52"/>
    </row>
    <row r="287" spans="2:7">
      <c r="B287" s="44"/>
      <c r="C287" s="53" t="s">
        <v>26</v>
      </c>
      <c r="D287" s="53"/>
      <c r="E287" s="36">
        <v>331.63008000000002</v>
      </c>
      <c r="F287" s="54">
        <v>331.63008000000002</v>
      </c>
      <c r="G287" s="52"/>
    </row>
    <row r="288" spans="2:7">
      <c r="B288" s="44">
        <v>123</v>
      </c>
      <c r="C288" s="39" t="s">
        <v>36</v>
      </c>
      <c r="D288" s="39"/>
      <c r="E288" s="56"/>
      <c r="F288" s="57"/>
      <c r="G288" s="52"/>
    </row>
    <row r="289" spans="2:7">
      <c r="B289" s="44"/>
      <c r="C289" s="48" t="s">
        <v>37</v>
      </c>
      <c r="D289" s="48"/>
      <c r="E289" s="49">
        <v>271.33370181818157</v>
      </c>
      <c r="F289" s="50">
        <v>271.33370181818157</v>
      </c>
      <c r="G289" s="52"/>
    </row>
    <row r="290" spans="2:7">
      <c r="B290" s="44"/>
      <c r="C290" s="48" t="s">
        <v>38</v>
      </c>
      <c r="D290" s="48"/>
      <c r="E290" s="49">
        <v>2230.9659927272705</v>
      </c>
      <c r="F290" s="50">
        <v>2230.9659927272705</v>
      </c>
      <c r="G290" s="52"/>
    </row>
    <row r="291" spans="2:7">
      <c r="B291" s="44"/>
      <c r="C291" s="48" t="s">
        <v>39</v>
      </c>
      <c r="D291" s="48"/>
      <c r="E291" s="49">
        <v>271.33370181818157</v>
      </c>
      <c r="F291" s="50">
        <v>271.33370181818157</v>
      </c>
      <c r="G291" s="52"/>
    </row>
    <row r="292" spans="2:7">
      <c r="B292" s="44"/>
      <c r="C292" s="48" t="s">
        <v>40</v>
      </c>
      <c r="D292" s="48"/>
      <c r="E292" s="49">
        <v>0</v>
      </c>
      <c r="F292" s="50">
        <v>0</v>
      </c>
      <c r="G292" s="52"/>
    </row>
    <row r="293" spans="2:7">
      <c r="B293" s="44"/>
      <c r="C293" s="48" t="s">
        <v>41</v>
      </c>
      <c r="D293" s="48"/>
      <c r="E293" s="49">
        <v>0</v>
      </c>
      <c r="F293" s="50">
        <v>0</v>
      </c>
      <c r="G293" s="52"/>
    </row>
    <row r="294" spans="2:7">
      <c r="B294" s="44"/>
      <c r="C294" s="48" t="s">
        <v>42</v>
      </c>
      <c r="D294" s="48"/>
      <c r="E294" s="49">
        <v>542.66740363636313</v>
      </c>
      <c r="F294" s="50">
        <v>542.66740363636313</v>
      </c>
      <c r="G294" s="52"/>
    </row>
    <row r="295" spans="2:7">
      <c r="B295" s="44"/>
      <c r="C295" s="53" t="s">
        <v>26</v>
      </c>
      <c r="D295" s="53"/>
      <c r="E295" s="36">
        <v>3316.3007999999963</v>
      </c>
      <c r="F295" s="54">
        <v>3316.3007999999963</v>
      </c>
      <c r="G295" s="52"/>
    </row>
    <row r="296" spans="2:7">
      <c r="B296" s="44">
        <v>124</v>
      </c>
      <c r="C296" s="39" t="s">
        <v>43</v>
      </c>
      <c r="D296" s="39"/>
      <c r="E296" s="56"/>
      <c r="F296" s="57"/>
      <c r="G296" s="52"/>
    </row>
    <row r="297" spans="2:7">
      <c r="B297" s="44"/>
      <c r="C297" s="48" t="s">
        <v>44</v>
      </c>
      <c r="D297" s="48"/>
      <c r="E297" s="49">
        <v>0</v>
      </c>
      <c r="F297" s="50">
        <v>0</v>
      </c>
      <c r="G297" s="52"/>
    </row>
    <row r="298" spans="2:7">
      <c r="B298" s="44"/>
      <c r="C298" s="48" t="s">
        <v>45</v>
      </c>
      <c r="D298" s="48"/>
      <c r="E298" s="49">
        <v>2570.13312</v>
      </c>
      <c r="F298" s="50">
        <v>2570.13312</v>
      </c>
      <c r="G298" s="52"/>
    </row>
    <row r="299" spans="2:7">
      <c r="B299" s="44"/>
      <c r="C299" s="48" t="s">
        <v>46</v>
      </c>
      <c r="D299" s="48"/>
      <c r="E299" s="49">
        <v>0</v>
      </c>
      <c r="F299" s="50">
        <v>0</v>
      </c>
      <c r="G299" s="52"/>
    </row>
    <row r="300" spans="2:7">
      <c r="B300" s="44"/>
      <c r="C300" s="53" t="s">
        <v>26</v>
      </c>
      <c r="D300" s="53"/>
      <c r="E300" s="36">
        <v>2570.13312</v>
      </c>
      <c r="F300" s="54">
        <v>2570.13312</v>
      </c>
      <c r="G300" s="52"/>
    </row>
    <row r="301" spans="2:7">
      <c r="B301" s="44">
        <v>125</v>
      </c>
      <c r="C301" s="39" t="s">
        <v>47</v>
      </c>
      <c r="D301" s="39"/>
      <c r="E301" s="36"/>
      <c r="F301" s="50"/>
      <c r="G301" s="52"/>
    </row>
    <row r="302" spans="2:7">
      <c r="B302" s="44"/>
      <c r="C302" s="48" t="s">
        <v>48</v>
      </c>
      <c r="D302" s="48"/>
      <c r="E302" s="58">
        <v>0</v>
      </c>
      <c r="F302" s="50">
        <v>0</v>
      </c>
      <c r="G302" s="52"/>
    </row>
    <row r="303" spans="2:7">
      <c r="B303" s="44"/>
      <c r="C303" s="48" t="s">
        <v>49</v>
      </c>
      <c r="D303" s="48"/>
      <c r="E303" s="58">
        <v>0</v>
      </c>
      <c r="F303" s="50">
        <v>0</v>
      </c>
      <c r="G303" s="52"/>
    </row>
    <row r="304" spans="2:7">
      <c r="B304" s="44"/>
      <c r="C304" s="48" t="s">
        <v>50</v>
      </c>
      <c r="D304" s="48"/>
      <c r="E304" s="58">
        <v>1077.7977600000002</v>
      </c>
      <c r="F304" s="50">
        <v>1077.7977600000002</v>
      </c>
      <c r="G304" s="52"/>
    </row>
    <row r="305" spans="2:7">
      <c r="B305" s="44"/>
      <c r="C305" s="48" t="s">
        <v>51</v>
      </c>
      <c r="D305" s="48"/>
      <c r="E305" s="58">
        <v>0</v>
      </c>
      <c r="F305" s="50">
        <v>0</v>
      </c>
      <c r="G305" s="52"/>
    </row>
    <row r="306" spans="2:7">
      <c r="B306" s="44"/>
      <c r="C306" s="53" t="s">
        <v>26</v>
      </c>
      <c r="D306" s="53"/>
      <c r="E306" s="56">
        <v>1077.7977600000002</v>
      </c>
      <c r="F306" s="54">
        <v>1077.7977600000002</v>
      </c>
      <c r="G306" s="52"/>
    </row>
    <row r="307" spans="2:7">
      <c r="B307" s="44">
        <v>126</v>
      </c>
      <c r="C307" s="39" t="s">
        <v>52</v>
      </c>
      <c r="D307" s="39"/>
      <c r="E307" s="56"/>
      <c r="F307" s="50"/>
      <c r="G307" s="52"/>
    </row>
    <row r="308" spans="2:7">
      <c r="B308" s="44"/>
      <c r="C308" s="48" t="s">
        <v>53</v>
      </c>
      <c r="D308" s="48"/>
      <c r="E308" s="49">
        <v>0</v>
      </c>
      <c r="F308" s="50">
        <v>0</v>
      </c>
      <c r="G308" s="52"/>
    </row>
    <row r="309" spans="2:7">
      <c r="B309" s="44"/>
      <c r="C309" s="48" t="s">
        <v>54</v>
      </c>
      <c r="D309" s="48"/>
      <c r="E309" s="49">
        <v>0</v>
      </c>
      <c r="F309" s="50"/>
      <c r="G309" s="52"/>
    </row>
    <row r="310" spans="2:7">
      <c r="B310" s="44"/>
      <c r="C310" s="48" t="s">
        <v>55</v>
      </c>
      <c r="D310" s="48"/>
      <c r="E310" s="49">
        <v>0</v>
      </c>
      <c r="F310" s="50"/>
      <c r="G310" s="52"/>
    </row>
    <row r="311" spans="2:7">
      <c r="B311" s="44"/>
      <c r="C311" s="48" t="s">
        <v>56</v>
      </c>
      <c r="D311" s="48"/>
      <c r="E311" s="49">
        <v>0</v>
      </c>
      <c r="F311" s="57"/>
      <c r="G311" s="52"/>
    </row>
    <row r="312" spans="2:7">
      <c r="B312" s="44"/>
      <c r="C312" s="53" t="s">
        <v>26</v>
      </c>
      <c r="D312" s="53"/>
      <c r="E312" s="56">
        <v>0</v>
      </c>
      <c r="F312" s="54">
        <v>0</v>
      </c>
      <c r="G312" s="52"/>
    </row>
    <row r="313" spans="2:7">
      <c r="B313" s="44">
        <v>127</v>
      </c>
      <c r="C313" s="39" t="s">
        <v>57</v>
      </c>
      <c r="D313" s="39"/>
      <c r="E313" s="56"/>
      <c r="F313" s="54"/>
      <c r="G313" s="52"/>
    </row>
    <row r="314" spans="2:7">
      <c r="B314" s="44"/>
      <c r="C314" s="48" t="s">
        <v>58</v>
      </c>
      <c r="D314" s="48"/>
      <c r="E314" s="49">
        <v>0</v>
      </c>
      <c r="F314" s="50">
        <v>0</v>
      </c>
      <c r="G314" s="52"/>
    </row>
    <row r="315" spans="2:7">
      <c r="B315" s="44"/>
      <c r="C315" s="48" t="s">
        <v>59</v>
      </c>
      <c r="D315" s="48"/>
      <c r="E315" s="49">
        <v>0</v>
      </c>
      <c r="F315" s="50">
        <v>0</v>
      </c>
      <c r="G315" s="52"/>
    </row>
    <row r="316" spans="2:7">
      <c r="B316" s="44"/>
      <c r="C316" s="48" t="s">
        <v>60</v>
      </c>
      <c r="D316" s="48"/>
      <c r="E316" s="49">
        <v>0</v>
      </c>
      <c r="F316" s="50">
        <v>0</v>
      </c>
      <c r="G316" s="52"/>
    </row>
    <row r="317" spans="2:7">
      <c r="B317" s="44"/>
      <c r="C317" s="59" t="s">
        <v>61</v>
      </c>
      <c r="D317" s="59"/>
      <c r="E317" s="49">
        <v>0</v>
      </c>
      <c r="F317" s="50">
        <v>0</v>
      </c>
      <c r="G317" s="52"/>
    </row>
    <row r="318" spans="2:7">
      <c r="B318" s="44"/>
      <c r="C318" s="53" t="s">
        <v>26</v>
      </c>
      <c r="D318" s="53"/>
      <c r="E318" s="56">
        <v>0</v>
      </c>
      <c r="F318" s="54">
        <v>0</v>
      </c>
      <c r="G318" s="52"/>
    </row>
    <row r="319" spans="2:7">
      <c r="B319" s="44">
        <v>128</v>
      </c>
      <c r="C319" s="39" t="s">
        <v>62</v>
      </c>
      <c r="D319" s="39"/>
      <c r="E319" s="56"/>
      <c r="F319" s="54"/>
      <c r="G319" s="52"/>
    </row>
    <row r="320" spans="2:7">
      <c r="B320" s="44"/>
      <c r="C320" s="48" t="s">
        <v>63</v>
      </c>
      <c r="D320" s="48"/>
      <c r="E320" s="49">
        <v>0</v>
      </c>
      <c r="F320" s="50">
        <v>0</v>
      </c>
      <c r="G320" s="52"/>
    </row>
    <row r="321" spans="2:7">
      <c r="B321" s="44"/>
      <c r="C321" s="48" t="s">
        <v>64</v>
      </c>
      <c r="D321" s="48"/>
      <c r="E321" s="49">
        <v>0</v>
      </c>
      <c r="F321" s="50">
        <v>0</v>
      </c>
      <c r="G321" s="52"/>
    </row>
    <row r="322" spans="2:7">
      <c r="B322" s="44"/>
      <c r="C322" s="48" t="s">
        <v>65</v>
      </c>
      <c r="D322" s="48"/>
      <c r="E322" s="49">
        <v>0</v>
      </c>
      <c r="F322" s="50">
        <v>0</v>
      </c>
      <c r="G322" s="52"/>
    </row>
    <row r="323" spans="2:7">
      <c r="B323" s="44"/>
      <c r="C323" s="48" t="s">
        <v>66</v>
      </c>
      <c r="D323" s="48"/>
      <c r="E323" s="49">
        <v>0</v>
      </c>
      <c r="F323" s="50">
        <v>0</v>
      </c>
      <c r="G323" s="52"/>
    </row>
    <row r="324" spans="2:7">
      <c r="B324" s="44"/>
      <c r="C324" s="48" t="s">
        <v>67</v>
      </c>
      <c r="D324" s="48"/>
      <c r="E324" s="49">
        <v>0</v>
      </c>
      <c r="F324" s="50">
        <v>0</v>
      </c>
      <c r="G324" s="52"/>
    </row>
    <row r="325" spans="2:7">
      <c r="B325" s="44"/>
      <c r="C325" s="53" t="s">
        <v>26</v>
      </c>
      <c r="D325" s="53"/>
      <c r="E325" s="56">
        <v>0</v>
      </c>
      <c r="F325" s="54">
        <v>0</v>
      </c>
      <c r="G325" s="52"/>
    </row>
    <row r="326" spans="2:7">
      <c r="B326" s="44">
        <v>135</v>
      </c>
      <c r="C326" s="39" t="s">
        <v>68</v>
      </c>
      <c r="D326" s="39"/>
      <c r="E326" s="56"/>
      <c r="F326" s="50"/>
      <c r="G326" s="52"/>
    </row>
    <row r="327" spans="2:7">
      <c r="B327" s="44"/>
      <c r="C327" s="48" t="s">
        <v>69</v>
      </c>
      <c r="D327" s="48"/>
      <c r="E327" s="49">
        <v>0</v>
      </c>
      <c r="F327" s="50">
        <v>0</v>
      </c>
      <c r="G327" s="52"/>
    </row>
    <row r="328" spans="2:7">
      <c r="B328" s="44"/>
      <c r="C328" s="48" t="s">
        <v>70</v>
      </c>
      <c r="D328" s="48"/>
      <c r="E328" s="49">
        <v>0</v>
      </c>
      <c r="F328" s="50">
        <v>0</v>
      </c>
      <c r="G328" s="52"/>
    </row>
    <row r="329" spans="2:7">
      <c r="B329" s="44"/>
      <c r="C329" s="48" t="s">
        <v>71</v>
      </c>
      <c r="D329" s="48"/>
      <c r="E329" s="49">
        <v>0</v>
      </c>
      <c r="F329" s="50">
        <v>0</v>
      </c>
      <c r="G329" s="52"/>
    </row>
    <row r="330" spans="2:7">
      <c r="B330" s="44"/>
      <c r="C330" s="48" t="s">
        <v>72</v>
      </c>
      <c r="D330" s="48"/>
      <c r="E330" s="49">
        <v>0</v>
      </c>
      <c r="F330" s="50">
        <v>0</v>
      </c>
      <c r="G330" s="52"/>
    </row>
    <row r="331" spans="2:7">
      <c r="B331" s="44"/>
      <c r="C331" s="48" t="s">
        <v>73</v>
      </c>
      <c r="D331" s="48"/>
      <c r="E331" s="49">
        <v>0</v>
      </c>
      <c r="F331" s="50">
        <v>0</v>
      </c>
      <c r="G331" s="52"/>
    </row>
    <row r="332" spans="2:7">
      <c r="B332" s="44"/>
      <c r="C332" s="48" t="s">
        <v>74</v>
      </c>
      <c r="D332" s="48"/>
      <c r="E332" s="49">
        <v>0</v>
      </c>
      <c r="F332" s="50">
        <v>0</v>
      </c>
      <c r="G332" s="52"/>
    </row>
    <row r="333" spans="2:7">
      <c r="B333" s="44"/>
      <c r="C333" s="48" t="s">
        <v>75</v>
      </c>
      <c r="D333" s="48"/>
      <c r="E333" s="49">
        <v>0</v>
      </c>
      <c r="F333" s="50">
        <v>0</v>
      </c>
      <c r="G333" s="52"/>
    </row>
    <row r="334" spans="2:7">
      <c r="B334" s="44"/>
      <c r="C334" s="48" t="s">
        <v>76</v>
      </c>
      <c r="D334" s="48"/>
      <c r="E334" s="49">
        <v>0</v>
      </c>
      <c r="F334" s="50">
        <v>0</v>
      </c>
      <c r="G334" s="52"/>
    </row>
    <row r="335" spans="2:7">
      <c r="B335" s="44"/>
      <c r="C335" s="48" t="s">
        <v>77</v>
      </c>
      <c r="D335" s="48"/>
      <c r="E335" s="49">
        <v>0</v>
      </c>
      <c r="F335" s="50">
        <v>0</v>
      </c>
      <c r="G335" s="52"/>
    </row>
    <row r="336" spans="2:7">
      <c r="B336" s="44"/>
      <c r="C336" s="53" t="s">
        <v>26</v>
      </c>
      <c r="D336" s="53"/>
      <c r="E336" s="56">
        <v>0</v>
      </c>
      <c r="F336" s="54">
        <v>0</v>
      </c>
      <c r="G336" s="52"/>
    </row>
    <row r="337" spans="2:7">
      <c r="B337" s="44">
        <v>136</v>
      </c>
      <c r="C337" s="39" t="s">
        <v>78</v>
      </c>
      <c r="D337" s="39"/>
      <c r="E337" s="56"/>
      <c r="F337" s="50"/>
      <c r="G337" s="52"/>
    </row>
    <row r="338" spans="2:7">
      <c r="B338" s="44"/>
      <c r="C338" s="48" t="s">
        <v>79</v>
      </c>
      <c r="D338" s="48"/>
      <c r="E338" s="49">
        <v>0</v>
      </c>
      <c r="F338" s="50">
        <v>0</v>
      </c>
      <c r="G338" s="52"/>
    </row>
    <row r="339" spans="2:7">
      <c r="B339" s="44"/>
      <c r="C339" s="48" t="s">
        <v>80</v>
      </c>
      <c r="D339" s="48"/>
      <c r="E339" s="49">
        <v>0</v>
      </c>
      <c r="F339" s="50">
        <v>0</v>
      </c>
      <c r="G339" s="52"/>
    </row>
    <row r="340" spans="2:7">
      <c r="B340" s="44"/>
      <c r="C340" s="48" t="s">
        <v>81</v>
      </c>
      <c r="D340" s="48"/>
      <c r="E340" s="49">
        <v>0</v>
      </c>
      <c r="F340" s="50">
        <v>0</v>
      </c>
      <c r="G340" s="52"/>
    </row>
    <row r="341" spans="2:7">
      <c r="B341" s="44"/>
      <c r="C341" s="48" t="s">
        <v>82</v>
      </c>
      <c r="D341" s="48"/>
      <c r="E341" s="49">
        <v>0</v>
      </c>
      <c r="F341" s="50">
        <v>0</v>
      </c>
      <c r="G341" s="52"/>
    </row>
    <row r="342" spans="2:7">
      <c r="B342" s="44"/>
      <c r="C342" s="48" t="s">
        <v>83</v>
      </c>
      <c r="D342" s="48"/>
      <c r="E342" s="49">
        <v>0</v>
      </c>
      <c r="F342" s="50">
        <v>0</v>
      </c>
      <c r="G342" s="52"/>
    </row>
    <row r="343" spans="2:7">
      <c r="B343" s="44"/>
      <c r="C343" s="48" t="s">
        <v>84</v>
      </c>
      <c r="D343" s="48"/>
      <c r="E343" s="49">
        <v>0</v>
      </c>
      <c r="F343" s="50">
        <v>0</v>
      </c>
      <c r="G343" s="52"/>
    </row>
    <row r="344" spans="2:7">
      <c r="B344" s="44"/>
      <c r="C344" s="53" t="s">
        <v>26</v>
      </c>
      <c r="D344" s="53"/>
      <c r="E344" s="56">
        <v>0</v>
      </c>
      <c r="F344" s="54">
        <v>0</v>
      </c>
      <c r="G344" s="52"/>
    </row>
    <row r="345" spans="2:7">
      <c r="B345" s="44">
        <v>142</v>
      </c>
      <c r="C345" s="39" t="s">
        <v>85</v>
      </c>
      <c r="D345" s="39"/>
      <c r="E345" s="56"/>
      <c r="F345" s="50"/>
      <c r="G345" s="52"/>
    </row>
    <row r="346" spans="2:7">
      <c r="B346" s="44"/>
      <c r="C346" s="48" t="s">
        <v>86</v>
      </c>
      <c r="D346" s="48"/>
      <c r="E346" s="49">
        <v>0</v>
      </c>
      <c r="F346" s="50">
        <v>0</v>
      </c>
      <c r="G346" s="52"/>
    </row>
    <row r="347" spans="2:7">
      <c r="B347" s="44"/>
      <c r="C347" s="48" t="s">
        <v>87</v>
      </c>
      <c r="D347" s="48"/>
      <c r="E347" s="49">
        <v>0</v>
      </c>
      <c r="F347" s="50">
        <v>0</v>
      </c>
      <c r="G347" s="52"/>
    </row>
    <row r="348" spans="2:7">
      <c r="B348" s="44"/>
      <c r="C348" s="53" t="s">
        <v>26</v>
      </c>
      <c r="D348" s="53"/>
      <c r="E348" s="56">
        <v>0</v>
      </c>
      <c r="F348" s="54">
        <v>0</v>
      </c>
      <c r="G348" s="52"/>
    </row>
    <row r="349" spans="2:7">
      <c r="B349" s="44">
        <v>144</v>
      </c>
      <c r="C349" s="39" t="s">
        <v>88</v>
      </c>
      <c r="D349" s="39"/>
      <c r="E349" s="49">
        <v>0</v>
      </c>
      <c r="F349" s="54">
        <v>0</v>
      </c>
      <c r="G349" s="52"/>
    </row>
    <row r="350" spans="2:7">
      <c r="B350" s="44">
        <v>221</v>
      </c>
      <c r="C350" s="39" t="s">
        <v>89</v>
      </c>
      <c r="D350" s="39"/>
      <c r="E350" s="49">
        <v>0</v>
      </c>
      <c r="F350" s="54">
        <v>0</v>
      </c>
      <c r="G350" s="52"/>
    </row>
    <row r="351" spans="2:7">
      <c r="B351" s="44">
        <v>222</v>
      </c>
      <c r="C351" s="39" t="s">
        <v>90</v>
      </c>
      <c r="D351" s="39"/>
      <c r="E351" s="49">
        <v>0</v>
      </c>
      <c r="F351" s="54">
        <v>0</v>
      </c>
      <c r="G351" s="52"/>
    </row>
    <row r="352" spans="2:7">
      <c r="B352" s="44">
        <v>224</v>
      </c>
      <c r="C352" s="39" t="s">
        <v>91</v>
      </c>
      <c r="D352" s="39"/>
      <c r="E352" s="49">
        <v>0</v>
      </c>
      <c r="F352" s="54">
        <v>0</v>
      </c>
      <c r="G352" s="52"/>
    </row>
    <row r="353" spans="2:7">
      <c r="B353" s="44">
        <v>225</v>
      </c>
      <c r="C353" s="39" t="s">
        <v>92</v>
      </c>
      <c r="D353" s="39"/>
      <c r="E353" s="49">
        <v>0</v>
      </c>
      <c r="F353" s="54">
        <v>0</v>
      </c>
      <c r="G353" s="38"/>
    </row>
    <row r="354" spans="2:7">
      <c r="B354" s="44">
        <v>226</v>
      </c>
      <c r="C354" s="39" t="s">
        <v>93</v>
      </c>
      <c r="D354" s="39"/>
      <c r="E354" s="49">
        <v>0</v>
      </c>
      <c r="F354" s="54">
        <v>0</v>
      </c>
      <c r="G354" s="60"/>
    </row>
    <row r="355" spans="2:7" ht="15.75" thickBot="1">
      <c r="B355" s="61"/>
      <c r="C355" s="62" t="s">
        <v>94</v>
      </c>
      <c r="D355" s="62"/>
      <c r="E355" s="94">
        <v>0</v>
      </c>
      <c r="F355" s="63">
        <v>0</v>
      </c>
      <c r="G355" s="38"/>
    </row>
    <row r="356" spans="2:7">
      <c r="B356" s="64"/>
      <c r="C356" s="65" t="s">
        <v>95</v>
      </c>
      <c r="D356" s="66"/>
      <c r="E356" s="67">
        <v>8290.7519999999968</v>
      </c>
      <c r="F356" s="68">
        <v>8290.7519999999968</v>
      </c>
      <c r="G356" s="69"/>
    </row>
    <row r="357" spans="2:7" ht="15.75" thickBot="1">
      <c r="B357" s="64"/>
      <c r="C357" s="70"/>
      <c r="D357" s="71"/>
      <c r="E357" s="72"/>
      <c r="F357" s="73"/>
      <c r="G357" s="69"/>
    </row>
    <row r="358" spans="2:7" ht="15.75" thickBot="1">
      <c r="B358" s="64"/>
      <c r="C358" s="70" t="s">
        <v>96</v>
      </c>
      <c r="D358" s="71"/>
      <c r="E358" s="74">
        <v>14125.334392727305</v>
      </c>
      <c r="F358" s="75">
        <v>14125.334392727305</v>
      </c>
      <c r="G358" s="76"/>
    </row>
    <row r="359" spans="2:7" ht="8.25" customHeight="1" thickBot="1">
      <c r="B359" s="77"/>
      <c r="C359" s="81"/>
      <c r="D359" s="81"/>
      <c r="E359" s="78"/>
      <c r="F359" s="78"/>
      <c r="G359" s="79"/>
    </row>
    <row r="360" spans="2:7">
      <c r="B360" s="85"/>
      <c r="C360" s="84"/>
      <c r="D360" s="84"/>
      <c r="E360" s="85"/>
      <c r="F360" s="85"/>
      <c r="G360" s="85"/>
    </row>
  </sheetData>
  <mergeCells count="3">
    <mergeCell ref="C8:E8"/>
    <mergeCell ref="C128:E128"/>
    <mergeCell ref="C248:E248"/>
  </mergeCells>
  <dataValidations count="1">
    <dataValidation type="list" allowBlank="1" showInputMessage="1" showErrorMessage="1" sqref="C136 C16 C256" xr:uid="{3C46EB77-774F-4E4B-A33C-6996E78883AF}">
      <formula1>FacList</formula1>
    </dataValidation>
  </dataValidations>
  <hyperlinks>
    <hyperlink ref="F12" r:id="rId1" xr:uid="{91E2B1D1-7423-4D92-BAB3-04762A6D98BF}"/>
    <hyperlink ref="F132" r:id="rId2" xr:uid="{4F5B28D9-409B-442D-BD14-BCDDE5249CC3}"/>
    <hyperlink ref="F252" r:id="rId3" xr:uid="{0100F1CF-5CBF-44C9-83D1-723F9AFCCFC5}"/>
  </hyperlinks>
  <pageMargins left="0.7" right="0.7" top="0.75" bottom="0.75" header="0.3" footer="0.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6FF2A-FB4B-4F24-B536-1272A7107AEA}">
  <dimension ref="A1:G480"/>
  <sheetViews>
    <sheetView zoomScale="90" zoomScaleNormal="90" workbookViewId="0">
      <selection sqref="A1:XFD1048576"/>
    </sheetView>
  </sheetViews>
  <sheetFormatPr defaultColWidth="8.85546875" defaultRowHeight="15"/>
  <cols>
    <col min="1" max="1" width="1.140625" customWidth="1"/>
    <col min="2" max="2" width="27.42578125" customWidth="1"/>
    <col min="3" max="3" width="42.7109375" bestFit="1" customWidth="1"/>
    <col min="4" max="4" width="4" customWidth="1"/>
    <col min="5" max="5" width="25.42578125" customWidth="1"/>
    <col min="6" max="6" width="27.42578125" customWidth="1"/>
    <col min="7" max="7" width="4.7109375" customWidth="1"/>
  </cols>
  <sheetData>
    <row r="1" spans="1:7" ht="6" customHeight="1" thickBot="1"/>
    <row r="2" spans="1:7">
      <c r="B2" s="1"/>
      <c r="C2" s="2"/>
      <c r="D2" s="2"/>
      <c r="E2" s="2"/>
      <c r="F2" s="2"/>
      <c r="G2" s="3"/>
    </row>
    <row r="3" spans="1:7">
      <c r="B3" s="4"/>
      <c r="C3" s="5"/>
      <c r="D3" s="5"/>
      <c r="E3" s="5"/>
      <c r="F3" s="5"/>
      <c r="G3" s="6"/>
    </row>
    <row r="4" spans="1:7">
      <c r="B4" s="4"/>
      <c r="C4" s="5"/>
      <c r="D4" s="5"/>
      <c r="E4" s="5"/>
      <c r="F4" s="5"/>
      <c r="G4" s="6"/>
    </row>
    <row r="5" spans="1:7">
      <c r="B5" s="4"/>
      <c r="C5" s="5"/>
      <c r="D5" s="5"/>
      <c r="E5" s="5"/>
      <c r="F5" s="5"/>
      <c r="G5" s="6"/>
    </row>
    <row r="6" spans="1:7">
      <c r="B6" s="4"/>
      <c r="C6" s="5"/>
      <c r="D6" s="5"/>
      <c r="E6" s="5"/>
      <c r="F6" s="5"/>
      <c r="G6" s="6"/>
    </row>
    <row r="7" spans="1:7" ht="16.5" customHeight="1">
      <c r="B7" s="4"/>
      <c r="C7" s="5"/>
      <c r="D7" s="5"/>
      <c r="E7" s="5"/>
      <c r="F7" s="5"/>
      <c r="G7" s="6"/>
    </row>
    <row r="8" spans="1:7" ht="22.5" customHeight="1" thickBot="1">
      <c r="B8" s="4"/>
      <c r="C8" s="95" t="s">
        <v>0</v>
      </c>
      <c r="D8" s="95"/>
      <c r="E8" s="95"/>
      <c r="F8" s="5"/>
      <c r="G8" s="6"/>
    </row>
    <row r="9" spans="1:7" ht="21" thickTop="1">
      <c r="B9" s="4"/>
      <c r="C9" s="7"/>
      <c r="D9" s="7"/>
      <c r="E9" s="5"/>
      <c r="F9" s="5"/>
      <c r="G9" s="6"/>
    </row>
    <row r="10" spans="1:7">
      <c r="B10" s="8" t="s">
        <v>1</v>
      </c>
      <c r="C10" s="9" t="s">
        <v>97</v>
      </c>
      <c r="D10" s="5"/>
      <c r="E10" s="10" t="s">
        <v>2</v>
      </c>
      <c r="F10" s="9" t="s">
        <v>98</v>
      </c>
      <c r="G10" s="6"/>
    </row>
    <row r="11" spans="1:7" ht="3.75" customHeight="1">
      <c r="A11" s="80"/>
      <c r="B11" s="5"/>
      <c r="C11" s="5"/>
      <c r="D11" s="5"/>
      <c r="E11" s="11"/>
      <c r="F11" s="5"/>
      <c r="G11" s="6"/>
    </row>
    <row r="12" spans="1:7">
      <c r="A12" s="80"/>
      <c r="B12" s="12" t="s">
        <v>3</v>
      </c>
      <c r="C12" s="9" t="s">
        <v>99</v>
      </c>
      <c r="D12" s="5"/>
      <c r="E12" s="10" t="s">
        <v>4</v>
      </c>
      <c r="F12" s="82" t="s">
        <v>100</v>
      </c>
      <c r="G12" s="6"/>
    </row>
    <row r="13" spans="1:7" ht="3.75" customHeight="1">
      <c r="A13" s="80"/>
      <c r="B13" s="5"/>
      <c r="C13" s="5"/>
      <c r="D13" s="5"/>
      <c r="E13" s="11"/>
      <c r="F13" s="5"/>
      <c r="G13" s="6"/>
    </row>
    <row r="14" spans="1:7">
      <c r="A14" s="80"/>
      <c r="B14" s="10" t="s">
        <v>5</v>
      </c>
      <c r="C14" s="9" t="s">
        <v>101</v>
      </c>
      <c r="D14" s="5"/>
      <c r="E14" s="10" t="s">
        <v>6</v>
      </c>
      <c r="F14" s="9" t="s">
        <v>107</v>
      </c>
      <c r="G14" s="6"/>
    </row>
    <row r="15" spans="1:7" ht="4.5" customHeight="1">
      <c r="A15" s="80"/>
      <c r="B15" s="13"/>
      <c r="C15" s="5"/>
      <c r="D15" s="5"/>
      <c r="E15" s="11"/>
      <c r="F15" s="5"/>
      <c r="G15" s="6"/>
    </row>
    <row r="16" spans="1:7">
      <c r="A16" s="80"/>
      <c r="B16" s="10" t="s">
        <v>7</v>
      </c>
      <c r="C16" s="9" t="s">
        <v>119</v>
      </c>
      <c r="D16" s="5"/>
      <c r="E16" s="11"/>
      <c r="F16" s="5"/>
      <c r="G16" s="6"/>
    </row>
    <row r="17" spans="1:7" ht="3.75" customHeight="1">
      <c r="A17" s="80"/>
      <c r="B17" s="5"/>
      <c r="C17" s="5"/>
      <c r="D17" s="5"/>
      <c r="E17" s="11"/>
      <c r="F17" s="5"/>
      <c r="G17" s="6"/>
    </row>
    <row r="18" spans="1:7">
      <c r="B18" s="14" t="s">
        <v>8</v>
      </c>
      <c r="C18" s="15" t="s">
        <v>103</v>
      </c>
      <c r="D18" s="5"/>
      <c r="E18" s="86" t="s">
        <v>109</v>
      </c>
      <c r="F18" s="87">
        <v>45292</v>
      </c>
      <c r="G18" s="6"/>
    </row>
    <row r="19" spans="1:7">
      <c r="B19" s="16" t="s">
        <v>9</v>
      </c>
      <c r="C19" s="17" t="s">
        <v>130</v>
      </c>
      <c r="D19" s="5"/>
      <c r="E19" s="88" t="s">
        <v>110</v>
      </c>
      <c r="F19" s="89">
        <v>45322</v>
      </c>
      <c r="G19" s="18"/>
    </row>
    <row r="20" spans="1:7" ht="15.75" thickBot="1">
      <c r="B20" s="4"/>
      <c r="C20" s="19"/>
      <c r="D20" s="19"/>
      <c r="E20" s="20"/>
      <c r="F20" s="21"/>
      <c r="G20" s="18"/>
    </row>
    <row r="21" spans="1:7" ht="18.75" thickBot="1">
      <c r="B21" s="4"/>
      <c r="C21" s="22" t="s">
        <v>10</v>
      </c>
      <c r="D21" s="23"/>
      <c r="E21" s="24"/>
      <c r="F21" s="25" t="s">
        <v>11</v>
      </c>
      <c r="G21" s="18"/>
    </row>
    <row r="22" spans="1:7">
      <c r="B22" s="4"/>
      <c r="C22" s="26" t="s">
        <v>12</v>
      </c>
      <c r="D22" s="26"/>
      <c r="E22" s="27">
        <v>10709.59024859505</v>
      </c>
      <c r="F22" s="28">
        <v>10709.59024859505</v>
      </c>
      <c r="G22" s="29"/>
    </row>
    <row r="23" spans="1:7">
      <c r="B23" s="30">
        <v>143</v>
      </c>
      <c r="C23" s="31" t="s">
        <v>13</v>
      </c>
      <c r="D23" s="31"/>
      <c r="E23" s="27">
        <v>4578.6174545454505</v>
      </c>
      <c r="F23" s="32">
        <v>4578.6174545454505</v>
      </c>
      <c r="G23" s="33"/>
    </row>
    <row r="24" spans="1:7">
      <c r="B24" s="30"/>
      <c r="C24" s="34" t="s">
        <v>14</v>
      </c>
      <c r="D24" s="34"/>
      <c r="E24" s="27">
        <v>0</v>
      </c>
      <c r="F24" s="32">
        <v>0</v>
      </c>
      <c r="G24" s="33"/>
    </row>
    <row r="25" spans="1:7">
      <c r="B25" s="30"/>
      <c r="C25" s="34" t="s">
        <v>15</v>
      </c>
      <c r="D25" s="34"/>
      <c r="E25" s="27">
        <v>0</v>
      </c>
      <c r="F25" s="32">
        <v>0</v>
      </c>
      <c r="G25" s="33"/>
    </row>
    <row r="26" spans="1:7">
      <c r="B26" s="30"/>
      <c r="C26" s="34" t="s">
        <v>16</v>
      </c>
      <c r="D26" s="34"/>
      <c r="E26" s="27">
        <v>0</v>
      </c>
      <c r="F26" s="32">
        <v>0</v>
      </c>
      <c r="G26" s="33"/>
    </row>
    <row r="27" spans="1:7">
      <c r="B27" s="30"/>
      <c r="C27" s="34" t="s">
        <v>17</v>
      </c>
      <c r="D27" s="34"/>
      <c r="E27" s="27">
        <v>0</v>
      </c>
      <c r="F27" s="32">
        <v>0</v>
      </c>
      <c r="G27" s="33"/>
    </row>
    <row r="28" spans="1:7">
      <c r="B28" s="30"/>
      <c r="C28" s="35" t="s">
        <v>18</v>
      </c>
      <c r="D28" s="35"/>
      <c r="E28" s="36">
        <v>15288.207703140501</v>
      </c>
      <c r="F28" s="37">
        <v>15288.207703140501</v>
      </c>
      <c r="G28" s="38"/>
    </row>
    <row r="29" spans="1:7" ht="15.75" thickBot="1">
      <c r="B29" s="30"/>
      <c r="C29" s="39"/>
      <c r="D29" s="39"/>
      <c r="E29" s="40"/>
      <c r="F29" s="41"/>
      <c r="G29" s="38"/>
    </row>
    <row r="30" spans="1:7" ht="18.75" thickBot="1">
      <c r="B30" s="30"/>
      <c r="C30" s="22" t="s">
        <v>19</v>
      </c>
      <c r="D30" s="23"/>
      <c r="E30" s="42"/>
      <c r="F30" s="43"/>
      <c r="G30" s="38"/>
    </row>
    <row r="31" spans="1:7">
      <c r="B31" s="44">
        <v>121</v>
      </c>
      <c r="C31" s="39" t="s">
        <v>20</v>
      </c>
      <c r="D31" s="39"/>
      <c r="E31" s="45"/>
      <c r="F31" s="46"/>
      <c r="G31" s="47"/>
    </row>
    <row r="32" spans="1:7">
      <c r="B32" s="44"/>
      <c r="C32" s="48" t="s">
        <v>21</v>
      </c>
      <c r="D32" s="48"/>
      <c r="E32" s="49">
        <v>296.77123636363604</v>
      </c>
      <c r="F32" s="50">
        <v>296.77123636363604</v>
      </c>
      <c r="G32" s="47"/>
    </row>
    <row r="33" spans="2:7">
      <c r="B33" s="44"/>
      <c r="C33" s="48" t="s">
        <v>22</v>
      </c>
      <c r="D33" s="48"/>
      <c r="E33" s="49">
        <v>305.25041454545385</v>
      </c>
      <c r="F33" s="50">
        <v>305.25041454545385</v>
      </c>
      <c r="G33" s="47"/>
    </row>
    <row r="34" spans="2:7">
      <c r="B34" s="51"/>
      <c r="C34" s="48" t="s">
        <v>23</v>
      </c>
      <c r="D34" s="48"/>
      <c r="E34" s="49">
        <v>364.60466181818146</v>
      </c>
      <c r="F34" s="50">
        <v>364.60466181818146</v>
      </c>
      <c r="G34" s="52"/>
    </row>
    <row r="35" spans="2:7">
      <c r="B35" s="51"/>
      <c r="C35" s="48" t="s">
        <v>24</v>
      </c>
      <c r="D35" s="48"/>
      <c r="E35" s="49">
        <v>249.75033917355319</v>
      </c>
      <c r="F35" s="50">
        <v>249.75033917355319</v>
      </c>
      <c r="G35" s="52"/>
    </row>
    <row r="36" spans="2:7">
      <c r="B36" s="44"/>
      <c r="C36" s="48" t="s">
        <v>25</v>
      </c>
      <c r="D36" s="48"/>
      <c r="E36" s="49">
        <v>0</v>
      </c>
      <c r="F36" s="50">
        <v>0</v>
      </c>
      <c r="G36" s="52"/>
    </row>
    <row r="37" spans="2:7">
      <c r="B37" s="44"/>
      <c r="C37" s="53" t="s">
        <v>26</v>
      </c>
      <c r="D37" s="53"/>
      <c r="E37" s="36">
        <v>1216.3766519008245</v>
      </c>
      <c r="F37" s="54">
        <v>1216.3766519008245</v>
      </c>
      <c r="G37" s="52"/>
    </row>
    <row r="38" spans="2:7">
      <c r="B38" s="44">
        <v>122</v>
      </c>
      <c r="C38" s="39" t="s">
        <v>27</v>
      </c>
      <c r="D38" s="39"/>
      <c r="E38" s="36"/>
      <c r="F38" s="50"/>
      <c r="G38" s="55"/>
    </row>
    <row r="39" spans="2:7">
      <c r="B39" s="44"/>
      <c r="C39" s="48" t="s">
        <v>28</v>
      </c>
      <c r="D39" s="48"/>
      <c r="E39" s="49">
        <v>144.14602909090897</v>
      </c>
      <c r="F39" s="50">
        <v>144.14602909090897</v>
      </c>
      <c r="G39" s="52"/>
    </row>
    <row r="40" spans="2:7">
      <c r="B40" s="44"/>
      <c r="C40" s="48" t="s">
        <v>29</v>
      </c>
      <c r="D40" s="48"/>
      <c r="E40" s="49">
        <v>0</v>
      </c>
      <c r="F40" s="50">
        <v>0</v>
      </c>
      <c r="G40" s="52"/>
    </row>
    <row r="41" spans="2:7">
      <c r="B41" s="44"/>
      <c r="C41" s="48" t="s">
        <v>30</v>
      </c>
      <c r="D41" s="48"/>
      <c r="E41" s="49">
        <v>191.16692628099148</v>
      </c>
      <c r="F41" s="50">
        <v>191.16692628099148</v>
      </c>
      <c r="G41" s="52"/>
    </row>
    <row r="42" spans="2:7">
      <c r="B42" s="44"/>
      <c r="C42" s="48" t="s">
        <v>31</v>
      </c>
      <c r="D42" s="48"/>
      <c r="E42" s="49">
        <v>33.916712727272696</v>
      </c>
      <c r="F42" s="50">
        <v>33.916712727272696</v>
      </c>
      <c r="G42" s="52"/>
    </row>
    <row r="43" spans="2:7">
      <c r="B43" s="44"/>
      <c r="C43" s="48" t="s">
        <v>32</v>
      </c>
      <c r="D43" s="48"/>
      <c r="E43" s="49">
        <v>135.66685090909078</v>
      </c>
      <c r="F43" s="50">
        <v>135.66685090909078</v>
      </c>
      <c r="G43" s="52"/>
    </row>
    <row r="44" spans="2:7">
      <c r="B44" s="44"/>
      <c r="C44" s="48" t="s">
        <v>33</v>
      </c>
      <c r="D44" s="48"/>
      <c r="E44" s="49">
        <v>0</v>
      </c>
      <c r="F44" s="50">
        <v>0</v>
      </c>
      <c r="G44" s="52"/>
    </row>
    <row r="45" spans="2:7">
      <c r="B45" s="44"/>
      <c r="C45" s="48" t="s">
        <v>34</v>
      </c>
      <c r="D45" s="48"/>
      <c r="E45" s="49">
        <v>0</v>
      </c>
      <c r="F45" s="50">
        <v>0</v>
      </c>
      <c r="G45" s="52"/>
    </row>
    <row r="46" spans="2:7">
      <c r="B46" s="44"/>
      <c r="C46" s="48" t="s">
        <v>35</v>
      </c>
      <c r="D46" s="48"/>
      <c r="E46" s="49">
        <v>0</v>
      </c>
      <c r="F46" s="50">
        <v>0</v>
      </c>
      <c r="G46" s="52"/>
    </row>
    <row r="47" spans="2:7">
      <c r="B47" s="44"/>
      <c r="C47" s="53" t="s">
        <v>26</v>
      </c>
      <c r="D47" s="53"/>
      <c r="E47" s="36">
        <v>504.89651900826391</v>
      </c>
      <c r="F47" s="54">
        <v>504.89651900826391</v>
      </c>
      <c r="G47" s="52"/>
    </row>
    <row r="48" spans="2:7">
      <c r="B48" s="44">
        <v>123</v>
      </c>
      <c r="C48" s="39" t="s">
        <v>36</v>
      </c>
      <c r="D48" s="39"/>
      <c r="E48" s="56"/>
      <c r="F48" s="57"/>
      <c r="G48" s="52"/>
    </row>
    <row r="49" spans="2:7">
      <c r="B49" s="44"/>
      <c r="C49" s="48" t="s">
        <v>37</v>
      </c>
      <c r="D49" s="48"/>
      <c r="E49" s="49">
        <v>123.33350082644611</v>
      </c>
      <c r="F49" s="50">
        <v>123.33350082644611</v>
      </c>
      <c r="G49" s="52"/>
    </row>
    <row r="50" spans="2:7">
      <c r="B50" s="44"/>
      <c r="C50" s="48" t="s">
        <v>38</v>
      </c>
      <c r="D50" s="48"/>
      <c r="E50" s="49">
        <v>0</v>
      </c>
      <c r="F50" s="50">
        <v>0</v>
      </c>
      <c r="G50" s="52"/>
    </row>
    <row r="51" spans="2:7">
      <c r="B51" s="44"/>
      <c r="C51" s="48" t="s">
        <v>39</v>
      </c>
      <c r="D51" s="48"/>
      <c r="E51" s="49">
        <v>144.91686347107415</v>
      </c>
      <c r="F51" s="50">
        <v>144.91686347107415</v>
      </c>
      <c r="G51" s="52"/>
    </row>
    <row r="52" spans="2:7">
      <c r="B52" s="44"/>
      <c r="C52" s="48" t="s">
        <v>40</v>
      </c>
      <c r="D52" s="48"/>
      <c r="E52" s="49">
        <v>111.00015074380143</v>
      </c>
      <c r="F52" s="50">
        <v>111.00015074380143</v>
      </c>
      <c r="G52" s="52"/>
    </row>
    <row r="53" spans="2:7">
      <c r="B53" s="44"/>
      <c r="C53" s="48" t="s">
        <v>41</v>
      </c>
      <c r="D53" s="48"/>
      <c r="E53" s="49">
        <v>0</v>
      </c>
      <c r="F53" s="50">
        <v>0</v>
      </c>
      <c r="G53" s="52"/>
    </row>
    <row r="54" spans="2:7">
      <c r="B54" s="44"/>
      <c r="C54" s="48" t="s">
        <v>42</v>
      </c>
      <c r="D54" s="48"/>
      <c r="E54" s="49">
        <v>195.02109818181799</v>
      </c>
      <c r="F54" s="50">
        <v>195.02109818181799</v>
      </c>
      <c r="G54" s="52"/>
    </row>
    <row r="55" spans="2:7">
      <c r="B55" s="44"/>
      <c r="C55" s="53" t="s">
        <v>26</v>
      </c>
      <c r="D55" s="53"/>
      <c r="E55" s="36">
        <v>574.27161322313964</v>
      </c>
      <c r="F55" s="54">
        <v>574.27161322313964</v>
      </c>
      <c r="G55" s="52"/>
    </row>
    <row r="56" spans="2:7">
      <c r="B56" s="44">
        <v>124</v>
      </c>
      <c r="C56" s="39" t="s">
        <v>43</v>
      </c>
      <c r="D56" s="39"/>
      <c r="E56" s="56"/>
      <c r="F56" s="57"/>
      <c r="G56" s="52"/>
    </row>
    <row r="57" spans="2:7">
      <c r="B57" s="44"/>
      <c r="C57" s="48" t="s">
        <v>44</v>
      </c>
      <c r="D57" s="48"/>
      <c r="E57" s="49">
        <v>366.91716495867701</v>
      </c>
      <c r="F57" s="50">
        <v>366.91716495867701</v>
      </c>
      <c r="G57" s="52"/>
    </row>
    <row r="58" spans="2:7">
      <c r="B58" s="44"/>
      <c r="C58" s="48" t="s">
        <v>45</v>
      </c>
      <c r="D58" s="48"/>
      <c r="E58" s="49">
        <v>0</v>
      </c>
      <c r="F58" s="50">
        <v>0</v>
      </c>
      <c r="G58" s="52"/>
    </row>
    <row r="59" spans="2:7">
      <c r="B59" s="44"/>
      <c r="C59" s="48" t="s">
        <v>46</v>
      </c>
      <c r="D59" s="48"/>
      <c r="E59" s="49">
        <v>0</v>
      </c>
      <c r="F59" s="50">
        <v>0</v>
      </c>
      <c r="G59" s="52"/>
    </row>
    <row r="60" spans="2:7">
      <c r="B60" s="44"/>
      <c r="C60" s="53" t="s">
        <v>26</v>
      </c>
      <c r="D60" s="53"/>
      <c r="E60" s="36">
        <v>366.91716495867701</v>
      </c>
      <c r="F60" s="54">
        <v>366.91716495867701</v>
      </c>
      <c r="G60" s="52"/>
    </row>
    <row r="61" spans="2:7">
      <c r="B61" s="44">
        <v>125</v>
      </c>
      <c r="C61" s="39" t="s">
        <v>47</v>
      </c>
      <c r="D61" s="39"/>
      <c r="E61" s="36"/>
      <c r="F61" s="50"/>
      <c r="G61" s="52"/>
    </row>
    <row r="62" spans="2:7">
      <c r="B62" s="44"/>
      <c r="C62" s="48" t="s">
        <v>48</v>
      </c>
      <c r="D62" s="48"/>
      <c r="E62" s="58">
        <v>0</v>
      </c>
      <c r="F62" s="50">
        <v>0</v>
      </c>
      <c r="G62" s="52"/>
    </row>
    <row r="63" spans="2:7">
      <c r="B63" s="44"/>
      <c r="C63" s="48" t="s">
        <v>49</v>
      </c>
      <c r="D63" s="48"/>
      <c r="E63" s="58">
        <v>0</v>
      </c>
      <c r="F63" s="50">
        <v>0</v>
      </c>
      <c r="G63" s="52"/>
    </row>
    <row r="64" spans="2:7">
      <c r="B64" s="44"/>
      <c r="C64" s="48" t="s">
        <v>50</v>
      </c>
      <c r="D64" s="48"/>
      <c r="E64" s="58">
        <v>593.54247272727218</v>
      </c>
      <c r="F64" s="50">
        <v>593.54247272727218</v>
      </c>
      <c r="G64" s="52"/>
    </row>
    <row r="65" spans="2:7">
      <c r="B65" s="44"/>
      <c r="C65" s="48" t="s">
        <v>51</v>
      </c>
      <c r="D65" s="48"/>
      <c r="E65" s="58">
        <v>135.66685090909078</v>
      </c>
      <c r="F65" s="50">
        <v>135.66685090909078</v>
      </c>
      <c r="G65" s="52"/>
    </row>
    <row r="66" spans="2:7">
      <c r="B66" s="44"/>
      <c r="C66" s="53" t="s">
        <v>26</v>
      </c>
      <c r="D66" s="53"/>
      <c r="E66" s="56">
        <v>729.20932363636302</v>
      </c>
      <c r="F66" s="54">
        <v>729.20932363636302</v>
      </c>
      <c r="G66" s="52"/>
    </row>
    <row r="67" spans="2:7">
      <c r="B67" s="44">
        <v>126</v>
      </c>
      <c r="C67" s="39" t="s">
        <v>52</v>
      </c>
      <c r="D67" s="39"/>
      <c r="E67" s="56"/>
      <c r="F67" s="50"/>
      <c r="G67" s="52"/>
    </row>
    <row r="68" spans="2:7">
      <c r="B68" s="44"/>
      <c r="C68" s="48" t="s">
        <v>53</v>
      </c>
      <c r="D68" s="48"/>
      <c r="E68" s="49">
        <v>0</v>
      </c>
      <c r="F68" s="50">
        <v>0</v>
      </c>
      <c r="G68" s="52"/>
    </row>
    <row r="69" spans="2:7">
      <c r="B69" s="44"/>
      <c r="C69" s="48" t="s">
        <v>54</v>
      </c>
      <c r="D69" s="48"/>
      <c r="E69" s="49">
        <v>0</v>
      </c>
      <c r="F69" s="50"/>
      <c r="G69" s="52"/>
    </row>
    <row r="70" spans="2:7">
      <c r="B70" s="44"/>
      <c r="C70" s="48" t="s">
        <v>55</v>
      </c>
      <c r="D70" s="48"/>
      <c r="E70" s="49">
        <v>0</v>
      </c>
      <c r="F70" s="50"/>
      <c r="G70" s="52"/>
    </row>
    <row r="71" spans="2:7">
      <c r="B71" s="44"/>
      <c r="C71" s="48" t="s">
        <v>56</v>
      </c>
      <c r="D71" s="48"/>
      <c r="E71" s="49">
        <v>0</v>
      </c>
      <c r="F71" s="57"/>
      <c r="G71" s="52"/>
    </row>
    <row r="72" spans="2:7">
      <c r="B72" s="44"/>
      <c r="C72" s="53" t="s">
        <v>26</v>
      </c>
      <c r="D72" s="53"/>
      <c r="E72" s="56">
        <v>0</v>
      </c>
      <c r="F72" s="54">
        <v>0</v>
      </c>
      <c r="G72" s="52"/>
    </row>
    <row r="73" spans="2:7">
      <c r="B73" s="44">
        <v>127</v>
      </c>
      <c r="C73" s="39" t="s">
        <v>57</v>
      </c>
      <c r="D73" s="39"/>
      <c r="E73" s="56"/>
      <c r="F73" s="54"/>
      <c r="G73" s="52"/>
    </row>
    <row r="74" spans="2:7">
      <c r="B74" s="44"/>
      <c r="C74" s="48" t="s">
        <v>58</v>
      </c>
      <c r="D74" s="48"/>
      <c r="E74" s="49">
        <v>0</v>
      </c>
      <c r="F74" s="50">
        <v>0</v>
      </c>
      <c r="G74" s="52"/>
    </row>
    <row r="75" spans="2:7">
      <c r="B75" s="44"/>
      <c r="C75" s="48" t="s">
        <v>59</v>
      </c>
      <c r="D75" s="48"/>
      <c r="E75" s="49">
        <v>0</v>
      </c>
      <c r="F75" s="50">
        <v>0</v>
      </c>
      <c r="G75" s="52"/>
    </row>
    <row r="76" spans="2:7">
      <c r="B76" s="44"/>
      <c r="C76" s="48" t="s">
        <v>60</v>
      </c>
      <c r="D76" s="48"/>
      <c r="E76" s="49">
        <v>0</v>
      </c>
      <c r="F76" s="50">
        <v>0</v>
      </c>
      <c r="G76" s="52"/>
    </row>
    <row r="77" spans="2:7">
      <c r="B77" s="44"/>
      <c r="C77" s="59" t="s">
        <v>61</v>
      </c>
      <c r="D77" s="59"/>
      <c r="E77" s="49">
        <v>0</v>
      </c>
      <c r="F77" s="50">
        <v>0</v>
      </c>
      <c r="G77" s="52"/>
    </row>
    <row r="78" spans="2:7">
      <c r="B78" s="44"/>
      <c r="C78" s="53" t="s">
        <v>26</v>
      </c>
      <c r="D78" s="53"/>
      <c r="E78" s="56">
        <v>0</v>
      </c>
      <c r="F78" s="54">
        <v>0</v>
      </c>
      <c r="G78" s="52"/>
    </row>
    <row r="79" spans="2:7">
      <c r="B79" s="44">
        <v>128</v>
      </c>
      <c r="C79" s="39" t="s">
        <v>62</v>
      </c>
      <c r="D79" s="39"/>
      <c r="E79" s="56"/>
      <c r="F79" s="54"/>
      <c r="G79" s="52"/>
    </row>
    <row r="80" spans="2:7">
      <c r="B80" s="44"/>
      <c r="C80" s="48" t="s">
        <v>63</v>
      </c>
      <c r="D80" s="48"/>
      <c r="E80" s="49">
        <v>0</v>
      </c>
      <c r="F80" s="50">
        <v>0</v>
      </c>
      <c r="G80" s="52"/>
    </row>
    <row r="81" spans="2:7">
      <c r="B81" s="44"/>
      <c r="C81" s="48" t="s">
        <v>64</v>
      </c>
      <c r="D81" s="48"/>
      <c r="E81" s="49">
        <v>0</v>
      </c>
      <c r="F81" s="50">
        <v>0</v>
      </c>
      <c r="G81" s="52"/>
    </row>
    <row r="82" spans="2:7">
      <c r="B82" s="44"/>
      <c r="C82" s="48" t="s">
        <v>65</v>
      </c>
      <c r="D82" s="48"/>
      <c r="E82" s="49">
        <v>0</v>
      </c>
      <c r="F82" s="50">
        <v>0</v>
      </c>
      <c r="G82" s="52"/>
    </row>
    <row r="83" spans="2:7">
      <c r="B83" s="44"/>
      <c r="C83" s="48" t="s">
        <v>66</v>
      </c>
      <c r="D83" s="48"/>
      <c r="E83" s="49">
        <v>0</v>
      </c>
      <c r="F83" s="50">
        <v>0</v>
      </c>
      <c r="G83" s="52"/>
    </row>
    <row r="84" spans="2:7">
      <c r="B84" s="44"/>
      <c r="C84" s="48" t="s">
        <v>67</v>
      </c>
      <c r="D84" s="48"/>
      <c r="E84" s="49">
        <v>0</v>
      </c>
      <c r="F84" s="50">
        <v>0</v>
      </c>
      <c r="G84" s="52"/>
    </row>
    <row r="85" spans="2:7">
      <c r="B85" s="44"/>
      <c r="C85" s="53" t="s">
        <v>26</v>
      </c>
      <c r="D85" s="53"/>
      <c r="E85" s="56">
        <v>0</v>
      </c>
      <c r="F85" s="54">
        <v>0</v>
      </c>
      <c r="G85" s="52"/>
    </row>
    <row r="86" spans="2:7">
      <c r="B86" s="44">
        <v>135</v>
      </c>
      <c r="C86" s="39" t="s">
        <v>68</v>
      </c>
      <c r="D86" s="39"/>
      <c r="E86" s="56"/>
      <c r="F86" s="50"/>
      <c r="G86" s="52"/>
    </row>
    <row r="87" spans="2:7">
      <c r="B87" s="44"/>
      <c r="C87" s="48" t="s">
        <v>69</v>
      </c>
      <c r="D87" s="48"/>
      <c r="E87" s="49">
        <v>0</v>
      </c>
      <c r="F87" s="50">
        <v>0</v>
      </c>
      <c r="G87" s="52"/>
    </row>
    <row r="88" spans="2:7">
      <c r="B88" s="44"/>
      <c r="C88" s="48" t="s">
        <v>70</v>
      </c>
      <c r="D88" s="48"/>
      <c r="E88" s="49">
        <v>0</v>
      </c>
      <c r="F88" s="50">
        <v>0</v>
      </c>
      <c r="G88" s="52"/>
    </row>
    <row r="89" spans="2:7">
      <c r="B89" s="44"/>
      <c r="C89" s="48" t="s">
        <v>71</v>
      </c>
      <c r="D89" s="48"/>
      <c r="E89" s="49">
        <v>0</v>
      </c>
      <c r="F89" s="50">
        <v>0</v>
      </c>
      <c r="G89" s="52"/>
    </row>
    <row r="90" spans="2:7">
      <c r="B90" s="44"/>
      <c r="C90" s="48" t="s">
        <v>72</v>
      </c>
      <c r="D90" s="48"/>
      <c r="E90" s="49">
        <v>0</v>
      </c>
      <c r="F90" s="50">
        <v>0</v>
      </c>
      <c r="G90" s="52"/>
    </row>
    <row r="91" spans="2:7">
      <c r="B91" s="44"/>
      <c r="C91" s="48" t="s">
        <v>73</v>
      </c>
      <c r="D91" s="48"/>
      <c r="E91" s="49">
        <v>0</v>
      </c>
      <c r="F91" s="50">
        <v>0</v>
      </c>
      <c r="G91" s="52"/>
    </row>
    <row r="92" spans="2:7">
      <c r="B92" s="44"/>
      <c r="C92" s="48" t="s">
        <v>74</v>
      </c>
      <c r="D92" s="48"/>
      <c r="E92" s="49">
        <v>0</v>
      </c>
      <c r="F92" s="50">
        <v>0</v>
      </c>
      <c r="G92" s="52"/>
    </row>
    <row r="93" spans="2:7">
      <c r="B93" s="44"/>
      <c r="C93" s="48" t="s">
        <v>75</v>
      </c>
      <c r="D93" s="48"/>
      <c r="E93" s="49">
        <v>0</v>
      </c>
      <c r="F93" s="50">
        <v>0</v>
      </c>
      <c r="G93" s="52"/>
    </row>
    <row r="94" spans="2:7">
      <c r="B94" s="44"/>
      <c r="C94" s="48" t="s">
        <v>76</v>
      </c>
      <c r="D94" s="48"/>
      <c r="E94" s="49">
        <v>0</v>
      </c>
      <c r="F94" s="50">
        <v>0</v>
      </c>
      <c r="G94" s="52"/>
    </row>
    <row r="95" spans="2:7">
      <c r="B95" s="44"/>
      <c r="C95" s="48" t="s">
        <v>77</v>
      </c>
      <c r="D95" s="48"/>
      <c r="E95" s="49">
        <v>0</v>
      </c>
      <c r="F95" s="50">
        <v>0</v>
      </c>
      <c r="G95" s="52"/>
    </row>
    <row r="96" spans="2:7">
      <c r="B96" s="44"/>
      <c r="C96" s="53" t="s">
        <v>26</v>
      </c>
      <c r="D96" s="53"/>
      <c r="E96" s="56">
        <v>0</v>
      </c>
      <c r="F96" s="54">
        <v>0</v>
      </c>
      <c r="G96" s="52"/>
    </row>
    <row r="97" spans="2:7">
      <c r="B97" s="44">
        <v>136</v>
      </c>
      <c r="C97" s="39" t="s">
        <v>78</v>
      </c>
      <c r="D97" s="39"/>
      <c r="E97" s="56"/>
      <c r="F97" s="50"/>
      <c r="G97" s="52"/>
    </row>
    <row r="98" spans="2:7">
      <c r="B98" s="44"/>
      <c r="C98" s="48" t="s">
        <v>79</v>
      </c>
      <c r="D98" s="48"/>
      <c r="E98" s="49">
        <v>0</v>
      </c>
      <c r="F98" s="50">
        <v>0</v>
      </c>
      <c r="G98" s="52"/>
    </row>
    <row r="99" spans="2:7">
      <c r="B99" s="44"/>
      <c r="C99" s="48" t="s">
        <v>80</v>
      </c>
      <c r="D99" s="48"/>
      <c r="E99" s="49">
        <v>0</v>
      </c>
      <c r="F99" s="50">
        <v>0</v>
      </c>
      <c r="G99" s="52"/>
    </row>
    <row r="100" spans="2:7">
      <c r="B100" s="44"/>
      <c r="C100" s="48" t="s">
        <v>81</v>
      </c>
      <c r="D100" s="48"/>
      <c r="E100" s="49">
        <v>0</v>
      </c>
      <c r="F100" s="50">
        <v>0</v>
      </c>
      <c r="G100" s="52"/>
    </row>
    <row r="101" spans="2:7">
      <c r="B101" s="44"/>
      <c r="C101" s="48" t="s">
        <v>82</v>
      </c>
      <c r="D101" s="48"/>
      <c r="E101" s="49">
        <v>0</v>
      </c>
      <c r="F101" s="50">
        <v>0</v>
      </c>
      <c r="G101" s="52"/>
    </row>
    <row r="102" spans="2:7">
      <c r="B102" s="44"/>
      <c r="C102" s="48" t="s">
        <v>83</v>
      </c>
      <c r="D102" s="48"/>
      <c r="E102" s="49">
        <v>0</v>
      </c>
      <c r="F102" s="50">
        <v>0</v>
      </c>
      <c r="G102" s="52"/>
    </row>
    <row r="103" spans="2:7">
      <c r="B103" s="44"/>
      <c r="C103" s="48" t="s">
        <v>84</v>
      </c>
      <c r="D103" s="48"/>
      <c r="E103" s="49">
        <v>0</v>
      </c>
      <c r="F103" s="50">
        <v>0</v>
      </c>
      <c r="G103" s="52"/>
    </row>
    <row r="104" spans="2:7">
      <c r="B104" s="44"/>
      <c r="C104" s="53" t="s">
        <v>26</v>
      </c>
      <c r="D104" s="53"/>
      <c r="E104" s="56">
        <v>0</v>
      </c>
      <c r="F104" s="54">
        <v>0</v>
      </c>
      <c r="G104" s="52"/>
    </row>
    <row r="105" spans="2:7">
      <c r="B105" s="44">
        <v>142</v>
      </c>
      <c r="C105" s="39" t="s">
        <v>85</v>
      </c>
      <c r="D105" s="39"/>
      <c r="E105" s="56"/>
      <c r="F105" s="50"/>
      <c r="G105" s="52"/>
    </row>
    <row r="106" spans="2:7">
      <c r="B106" s="44"/>
      <c r="C106" s="48" t="s">
        <v>86</v>
      </c>
      <c r="D106" s="48"/>
      <c r="E106" s="49">
        <v>0</v>
      </c>
      <c r="F106" s="50">
        <v>0</v>
      </c>
      <c r="G106" s="52"/>
    </row>
    <row r="107" spans="2:7">
      <c r="B107" s="44"/>
      <c r="C107" s="48" t="s">
        <v>87</v>
      </c>
      <c r="D107" s="48"/>
      <c r="E107" s="49">
        <v>0</v>
      </c>
      <c r="F107" s="50">
        <v>0</v>
      </c>
      <c r="G107" s="52"/>
    </row>
    <row r="108" spans="2:7">
      <c r="B108" s="44"/>
      <c r="C108" s="53" t="s">
        <v>26</v>
      </c>
      <c r="D108" s="53"/>
      <c r="E108" s="56">
        <v>0</v>
      </c>
      <c r="F108" s="54">
        <v>0</v>
      </c>
      <c r="G108" s="52"/>
    </row>
    <row r="109" spans="2:7">
      <c r="B109" s="44">
        <v>144</v>
      </c>
      <c r="C109" s="39" t="s">
        <v>88</v>
      </c>
      <c r="D109" s="39"/>
      <c r="E109" s="49">
        <v>0</v>
      </c>
      <c r="F109" s="54">
        <v>0</v>
      </c>
      <c r="G109" s="52"/>
    </row>
    <row r="110" spans="2:7">
      <c r="B110" s="44">
        <v>221</v>
      </c>
      <c r="C110" s="39" t="s">
        <v>89</v>
      </c>
      <c r="D110" s="39"/>
      <c r="E110" s="49">
        <v>0</v>
      </c>
      <c r="F110" s="54">
        <v>0</v>
      </c>
      <c r="G110" s="52"/>
    </row>
    <row r="111" spans="2:7">
      <c r="B111" s="44">
        <v>222</v>
      </c>
      <c r="C111" s="39" t="s">
        <v>90</v>
      </c>
      <c r="D111" s="39"/>
      <c r="E111" s="49">
        <v>0</v>
      </c>
      <c r="F111" s="54">
        <v>0</v>
      </c>
      <c r="G111" s="52"/>
    </row>
    <row r="112" spans="2:7">
      <c r="B112" s="44">
        <v>224</v>
      </c>
      <c r="C112" s="39" t="s">
        <v>91</v>
      </c>
      <c r="D112" s="39"/>
      <c r="E112" s="49">
        <v>0</v>
      </c>
      <c r="F112" s="54">
        <v>0</v>
      </c>
      <c r="G112" s="52"/>
    </row>
    <row r="113" spans="2:7">
      <c r="B113" s="44">
        <v>225</v>
      </c>
      <c r="C113" s="39" t="s">
        <v>92</v>
      </c>
      <c r="D113" s="39"/>
      <c r="E113" s="49">
        <v>0</v>
      </c>
      <c r="F113" s="54">
        <v>0</v>
      </c>
      <c r="G113" s="38"/>
    </row>
    <row r="114" spans="2:7">
      <c r="B114" s="44">
        <v>226</v>
      </c>
      <c r="C114" s="39" t="s">
        <v>93</v>
      </c>
      <c r="D114" s="39"/>
      <c r="E114" s="49">
        <v>0</v>
      </c>
      <c r="F114" s="54">
        <v>0</v>
      </c>
      <c r="G114" s="60"/>
    </row>
    <row r="115" spans="2:7" ht="15.75" thickBot="1">
      <c r="B115" s="61"/>
      <c r="C115" s="62" t="s">
        <v>94</v>
      </c>
      <c r="D115" s="62"/>
      <c r="E115" s="90">
        <v>0</v>
      </c>
      <c r="F115" s="63">
        <v>0</v>
      </c>
      <c r="G115" s="38"/>
    </row>
    <row r="116" spans="2:7">
      <c r="B116" s="64"/>
      <c r="C116" s="65" t="s">
        <v>95</v>
      </c>
      <c r="D116" s="66"/>
      <c r="E116" s="91">
        <v>3391.6712727272684</v>
      </c>
      <c r="F116" s="68">
        <v>3391.6712727272684</v>
      </c>
      <c r="G116" s="69"/>
    </row>
    <row r="117" spans="2:7" ht="15.75" thickBot="1">
      <c r="B117" s="64"/>
      <c r="C117" s="70"/>
      <c r="D117" s="71"/>
      <c r="E117" s="92"/>
      <c r="F117" s="73"/>
      <c r="G117" s="69"/>
    </row>
    <row r="118" spans="2:7" ht="15.75" thickBot="1">
      <c r="B118" s="64"/>
      <c r="C118" s="70" t="s">
        <v>96</v>
      </c>
      <c r="D118" s="71"/>
      <c r="E118" s="93">
        <v>11896.536430413233</v>
      </c>
      <c r="F118" s="75">
        <v>11896.536430413233</v>
      </c>
      <c r="G118" s="76"/>
    </row>
    <row r="119" spans="2:7" ht="8.25" customHeight="1" thickBot="1">
      <c r="B119" s="77"/>
      <c r="C119" s="81"/>
      <c r="D119" s="81"/>
      <c r="E119" s="78"/>
      <c r="F119" s="78"/>
      <c r="G119" s="79"/>
    </row>
    <row r="120" spans="2:7">
      <c r="B120" s="83"/>
      <c r="C120" s="84"/>
      <c r="D120" s="84"/>
      <c r="E120" s="85"/>
      <c r="F120" s="83"/>
      <c r="G120" s="85"/>
    </row>
    <row r="121" spans="2:7" ht="6" customHeight="1" thickBot="1"/>
    <row r="122" spans="2:7">
      <c r="B122" s="1"/>
      <c r="C122" s="2"/>
      <c r="D122" s="2"/>
      <c r="E122" s="2"/>
      <c r="F122" s="2"/>
      <c r="G122" s="3"/>
    </row>
    <row r="123" spans="2:7">
      <c r="B123" s="4"/>
      <c r="C123" s="5"/>
      <c r="D123" s="5"/>
      <c r="E123" s="5"/>
      <c r="F123" s="5"/>
      <c r="G123" s="6"/>
    </row>
    <row r="124" spans="2:7">
      <c r="B124" s="4"/>
      <c r="C124" s="5"/>
      <c r="D124" s="5"/>
      <c r="E124" s="5"/>
      <c r="F124" s="5"/>
      <c r="G124" s="6"/>
    </row>
    <row r="125" spans="2:7">
      <c r="B125" s="4"/>
      <c r="C125" s="5"/>
      <c r="D125" s="5"/>
      <c r="E125" s="5"/>
      <c r="F125" s="5"/>
      <c r="G125" s="6"/>
    </row>
    <row r="126" spans="2:7">
      <c r="B126" s="4"/>
      <c r="C126" s="5"/>
      <c r="D126" s="5"/>
      <c r="E126" s="5"/>
      <c r="F126" s="5"/>
      <c r="G126" s="6"/>
    </row>
    <row r="127" spans="2:7" ht="16.5" customHeight="1">
      <c r="B127" s="4"/>
      <c r="C127" s="5"/>
      <c r="D127" s="5"/>
      <c r="E127" s="5"/>
      <c r="F127" s="5"/>
      <c r="G127" s="6"/>
    </row>
    <row r="128" spans="2:7" ht="22.5" customHeight="1" thickBot="1">
      <c r="B128" s="4"/>
      <c r="C128" s="95" t="s">
        <v>0</v>
      </c>
      <c r="D128" s="95"/>
      <c r="E128" s="95"/>
      <c r="F128" s="5"/>
      <c r="G128" s="6"/>
    </row>
    <row r="129" spans="1:7" ht="21" thickTop="1">
      <c r="B129" s="4"/>
      <c r="C129" s="7"/>
      <c r="D129" s="7"/>
      <c r="E129" s="5"/>
      <c r="F129" s="5"/>
      <c r="G129" s="6"/>
    </row>
    <row r="130" spans="1:7">
      <c r="B130" s="8" t="s">
        <v>1</v>
      </c>
      <c r="C130" s="9" t="s">
        <v>97</v>
      </c>
      <c r="D130" s="5"/>
      <c r="E130" s="10" t="s">
        <v>2</v>
      </c>
      <c r="F130" s="9" t="s">
        <v>98</v>
      </c>
      <c r="G130" s="6"/>
    </row>
    <row r="131" spans="1:7" ht="3.75" customHeight="1">
      <c r="A131" s="80"/>
      <c r="B131" s="5"/>
      <c r="C131" s="5"/>
      <c r="D131" s="5"/>
      <c r="E131" s="11"/>
      <c r="F131" s="5"/>
      <c r="G131" s="6"/>
    </row>
    <row r="132" spans="1:7">
      <c r="A132" s="80"/>
      <c r="B132" s="12" t="s">
        <v>3</v>
      </c>
      <c r="C132" s="9" t="s">
        <v>99</v>
      </c>
      <c r="D132" s="5"/>
      <c r="E132" s="10" t="s">
        <v>4</v>
      </c>
      <c r="F132" s="82" t="s">
        <v>100</v>
      </c>
      <c r="G132" s="6"/>
    </row>
    <row r="133" spans="1:7" ht="3.75" customHeight="1">
      <c r="A133" s="80"/>
      <c r="B133" s="5"/>
      <c r="C133" s="5"/>
      <c r="D133" s="5"/>
      <c r="E133" s="11"/>
      <c r="F133" s="5"/>
      <c r="G133" s="6"/>
    </row>
    <row r="134" spans="1:7">
      <c r="A134" s="80"/>
      <c r="B134" s="10" t="s">
        <v>5</v>
      </c>
      <c r="C134" s="9" t="s">
        <v>101</v>
      </c>
      <c r="D134" s="5"/>
      <c r="E134" s="10" t="s">
        <v>6</v>
      </c>
      <c r="F134" s="9" t="s">
        <v>107</v>
      </c>
      <c r="G134" s="6"/>
    </row>
    <row r="135" spans="1:7" ht="4.5" customHeight="1">
      <c r="A135" s="80"/>
      <c r="B135" s="13"/>
      <c r="C135" s="5"/>
      <c r="D135" s="5"/>
      <c r="E135" s="11"/>
      <c r="F135" s="5"/>
      <c r="G135" s="6"/>
    </row>
    <row r="136" spans="1:7">
      <c r="A136" s="80"/>
      <c r="B136" s="10" t="s">
        <v>7</v>
      </c>
      <c r="C136" s="9" t="s">
        <v>119</v>
      </c>
      <c r="D136" s="5"/>
      <c r="E136" s="11"/>
      <c r="F136" s="5"/>
      <c r="G136" s="6"/>
    </row>
    <row r="137" spans="1:7" ht="3.75" customHeight="1">
      <c r="A137" s="80"/>
      <c r="B137" s="5"/>
      <c r="C137" s="5"/>
      <c r="D137" s="5"/>
      <c r="E137" s="11"/>
      <c r="F137" s="5"/>
      <c r="G137" s="6"/>
    </row>
    <row r="138" spans="1:7">
      <c r="B138" s="14" t="s">
        <v>8</v>
      </c>
      <c r="C138" s="15" t="s">
        <v>104</v>
      </c>
      <c r="D138" s="5"/>
      <c r="E138" s="86" t="s">
        <v>109</v>
      </c>
      <c r="F138" s="87">
        <v>45323</v>
      </c>
      <c r="G138" s="6"/>
    </row>
    <row r="139" spans="1:7">
      <c r="B139" s="16" t="s">
        <v>9</v>
      </c>
      <c r="C139" s="17" t="s">
        <v>130</v>
      </c>
      <c r="D139" s="5"/>
      <c r="E139" s="88" t="s">
        <v>110</v>
      </c>
      <c r="F139" s="89">
        <v>45351</v>
      </c>
      <c r="G139" s="18"/>
    </row>
    <row r="140" spans="1:7" ht="15.75" thickBot="1">
      <c r="B140" s="4"/>
      <c r="C140" s="19"/>
      <c r="D140" s="19"/>
      <c r="E140" s="20"/>
      <c r="F140" s="21"/>
      <c r="G140" s="18"/>
    </row>
    <row r="141" spans="1:7" ht="18.75" thickBot="1">
      <c r="B141" s="4"/>
      <c r="C141" s="22" t="s">
        <v>10</v>
      </c>
      <c r="D141" s="23"/>
      <c r="E141" s="24"/>
      <c r="F141" s="25" t="s">
        <v>11</v>
      </c>
      <c r="G141" s="18"/>
    </row>
    <row r="142" spans="1:7">
      <c r="B142" s="4"/>
      <c r="C142" s="26" t="s">
        <v>12</v>
      </c>
      <c r="D142" s="26"/>
      <c r="E142" s="27">
        <v>11896.536430413233</v>
      </c>
      <c r="F142" s="28">
        <v>11896.536430413233</v>
      </c>
      <c r="G142" s="29"/>
    </row>
    <row r="143" spans="1:7">
      <c r="B143" s="30">
        <v>143</v>
      </c>
      <c r="C143" s="31" t="s">
        <v>13</v>
      </c>
      <c r="D143" s="31"/>
      <c r="E143" s="27">
        <v>4578.6174545454505</v>
      </c>
      <c r="F143" s="32">
        <v>4578.6174545454505</v>
      </c>
      <c r="G143" s="33"/>
    </row>
    <row r="144" spans="1:7">
      <c r="B144" s="30"/>
      <c r="C144" s="34" t="s">
        <v>14</v>
      </c>
      <c r="D144" s="34"/>
      <c r="E144" s="27">
        <v>0</v>
      </c>
      <c r="F144" s="32">
        <v>0</v>
      </c>
      <c r="G144" s="33"/>
    </row>
    <row r="145" spans="2:7">
      <c r="B145" s="30"/>
      <c r="C145" s="34" t="s">
        <v>15</v>
      </c>
      <c r="D145" s="34"/>
      <c r="E145" s="27">
        <v>0</v>
      </c>
      <c r="F145" s="32">
        <v>0</v>
      </c>
      <c r="G145" s="33"/>
    </row>
    <row r="146" spans="2:7">
      <c r="B146" s="30"/>
      <c r="C146" s="34" t="s">
        <v>16</v>
      </c>
      <c r="D146" s="34"/>
      <c r="E146" s="27">
        <v>0</v>
      </c>
      <c r="F146" s="32">
        <v>0</v>
      </c>
      <c r="G146" s="33"/>
    </row>
    <row r="147" spans="2:7">
      <c r="B147" s="30"/>
      <c r="C147" s="34" t="s">
        <v>17</v>
      </c>
      <c r="D147" s="34"/>
      <c r="E147" s="27">
        <v>0</v>
      </c>
      <c r="F147" s="32">
        <v>0</v>
      </c>
      <c r="G147" s="33"/>
    </row>
    <row r="148" spans="2:7">
      <c r="B148" s="30"/>
      <c r="C148" s="35" t="s">
        <v>18</v>
      </c>
      <c r="D148" s="35"/>
      <c r="E148" s="36">
        <v>16475.153884958683</v>
      </c>
      <c r="F148" s="37">
        <v>16475.153884958683</v>
      </c>
      <c r="G148" s="38"/>
    </row>
    <row r="149" spans="2:7" ht="15.75" thickBot="1">
      <c r="B149" s="30"/>
      <c r="C149" s="39"/>
      <c r="D149" s="39"/>
      <c r="E149" s="40"/>
      <c r="F149" s="41"/>
      <c r="G149" s="38"/>
    </row>
    <row r="150" spans="2:7" ht="18.75" thickBot="1">
      <c r="B150" s="30"/>
      <c r="C150" s="22" t="s">
        <v>19</v>
      </c>
      <c r="D150" s="23"/>
      <c r="E150" s="42"/>
      <c r="F150" s="43"/>
      <c r="G150" s="38"/>
    </row>
    <row r="151" spans="2:7">
      <c r="B151" s="44">
        <v>121</v>
      </c>
      <c r="C151" s="39" t="s">
        <v>20</v>
      </c>
      <c r="D151" s="39"/>
      <c r="E151" s="45"/>
      <c r="F151" s="46"/>
      <c r="G151" s="47"/>
    </row>
    <row r="152" spans="2:7">
      <c r="B152" s="44"/>
      <c r="C152" s="48" t="s">
        <v>21</v>
      </c>
      <c r="D152" s="48"/>
      <c r="E152" s="49">
        <v>0</v>
      </c>
      <c r="F152" s="50">
        <v>0</v>
      </c>
      <c r="G152" s="47"/>
    </row>
    <row r="153" spans="2:7">
      <c r="B153" s="44"/>
      <c r="C153" s="48" t="s">
        <v>22</v>
      </c>
      <c r="D153" s="48"/>
      <c r="E153" s="49">
        <v>0</v>
      </c>
      <c r="F153" s="50">
        <v>0</v>
      </c>
      <c r="G153" s="47"/>
    </row>
    <row r="154" spans="2:7">
      <c r="B154" s="51"/>
      <c r="C154" s="48" t="s">
        <v>23</v>
      </c>
      <c r="D154" s="48"/>
      <c r="E154" s="49">
        <v>0</v>
      </c>
      <c r="F154" s="50">
        <v>0</v>
      </c>
      <c r="G154" s="52"/>
    </row>
    <row r="155" spans="2:7">
      <c r="B155" s="51"/>
      <c r="C155" s="48" t="s">
        <v>24</v>
      </c>
      <c r="D155" s="48"/>
      <c r="E155" s="49">
        <v>0</v>
      </c>
      <c r="F155" s="50">
        <v>0</v>
      </c>
      <c r="G155" s="52"/>
    </row>
    <row r="156" spans="2:7">
      <c r="B156" s="44"/>
      <c r="C156" s="48" t="s">
        <v>25</v>
      </c>
      <c r="D156" s="48"/>
      <c r="E156" s="49">
        <v>0</v>
      </c>
      <c r="F156" s="50">
        <v>0</v>
      </c>
      <c r="G156" s="52"/>
    </row>
    <row r="157" spans="2:7">
      <c r="B157" s="44"/>
      <c r="C157" s="53" t="s">
        <v>26</v>
      </c>
      <c r="D157" s="53"/>
      <c r="E157" s="36">
        <v>0</v>
      </c>
      <c r="F157" s="54">
        <v>0</v>
      </c>
      <c r="G157" s="52"/>
    </row>
    <row r="158" spans="2:7">
      <c r="B158" s="44">
        <v>122</v>
      </c>
      <c r="C158" s="39" t="s">
        <v>27</v>
      </c>
      <c r="D158" s="39"/>
      <c r="E158" s="36"/>
      <c r="F158" s="50"/>
      <c r="G158" s="55"/>
    </row>
    <row r="159" spans="2:7">
      <c r="B159" s="44"/>
      <c r="C159" s="48" t="s">
        <v>28</v>
      </c>
      <c r="D159" s="48"/>
      <c r="E159" s="49">
        <v>0</v>
      </c>
      <c r="F159" s="50">
        <v>0</v>
      </c>
      <c r="G159" s="52"/>
    </row>
    <row r="160" spans="2:7">
      <c r="B160" s="44"/>
      <c r="C160" s="48" t="s">
        <v>29</v>
      </c>
      <c r="D160" s="48"/>
      <c r="E160" s="49">
        <v>0</v>
      </c>
      <c r="F160" s="50">
        <v>0</v>
      </c>
      <c r="G160" s="52"/>
    </row>
    <row r="161" spans="2:7">
      <c r="B161" s="44"/>
      <c r="C161" s="48" t="s">
        <v>30</v>
      </c>
      <c r="D161" s="48"/>
      <c r="E161" s="49">
        <v>0</v>
      </c>
      <c r="F161" s="50">
        <v>0</v>
      </c>
      <c r="G161" s="52"/>
    </row>
    <row r="162" spans="2:7">
      <c r="B162" s="44"/>
      <c r="C162" s="48" t="s">
        <v>31</v>
      </c>
      <c r="D162" s="48"/>
      <c r="E162" s="49">
        <v>0</v>
      </c>
      <c r="F162" s="50">
        <v>0</v>
      </c>
      <c r="G162" s="52"/>
    </row>
    <row r="163" spans="2:7">
      <c r="B163" s="44"/>
      <c r="C163" s="48" t="s">
        <v>32</v>
      </c>
      <c r="D163" s="48"/>
      <c r="E163" s="49">
        <v>88.800120595041136</v>
      </c>
      <c r="F163" s="50">
        <v>88.800120595041136</v>
      </c>
      <c r="G163" s="52"/>
    </row>
    <row r="164" spans="2:7">
      <c r="B164" s="44"/>
      <c r="C164" s="48" t="s">
        <v>33</v>
      </c>
      <c r="D164" s="48"/>
      <c r="E164" s="49">
        <v>0</v>
      </c>
      <c r="F164" s="50">
        <v>0</v>
      </c>
      <c r="G164" s="52"/>
    </row>
    <row r="165" spans="2:7">
      <c r="B165" s="44"/>
      <c r="C165" s="48" t="s">
        <v>34</v>
      </c>
      <c r="D165" s="48"/>
      <c r="E165" s="49">
        <v>0</v>
      </c>
      <c r="F165" s="50">
        <v>0</v>
      </c>
      <c r="G165" s="52"/>
    </row>
    <row r="166" spans="2:7">
      <c r="B166" s="44"/>
      <c r="C166" s="48" t="s">
        <v>35</v>
      </c>
      <c r="D166" s="48"/>
      <c r="E166" s="49">
        <v>0</v>
      </c>
      <c r="F166" s="50">
        <v>0</v>
      </c>
      <c r="G166" s="52"/>
    </row>
    <row r="167" spans="2:7">
      <c r="B167" s="44"/>
      <c r="C167" s="53" t="s">
        <v>26</v>
      </c>
      <c r="D167" s="53"/>
      <c r="E167" s="36">
        <v>88.800120595041136</v>
      </c>
      <c r="F167" s="54">
        <v>88.800120595041136</v>
      </c>
      <c r="G167" s="52"/>
    </row>
    <row r="168" spans="2:7">
      <c r="B168" s="44">
        <v>123</v>
      </c>
      <c r="C168" s="39" t="s">
        <v>36</v>
      </c>
      <c r="D168" s="39"/>
      <c r="E168" s="56"/>
      <c r="F168" s="57"/>
      <c r="G168" s="52"/>
    </row>
    <row r="169" spans="2:7">
      <c r="B169" s="44"/>
      <c r="C169" s="48" t="s">
        <v>37</v>
      </c>
      <c r="D169" s="48"/>
      <c r="E169" s="49">
        <v>88.800120595041136</v>
      </c>
      <c r="F169" s="50">
        <v>88.800120595041136</v>
      </c>
      <c r="G169" s="52"/>
    </row>
    <row r="170" spans="2:7">
      <c r="B170" s="44"/>
      <c r="C170" s="48" t="s">
        <v>38</v>
      </c>
      <c r="D170" s="48"/>
      <c r="E170" s="49">
        <v>0</v>
      </c>
      <c r="F170" s="50">
        <v>0</v>
      </c>
      <c r="G170" s="52"/>
    </row>
    <row r="171" spans="2:7">
      <c r="B171" s="44"/>
      <c r="C171" s="48" t="s">
        <v>39</v>
      </c>
      <c r="D171" s="48"/>
      <c r="E171" s="49">
        <v>769.60104515702335</v>
      </c>
      <c r="F171" s="50">
        <v>769.60104515702335</v>
      </c>
      <c r="G171" s="52"/>
    </row>
    <row r="172" spans="2:7">
      <c r="B172" s="44"/>
      <c r="C172" s="48" t="s">
        <v>40</v>
      </c>
      <c r="D172" s="48"/>
      <c r="E172" s="49">
        <v>0</v>
      </c>
      <c r="F172" s="50">
        <v>0</v>
      </c>
      <c r="G172" s="52"/>
    </row>
    <row r="173" spans="2:7">
      <c r="B173" s="44"/>
      <c r="C173" s="48" t="s">
        <v>41</v>
      </c>
      <c r="D173" s="48"/>
      <c r="E173" s="49">
        <v>0</v>
      </c>
      <c r="F173" s="50">
        <v>0</v>
      </c>
      <c r="G173" s="52"/>
    </row>
    <row r="174" spans="2:7">
      <c r="B174" s="44"/>
      <c r="C174" s="48" t="s">
        <v>42</v>
      </c>
      <c r="D174" s="48"/>
      <c r="E174" s="49">
        <v>177.60024119008227</v>
      </c>
      <c r="F174" s="50">
        <v>177.60024119008227</v>
      </c>
      <c r="G174" s="52"/>
    </row>
    <row r="175" spans="2:7">
      <c r="B175" s="44"/>
      <c r="C175" s="53" t="s">
        <v>26</v>
      </c>
      <c r="D175" s="53"/>
      <c r="E175" s="36">
        <v>1036.0014069421468</v>
      </c>
      <c r="F175" s="54">
        <v>1036.0014069421468</v>
      </c>
      <c r="G175" s="52"/>
    </row>
    <row r="176" spans="2:7">
      <c r="B176" s="44">
        <v>124</v>
      </c>
      <c r="C176" s="39" t="s">
        <v>43</v>
      </c>
      <c r="D176" s="39"/>
      <c r="E176" s="56"/>
      <c r="F176" s="57"/>
      <c r="G176" s="52"/>
    </row>
    <row r="177" spans="2:7">
      <c r="B177" s="44"/>
      <c r="C177" s="48" t="s">
        <v>44</v>
      </c>
      <c r="D177" s="48"/>
      <c r="E177" s="49">
        <v>135.66685090909075</v>
      </c>
      <c r="F177" s="50">
        <v>135.66685090909075</v>
      </c>
      <c r="G177" s="52"/>
    </row>
    <row r="178" spans="2:7">
      <c r="B178" s="44"/>
      <c r="C178" s="48" t="s">
        <v>45</v>
      </c>
      <c r="D178" s="48"/>
      <c r="E178" s="49">
        <v>0</v>
      </c>
      <c r="F178" s="50">
        <v>0</v>
      </c>
      <c r="G178" s="52"/>
    </row>
    <row r="179" spans="2:7">
      <c r="B179" s="44"/>
      <c r="C179" s="48" t="s">
        <v>46</v>
      </c>
      <c r="D179" s="48"/>
      <c r="E179" s="49">
        <v>0</v>
      </c>
      <c r="F179" s="50">
        <v>0</v>
      </c>
      <c r="G179" s="52"/>
    </row>
    <row r="180" spans="2:7">
      <c r="B180" s="44"/>
      <c r="C180" s="53" t="s">
        <v>26</v>
      </c>
      <c r="D180" s="53"/>
      <c r="E180" s="36">
        <v>135.66685090909075</v>
      </c>
      <c r="F180" s="54">
        <v>135.66685090909075</v>
      </c>
      <c r="G180" s="52"/>
    </row>
    <row r="181" spans="2:7">
      <c r="B181" s="44">
        <v>125</v>
      </c>
      <c r="C181" s="39" t="s">
        <v>47</v>
      </c>
      <c r="D181" s="39"/>
      <c r="E181" s="36"/>
      <c r="F181" s="50"/>
      <c r="G181" s="52"/>
    </row>
    <row r="182" spans="2:7">
      <c r="B182" s="44"/>
      <c r="C182" s="48" t="s">
        <v>48</v>
      </c>
      <c r="D182" s="48"/>
      <c r="E182" s="58">
        <v>0</v>
      </c>
      <c r="F182" s="50">
        <v>0</v>
      </c>
      <c r="G182" s="52"/>
    </row>
    <row r="183" spans="2:7">
      <c r="B183" s="44"/>
      <c r="C183" s="48" t="s">
        <v>49</v>
      </c>
      <c r="D183" s="48"/>
      <c r="E183" s="58">
        <v>0</v>
      </c>
      <c r="F183" s="50">
        <v>0</v>
      </c>
      <c r="G183" s="52"/>
    </row>
    <row r="184" spans="2:7">
      <c r="B184" s="44"/>
      <c r="C184" s="48" t="s">
        <v>50</v>
      </c>
      <c r="D184" s="48"/>
      <c r="E184" s="58">
        <v>108.5334807272726</v>
      </c>
      <c r="F184" s="50">
        <v>108.5334807272726</v>
      </c>
      <c r="G184" s="52"/>
    </row>
    <row r="185" spans="2:7">
      <c r="B185" s="44"/>
      <c r="C185" s="48" t="s">
        <v>51</v>
      </c>
      <c r="D185" s="48"/>
      <c r="E185" s="58">
        <v>0</v>
      </c>
      <c r="F185" s="50">
        <v>0</v>
      </c>
      <c r="G185" s="52"/>
    </row>
    <row r="186" spans="2:7">
      <c r="B186" s="44"/>
      <c r="C186" s="53" t="s">
        <v>26</v>
      </c>
      <c r="D186" s="53"/>
      <c r="E186" s="56">
        <v>108.5334807272726</v>
      </c>
      <c r="F186" s="54">
        <v>108.5334807272726</v>
      </c>
      <c r="G186" s="52"/>
    </row>
    <row r="187" spans="2:7">
      <c r="B187" s="44">
        <v>126</v>
      </c>
      <c r="C187" s="39" t="s">
        <v>52</v>
      </c>
      <c r="D187" s="39"/>
      <c r="E187" s="56"/>
      <c r="F187" s="50"/>
      <c r="G187" s="52"/>
    </row>
    <row r="188" spans="2:7">
      <c r="B188" s="44"/>
      <c r="C188" s="48" t="s">
        <v>53</v>
      </c>
      <c r="D188" s="48"/>
      <c r="E188" s="49">
        <v>0</v>
      </c>
      <c r="F188" s="50">
        <v>0</v>
      </c>
      <c r="G188" s="52"/>
    </row>
    <row r="189" spans="2:7">
      <c r="B189" s="44"/>
      <c r="C189" s="48" t="s">
        <v>54</v>
      </c>
      <c r="D189" s="48"/>
      <c r="E189" s="49">
        <v>0</v>
      </c>
      <c r="F189" s="50"/>
      <c r="G189" s="52"/>
    </row>
    <row r="190" spans="2:7">
      <c r="B190" s="44"/>
      <c r="C190" s="48" t="s">
        <v>55</v>
      </c>
      <c r="D190" s="48"/>
      <c r="E190" s="49">
        <v>0</v>
      </c>
      <c r="F190" s="50"/>
      <c r="G190" s="52"/>
    </row>
    <row r="191" spans="2:7">
      <c r="B191" s="44"/>
      <c r="C191" s="48" t="s">
        <v>56</v>
      </c>
      <c r="D191" s="48"/>
      <c r="E191" s="49">
        <v>0</v>
      </c>
      <c r="F191" s="57"/>
      <c r="G191" s="52"/>
    </row>
    <row r="192" spans="2:7">
      <c r="B192" s="44"/>
      <c r="C192" s="53" t="s">
        <v>26</v>
      </c>
      <c r="D192" s="53"/>
      <c r="E192" s="56">
        <v>0</v>
      </c>
      <c r="F192" s="54">
        <v>0</v>
      </c>
      <c r="G192" s="52"/>
    </row>
    <row r="193" spans="2:7">
      <c r="B193" s="44">
        <v>127</v>
      </c>
      <c r="C193" s="39" t="s">
        <v>57</v>
      </c>
      <c r="D193" s="39"/>
      <c r="E193" s="56"/>
      <c r="F193" s="54"/>
      <c r="G193" s="52"/>
    </row>
    <row r="194" spans="2:7">
      <c r="B194" s="44"/>
      <c r="C194" s="48" t="s">
        <v>58</v>
      </c>
      <c r="D194" s="48"/>
      <c r="E194" s="49">
        <v>0</v>
      </c>
      <c r="F194" s="50">
        <v>0</v>
      </c>
      <c r="G194" s="52"/>
    </row>
    <row r="195" spans="2:7">
      <c r="B195" s="44"/>
      <c r="C195" s="48" t="s">
        <v>59</v>
      </c>
      <c r="D195" s="48"/>
      <c r="E195" s="49">
        <v>0</v>
      </c>
      <c r="F195" s="50">
        <v>0</v>
      </c>
      <c r="G195" s="52"/>
    </row>
    <row r="196" spans="2:7">
      <c r="B196" s="44"/>
      <c r="C196" s="48" t="s">
        <v>60</v>
      </c>
      <c r="D196" s="48"/>
      <c r="E196" s="49">
        <v>0</v>
      </c>
      <c r="F196" s="50">
        <v>0</v>
      </c>
      <c r="G196" s="52"/>
    </row>
    <row r="197" spans="2:7">
      <c r="B197" s="44"/>
      <c r="C197" s="59" t="s">
        <v>61</v>
      </c>
      <c r="D197" s="59"/>
      <c r="E197" s="49">
        <v>0</v>
      </c>
      <c r="F197" s="50">
        <v>0</v>
      </c>
      <c r="G197" s="52"/>
    </row>
    <row r="198" spans="2:7">
      <c r="B198" s="44"/>
      <c r="C198" s="53" t="s">
        <v>26</v>
      </c>
      <c r="D198" s="53"/>
      <c r="E198" s="56">
        <v>0</v>
      </c>
      <c r="F198" s="54">
        <v>0</v>
      </c>
      <c r="G198" s="52"/>
    </row>
    <row r="199" spans="2:7">
      <c r="B199" s="44">
        <v>128</v>
      </c>
      <c r="C199" s="39" t="s">
        <v>62</v>
      </c>
      <c r="D199" s="39"/>
      <c r="E199" s="56"/>
      <c r="F199" s="54"/>
      <c r="G199" s="52"/>
    </row>
    <row r="200" spans="2:7">
      <c r="B200" s="44"/>
      <c r="C200" s="48" t="s">
        <v>63</v>
      </c>
      <c r="D200" s="48"/>
      <c r="E200" s="49">
        <v>0</v>
      </c>
      <c r="F200" s="50">
        <v>0</v>
      </c>
      <c r="G200" s="52"/>
    </row>
    <row r="201" spans="2:7">
      <c r="B201" s="44"/>
      <c r="C201" s="48" t="s">
        <v>64</v>
      </c>
      <c r="D201" s="48"/>
      <c r="E201" s="49">
        <v>0</v>
      </c>
      <c r="F201" s="50">
        <v>0</v>
      </c>
      <c r="G201" s="52"/>
    </row>
    <row r="202" spans="2:7">
      <c r="B202" s="44"/>
      <c r="C202" s="48" t="s">
        <v>65</v>
      </c>
      <c r="D202" s="48"/>
      <c r="E202" s="49">
        <v>325.60044218181781</v>
      </c>
      <c r="F202" s="50">
        <v>325.60044218181781</v>
      </c>
      <c r="G202" s="52"/>
    </row>
    <row r="203" spans="2:7">
      <c r="B203" s="44"/>
      <c r="C203" s="48" t="s">
        <v>66</v>
      </c>
      <c r="D203" s="48"/>
      <c r="E203" s="49">
        <v>0</v>
      </c>
      <c r="F203" s="50">
        <v>0</v>
      </c>
      <c r="G203" s="52"/>
    </row>
    <row r="204" spans="2:7">
      <c r="B204" s="44"/>
      <c r="C204" s="48" t="s">
        <v>67</v>
      </c>
      <c r="D204" s="48"/>
      <c r="E204" s="49">
        <v>0</v>
      </c>
      <c r="F204" s="50">
        <v>0</v>
      </c>
      <c r="G204" s="52"/>
    </row>
    <row r="205" spans="2:7">
      <c r="B205" s="44"/>
      <c r="C205" s="53" t="s">
        <v>26</v>
      </c>
      <c r="D205" s="53"/>
      <c r="E205" s="56">
        <v>325.60044218181781</v>
      </c>
      <c r="F205" s="54">
        <v>325.60044218181781</v>
      </c>
      <c r="G205" s="52"/>
    </row>
    <row r="206" spans="2:7">
      <c r="B206" s="44">
        <v>135</v>
      </c>
      <c r="C206" s="39" t="s">
        <v>68</v>
      </c>
      <c r="D206" s="39"/>
      <c r="E206" s="56"/>
      <c r="F206" s="50"/>
      <c r="G206" s="52"/>
    </row>
    <row r="207" spans="2:7">
      <c r="B207" s="44"/>
      <c r="C207" s="48" t="s">
        <v>69</v>
      </c>
      <c r="D207" s="48"/>
      <c r="E207" s="49">
        <v>0</v>
      </c>
      <c r="F207" s="50">
        <v>0</v>
      </c>
      <c r="G207" s="52"/>
    </row>
    <row r="208" spans="2:7">
      <c r="B208" s="44"/>
      <c r="C208" s="48" t="s">
        <v>70</v>
      </c>
      <c r="D208" s="48"/>
      <c r="E208" s="49">
        <v>0</v>
      </c>
      <c r="F208" s="50">
        <v>0</v>
      </c>
      <c r="G208" s="52"/>
    </row>
    <row r="209" spans="2:7">
      <c r="B209" s="44"/>
      <c r="C209" s="48" t="s">
        <v>71</v>
      </c>
      <c r="D209" s="48"/>
      <c r="E209" s="49">
        <v>0</v>
      </c>
      <c r="F209" s="50">
        <v>0</v>
      </c>
      <c r="G209" s="52"/>
    </row>
    <row r="210" spans="2:7">
      <c r="B210" s="44"/>
      <c r="C210" s="48" t="s">
        <v>72</v>
      </c>
      <c r="D210" s="48"/>
      <c r="E210" s="49">
        <v>0</v>
      </c>
      <c r="F210" s="50">
        <v>0</v>
      </c>
      <c r="G210" s="52"/>
    </row>
    <row r="211" spans="2:7">
      <c r="B211" s="44"/>
      <c r="C211" s="48" t="s">
        <v>73</v>
      </c>
      <c r="D211" s="48"/>
      <c r="E211" s="49">
        <v>177.60024119008227</v>
      </c>
      <c r="F211" s="50">
        <v>177.60024119008227</v>
      </c>
      <c r="G211" s="52"/>
    </row>
    <row r="212" spans="2:7">
      <c r="B212" s="44"/>
      <c r="C212" s="48" t="s">
        <v>74</v>
      </c>
      <c r="D212" s="48"/>
      <c r="E212" s="49">
        <v>0</v>
      </c>
      <c r="F212" s="50">
        <v>0</v>
      </c>
      <c r="G212" s="52"/>
    </row>
    <row r="213" spans="2:7">
      <c r="B213" s="44"/>
      <c r="C213" s="48" t="s">
        <v>75</v>
      </c>
      <c r="D213" s="48"/>
      <c r="E213" s="49">
        <v>841.13447563636271</v>
      </c>
      <c r="F213" s="50">
        <v>841.13447563636271</v>
      </c>
      <c r="G213" s="52"/>
    </row>
    <row r="214" spans="2:7">
      <c r="B214" s="44"/>
      <c r="C214" s="48" t="s">
        <v>76</v>
      </c>
      <c r="D214" s="48"/>
      <c r="E214" s="49">
        <v>0</v>
      </c>
      <c r="F214" s="50">
        <v>0</v>
      </c>
      <c r="G214" s="52"/>
    </row>
    <row r="215" spans="2:7">
      <c r="B215" s="44"/>
      <c r="C215" s="48" t="s">
        <v>77</v>
      </c>
      <c r="D215" s="48"/>
      <c r="E215" s="49">
        <v>0</v>
      </c>
      <c r="F215" s="50">
        <v>0</v>
      </c>
      <c r="G215" s="52"/>
    </row>
    <row r="216" spans="2:7">
      <c r="B216" s="44"/>
      <c r="C216" s="53" t="s">
        <v>26</v>
      </c>
      <c r="D216" s="53"/>
      <c r="E216" s="56">
        <v>1018.734716826445</v>
      </c>
      <c r="F216" s="54">
        <v>1018.734716826445</v>
      </c>
      <c r="G216" s="52"/>
    </row>
    <row r="217" spans="2:7">
      <c r="B217" s="44">
        <v>136</v>
      </c>
      <c r="C217" s="39" t="s">
        <v>78</v>
      </c>
      <c r="D217" s="39"/>
      <c r="E217" s="56"/>
      <c r="F217" s="50"/>
      <c r="G217" s="52"/>
    </row>
    <row r="218" spans="2:7">
      <c r="B218" s="44"/>
      <c r="C218" s="48" t="s">
        <v>79</v>
      </c>
      <c r="D218" s="48"/>
      <c r="E218" s="49">
        <v>0</v>
      </c>
      <c r="F218" s="50">
        <v>0</v>
      </c>
      <c r="G218" s="52"/>
    </row>
    <row r="219" spans="2:7">
      <c r="B219" s="44"/>
      <c r="C219" s="48" t="s">
        <v>80</v>
      </c>
      <c r="D219" s="48"/>
      <c r="E219" s="49">
        <v>0</v>
      </c>
      <c r="F219" s="50">
        <v>0</v>
      </c>
      <c r="G219" s="52"/>
    </row>
    <row r="220" spans="2:7">
      <c r="B220" s="44"/>
      <c r="C220" s="48" t="s">
        <v>81</v>
      </c>
      <c r="D220" s="48"/>
      <c r="E220" s="49">
        <v>0</v>
      </c>
      <c r="F220" s="50">
        <v>0</v>
      </c>
      <c r="G220" s="52"/>
    </row>
    <row r="221" spans="2:7">
      <c r="B221" s="44"/>
      <c r="C221" s="48" t="s">
        <v>82</v>
      </c>
      <c r="D221" s="48"/>
      <c r="E221" s="49">
        <v>0</v>
      </c>
      <c r="F221" s="50">
        <v>0</v>
      </c>
      <c r="G221" s="52"/>
    </row>
    <row r="222" spans="2:7">
      <c r="B222" s="44"/>
      <c r="C222" s="48" t="s">
        <v>83</v>
      </c>
      <c r="D222" s="48"/>
      <c r="E222" s="49">
        <v>0</v>
      </c>
      <c r="F222" s="50">
        <v>0</v>
      </c>
      <c r="G222" s="52"/>
    </row>
    <row r="223" spans="2:7">
      <c r="B223" s="44"/>
      <c r="C223" s="48" t="s">
        <v>84</v>
      </c>
      <c r="D223" s="48"/>
      <c r="E223" s="49">
        <v>0</v>
      </c>
      <c r="F223" s="50">
        <v>0</v>
      </c>
      <c r="G223" s="52"/>
    </row>
    <row r="224" spans="2:7">
      <c r="B224" s="44"/>
      <c r="C224" s="53" t="s">
        <v>26</v>
      </c>
      <c r="D224" s="53"/>
      <c r="E224" s="56">
        <v>0</v>
      </c>
      <c r="F224" s="54">
        <v>0</v>
      </c>
      <c r="G224" s="52"/>
    </row>
    <row r="225" spans="2:7">
      <c r="B225" s="44">
        <v>142</v>
      </c>
      <c r="C225" s="39" t="s">
        <v>85</v>
      </c>
      <c r="D225" s="39"/>
      <c r="E225" s="56"/>
      <c r="F225" s="50"/>
      <c r="G225" s="52"/>
    </row>
    <row r="226" spans="2:7">
      <c r="B226" s="44"/>
      <c r="C226" s="48" t="s">
        <v>86</v>
      </c>
      <c r="D226" s="48"/>
      <c r="E226" s="49">
        <v>0</v>
      </c>
      <c r="F226" s="50">
        <v>0</v>
      </c>
      <c r="G226" s="52"/>
    </row>
    <row r="227" spans="2:7">
      <c r="B227" s="44"/>
      <c r="C227" s="48" t="s">
        <v>87</v>
      </c>
      <c r="D227" s="48"/>
      <c r="E227" s="49">
        <v>0</v>
      </c>
      <c r="F227" s="50">
        <v>0</v>
      </c>
      <c r="G227" s="52"/>
    </row>
    <row r="228" spans="2:7">
      <c r="B228" s="44"/>
      <c r="C228" s="53" t="s">
        <v>26</v>
      </c>
      <c r="D228" s="53"/>
      <c r="E228" s="56">
        <v>0</v>
      </c>
      <c r="F228" s="54">
        <v>0</v>
      </c>
      <c r="G228" s="52"/>
    </row>
    <row r="229" spans="2:7">
      <c r="B229" s="44">
        <v>144</v>
      </c>
      <c r="C229" s="39" t="s">
        <v>88</v>
      </c>
      <c r="D229" s="39"/>
      <c r="E229" s="49">
        <v>0</v>
      </c>
      <c r="F229" s="54">
        <v>0</v>
      </c>
      <c r="G229" s="52"/>
    </row>
    <row r="230" spans="2:7">
      <c r="B230" s="44">
        <v>221</v>
      </c>
      <c r="C230" s="39" t="s">
        <v>89</v>
      </c>
      <c r="D230" s="39"/>
      <c r="E230" s="49">
        <v>0</v>
      </c>
      <c r="F230" s="54">
        <v>0</v>
      </c>
      <c r="G230" s="52"/>
    </row>
    <row r="231" spans="2:7">
      <c r="B231" s="44">
        <v>222</v>
      </c>
      <c r="C231" s="39" t="s">
        <v>90</v>
      </c>
      <c r="D231" s="39"/>
      <c r="E231" s="49">
        <v>0</v>
      </c>
      <c r="F231" s="54">
        <v>0</v>
      </c>
      <c r="G231" s="52"/>
    </row>
    <row r="232" spans="2:7">
      <c r="B232" s="44">
        <v>224</v>
      </c>
      <c r="C232" s="39" t="s">
        <v>91</v>
      </c>
      <c r="D232" s="39"/>
      <c r="E232" s="49">
        <v>0</v>
      </c>
      <c r="F232" s="54">
        <v>0</v>
      </c>
      <c r="G232" s="52"/>
    </row>
    <row r="233" spans="2:7">
      <c r="B233" s="44">
        <v>225</v>
      </c>
      <c r="C233" s="39" t="s">
        <v>92</v>
      </c>
      <c r="D233" s="39"/>
      <c r="E233" s="49">
        <v>0</v>
      </c>
      <c r="F233" s="54">
        <v>0</v>
      </c>
      <c r="G233" s="38"/>
    </row>
    <row r="234" spans="2:7">
      <c r="B234" s="44">
        <v>226</v>
      </c>
      <c r="C234" s="39" t="s">
        <v>93</v>
      </c>
      <c r="D234" s="39"/>
      <c r="E234" s="49">
        <v>0</v>
      </c>
      <c r="F234" s="54">
        <v>0</v>
      </c>
      <c r="G234" s="60"/>
    </row>
    <row r="235" spans="2:7" ht="15.75" thickBot="1">
      <c r="B235" s="61"/>
      <c r="C235" s="62" t="s">
        <v>94</v>
      </c>
      <c r="D235" s="62"/>
      <c r="E235" s="94">
        <v>0</v>
      </c>
      <c r="F235" s="63">
        <v>0</v>
      </c>
      <c r="G235" s="38"/>
    </row>
    <row r="236" spans="2:7">
      <c r="B236" s="64"/>
      <c r="C236" s="65" t="s">
        <v>95</v>
      </c>
      <c r="D236" s="66"/>
      <c r="E236" s="67">
        <v>2713.3370181818141</v>
      </c>
      <c r="F236" s="68">
        <v>2713.3370181818141</v>
      </c>
      <c r="G236" s="69"/>
    </row>
    <row r="237" spans="2:7" ht="15.75" thickBot="1">
      <c r="B237" s="64"/>
      <c r="C237" s="70"/>
      <c r="D237" s="71"/>
      <c r="E237" s="72"/>
      <c r="F237" s="73"/>
      <c r="G237" s="69"/>
    </row>
    <row r="238" spans="2:7" ht="15.75" thickBot="1">
      <c r="B238" s="64"/>
      <c r="C238" s="70" t="s">
        <v>96</v>
      </c>
      <c r="D238" s="71"/>
      <c r="E238" s="74">
        <v>13761.81686677687</v>
      </c>
      <c r="F238" s="75">
        <v>13761.81686677687</v>
      </c>
      <c r="G238" s="76"/>
    </row>
    <row r="239" spans="2:7" ht="8.25" customHeight="1" thickBot="1">
      <c r="B239" s="77"/>
      <c r="C239" s="81"/>
      <c r="D239" s="81"/>
      <c r="E239" s="78"/>
      <c r="F239" s="78"/>
      <c r="G239" s="79"/>
    </row>
    <row r="240" spans="2:7">
      <c r="B240" s="85"/>
      <c r="C240" s="84"/>
      <c r="D240" s="84"/>
      <c r="E240" s="85"/>
      <c r="F240" s="85"/>
      <c r="G240" s="85"/>
    </row>
    <row r="241" spans="1:7" ht="6" customHeight="1" thickBot="1"/>
    <row r="242" spans="1:7">
      <c r="B242" s="1"/>
      <c r="C242" s="2"/>
      <c r="D242" s="2"/>
      <c r="E242" s="2"/>
      <c r="F242" s="2"/>
      <c r="G242" s="3"/>
    </row>
    <row r="243" spans="1:7">
      <c r="B243" s="4"/>
      <c r="C243" s="5"/>
      <c r="D243" s="5"/>
      <c r="E243" s="5"/>
      <c r="F243" s="5"/>
      <c r="G243" s="6"/>
    </row>
    <row r="244" spans="1:7">
      <c r="B244" s="4"/>
      <c r="C244" s="5"/>
      <c r="D244" s="5"/>
      <c r="E244" s="5"/>
      <c r="F244" s="5"/>
      <c r="G244" s="6"/>
    </row>
    <row r="245" spans="1:7">
      <c r="B245" s="4"/>
      <c r="C245" s="5"/>
      <c r="D245" s="5"/>
      <c r="E245" s="5"/>
      <c r="F245" s="5"/>
      <c r="G245" s="6"/>
    </row>
    <row r="246" spans="1:7">
      <c r="B246" s="4"/>
      <c r="C246" s="5"/>
      <c r="D246" s="5"/>
      <c r="E246" s="5"/>
      <c r="F246" s="5"/>
      <c r="G246" s="6"/>
    </row>
    <row r="247" spans="1:7" ht="16.5" customHeight="1">
      <c r="B247" s="4"/>
      <c r="C247" s="5"/>
      <c r="D247" s="5"/>
      <c r="E247" s="5"/>
      <c r="F247" s="5"/>
      <c r="G247" s="6"/>
    </row>
    <row r="248" spans="1:7" ht="22.5" customHeight="1" thickBot="1">
      <c r="B248" s="4"/>
      <c r="C248" s="95" t="s">
        <v>0</v>
      </c>
      <c r="D248" s="95"/>
      <c r="E248" s="95"/>
      <c r="F248" s="5"/>
      <c r="G248" s="6"/>
    </row>
    <row r="249" spans="1:7" ht="21" thickTop="1">
      <c r="B249" s="4"/>
      <c r="C249" s="7"/>
      <c r="D249" s="7"/>
      <c r="E249" s="5"/>
      <c r="F249" s="5"/>
      <c r="G249" s="6"/>
    </row>
    <row r="250" spans="1:7">
      <c r="B250" s="8" t="s">
        <v>1</v>
      </c>
      <c r="C250" s="9" t="s">
        <v>97</v>
      </c>
      <c r="D250" s="5"/>
      <c r="E250" s="10" t="s">
        <v>2</v>
      </c>
      <c r="F250" s="9" t="s">
        <v>98</v>
      </c>
      <c r="G250" s="6"/>
    </row>
    <row r="251" spans="1:7" ht="3.75" customHeight="1">
      <c r="A251" s="80"/>
      <c r="B251" s="5"/>
      <c r="C251" s="5"/>
      <c r="D251" s="5"/>
      <c r="E251" s="11"/>
      <c r="F251" s="5"/>
      <c r="G251" s="6"/>
    </row>
    <row r="252" spans="1:7">
      <c r="A252" s="80"/>
      <c r="B252" s="12" t="s">
        <v>3</v>
      </c>
      <c r="C252" s="9" t="s">
        <v>99</v>
      </c>
      <c r="D252" s="5"/>
      <c r="E252" s="10" t="s">
        <v>4</v>
      </c>
      <c r="F252" s="82" t="s">
        <v>100</v>
      </c>
      <c r="G252" s="6"/>
    </row>
    <row r="253" spans="1:7" ht="3.75" customHeight="1">
      <c r="A253" s="80"/>
      <c r="B253" s="5"/>
      <c r="C253" s="5"/>
      <c r="D253" s="5"/>
      <c r="E253" s="11"/>
      <c r="F253" s="5"/>
      <c r="G253" s="6"/>
    </row>
    <row r="254" spans="1:7">
      <c r="A254" s="80"/>
      <c r="B254" s="10" t="s">
        <v>5</v>
      </c>
      <c r="C254" s="9" t="s">
        <v>101</v>
      </c>
      <c r="D254" s="5"/>
      <c r="E254" s="10" t="s">
        <v>6</v>
      </c>
      <c r="F254" s="9" t="s">
        <v>107</v>
      </c>
      <c r="G254" s="6"/>
    </row>
    <row r="255" spans="1:7" ht="4.5" customHeight="1">
      <c r="A255" s="80"/>
      <c r="B255" s="13"/>
      <c r="C255" s="5"/>
      <c r="D255" s="5"/>
      <c r="E255" s="11"/>
      <c r="F255" s="5"/>
      <c r="G255" s="6"/>
    </row>
    <row r="256" spans="1:7">
      <c r="A256" s="80"/>
      <c r="B256" s="10" t="s">
        <v>7</v>
      </c>
      <c r="C256" s="9" t="s">
        <v>119</v>
      </c>
      <c r="D256" s="5"/>
      <c r="E256" s="11"/>
      <c r="F256" s="5"/>
      <c r="G256" s="6"/>
    </row>
    <row r="257" spans="1:7" ht="3.75" customHeight="1">
      <c r="A257" s="80"/>
      <c r="B257" s="5"/>
      <c r="C257" s="5"/>
      <c r="D257" s="5"/>
      <c r="E257" s="11"/>
      <c r="F257" s="5"/>
      <c r="G257" s="6"/>
    </row>
    <row r="258" spans="1:7">
      <c r="B258" s="14" t="s">
        <v>8</v>
      </c>
      <c r="C258" s="15" t="s">
        <v>105</v>
      </c>
      <c r="D258" s="5"/>
      <c r="E258" s="86" t="s">
        <v>109</v>
      </c>
      <c r="F258" s="87">
        <v>45352</v>
      </c>
      <c r="G258" s="6"/>
    </row>
    <row r="259" spans="1:7">
      <c r="B259" s="16" t="s">
        <v>9</v>
      </c>
      <c r="C259" s="17" t="s">
        <v>130</v>
      </c>
      <c r="D259" s="5"/>
      <c r="E259" s="88" t="s">
        <v>110</v>
      </c>
      <c r="F259" s="89">
        <v>45382</v>
      </c>
      <c r="G259" s="18"/>
    </row>
    <row r="260" spans="1:7" ht="15.75" thickBot="1">
      <c r="B260" s="4"/>
      <c r="C260" s="19"/>
      <c r="D260" s="19"/>
      <c r="E260" s="20"/>
      <c r="F260" s="21"/>
      <c r="G260" s="18"/>
    </row>
    <row r="261" spans="1:7" ht="18.75" thickBot="1">
      <c r="B261" s="4"/>
      <c r="C261" s="22" t="s">
        <v>10</v>
      </c>
      <c r="D261" s="23"/>
      <c r="E261" s="24"/>
      <c r="F261" s="25" t="s">
        <v>11</v>
      </c>
      <c r="G261" s="18"/>
    </row>
    <row r="262" spans="1:7">
      <c r="B262" s="4"/>
      <c r="C262" s="26" t="s">
        <v>12</v>
      </c>
      <c r="D262" s="26"/>
      <c r="E262" s="27">
        <v>13761.81686677687</v>
      </c>
      <c r="F262" s="28">
        <v>13761.81686677687</v>
      </c>
      <c r="G262" s="29"/>
    </row>
    <row r="263" spans="1:7">
      <c r="B263" s="30">
        <v>143</v>
      </c>
      <c r="C263" s="31" t="s">
        <v>13</v>
      </c>
      <c r="D263" s="31"/>
      <c r="E263" s="27">
        <v>4578.6174545454505</v>
      </c>
      <c r="F263" s="32">
        <v>4578.6174545454505</v>
      </c>
      <c r="G263" s="33"/>
    </row>
    <row r="264" spans="1:7">
      <c r="B264" s="30"/>
      <c r="C264" s="34" t="s">
        <v>14</v>
      </c>
      <c r="D264" s="34"/>
      <c r="E264" s="27">
        <v>0</v>
      </c>
      <c r="F264" s="32">
        <v>0</v>
      </c>
      <c r="G264" s="33"/>
    </row>
    <row r="265" spans="1:7">
      <c r="B265" s="30"/>
      <c r="C265" s="34" t="s">
        <v>15</v>
      </c>
      <c r="D265" s="34"/>
      <c r="E265" s="27">
        <v>0</v>
      </c>
      <c r="F265" s="32">
        <v>0</v>
      </c>
      <c r="G265" s="33"/>
    </row>
    <row r="266" spans="1:7">
      <c r="B266" s="30"/>
      <c r="C266" s="34" t="s">
        <v>16</v>
      </c>
      <c r="D266" s="34"/>
      <c r="E266" s="27">
        <v>0</v>
      </c>
      <c r="F266" s="32">
        <v>0</v>
      </c>
      <c r="G266" s="33"/>
    </row>
    <row r="267" spans="1:7">
      <c r="B267" s="30"/>
      <c r="C267" s="34" t="s">
        <v>17</v>
      </c>
      <c r="D267" s="34"/>
      <c r="E267" s="27">
        <v>0</v>
      </c>
      <c r="F267" s="32">
        <v>0</v>
      </c>
      <c r="G267" s="33"/>
    </row>
    <row r="268" spans="1:7">
      <c r="B268" s="30"/>
      <c r="C268" s="35" t="s">
        <v>18</v>
      </c>
      <c r="D268" s="35"/>
      <c r="E268" s="36">
        <v>18340.434321322318</v>
      </c>
      <c r="F268" s="37">
        <v>18340.434321322318</v>
      </c>
      <c r="G268" s="38"/>
    </row>
    <row r="269" spans="1:7" ht="15.75" thickBot="1">
      <c r="B269" s="30"/>
      <c r="C269" s="39"/>
      <c r="D269" s="39"/>
      <c r="E269" s="40"/>
      <c r="F269" s="41"/>
      <c r="G269" s="38"/>
    </row>
    <row r="270" spans="1:7" ht="18.75" thickBot="1">
      <c r="B270" s="30"/>
      <c r="C270" s="22" t="s">
        <v>19</v>
      </c>
      <c r="D270" s="23"/>
      <c r="E270" s="42"/>
      <c r="F270" s="43"/>
      <c r="G270" s="38"/>
    </row>
    <row r="271" spans="1:7">
      <c r="B271" s="44">
        <v>121</v>
      </c>
      <c r="C271" s="39" t="s">
        <v>20</v>
      </c>
      <c r="D271" s="39"/>
      <c r="E271" s="45"/>
      <c r="F271" s="46"/>
      <c r="G271" s="47"/>
    </row>
    <row r="272" spans="1:7">
      <c r="B272" s="44"/>
      <c r="C272" s="48" t="s">
        <v>21</v>
      </c>
      <c r="D272" s="48"/>
      <c r="E272" s="49">
        <v>0</v>
      </c>
      <c r="F272" s="50">
        <v>0</v>
      </c>
      <c r="G272" s="47"/>
    </row>
    <row r="273" spans="2:7">
      <c r="B273" s="44"/>
      <c r="C273" s="48" t="s">
        <v>22</v>
      </c>
      <c r="D273" s="48"/>
      <c r="E273" s="49">
        <v>0</v>
      </c>
      <c r="F273" s="50">
        <v>0</v>
      </c>
      <c r="G273" s="47"/>
    </row>
    <row r="274" spans="2:7">
      <c r="B274" s="51"/>
      <c r="C274" s="48" t="s">
        <v>23</v>
      </c>
      <c r="D274" s="48"/>
      <c r="E274" s="49">
        <v>0</v>
      </c>
      <c r="F274" s="50">
        <v>0</v>
      </c>
      <c r="G274" s="52"/>
    </row>
    <row r="275" spans="2:7">
      <c r="B275" s="51"/>
      <c r="C275" s="48" t="s">
        <v>24</v>
      </c>
      <c r="D275" s="48"/>
      <c r="E275" s="49">
        <v>814.0011054545447</v>
      </c>
      <c r="F275" s="50">
        <v>814.0011054545447</v>
      </c>
      <c r="G275" s="52"/>
    </row>
    <row r="276" spans="2:7">
      <c r="B276" s="44"/>
      <c r="C276" s="48" t="s">
        <v>25</v>
      </c>
      <c r="D276" s="48"/>
      <c r="E276" s="49">
        <v>0</v>
      </c>
      <c r="F276" s="50">
        <v>0</v>
      </c>
      <c r="G276" s="52"/>
    </row>
    <row r="277" spans="2:7">
      <c r="B277" s="44"/>
      <c r="C277" s="53" t="s">
        <v>26</v>
      </c>
      <c r="D277" s="53"/>
      <c r="E277" s="36">
        <v>814.0011054545447</v>
      </c>
      <c r="F277" s="54">
        <v>814.0011054545447</v>
      </c>
      <c r="G277" s="52"/>
    </row>
    <row r="278" spans="2:7">
      <c r="B278" s="44">
        <v>122</v>
      </c>
      <c r="C278" s="39" t="s">
        <v>27</v>
      </c>
      <c r="D278" s="39"/>
      <c r="E278" s="36"/>
      <c r="F278" s="50"/>
      <c r="G278" s="55"/>
    </row>
    <row r="279" spans="2:7">
      <c r="B279" s="44"/>
      <c r="C279" s="48" t="s">
        <v>28</v>
      </c>
      <c r="D279" s="48"/>
      <c r="E279" s="49">
        <v>0</v>
      </c>
      <c r="F279" s="50">
        <v>0</v>
      </c>
      <c r="G279" s="52"/>
    </row>
    <row r="280" spans="2:7">
      <c r="B280" s="44"/>
      <c r="C280" s="48" t="s">
        <v>29</v>
      </c>
      <c r="D280" s="48"/>
      <c r="E280" s="49">
        <v>0</v>
      </c>
      <c r="F280" s="50">
        <v>0</v>
      </c>
      <c r="G280" s="52"/>
    </row>
    <row r="281" spans="2:7">
      <c r="B281" s="44"/>
      <c r="C281" s="48" t="s">
        <v>30</v>
      </c>
      <c r="D281" s="48"/>
      <c r="E281" s="49">
        <v>0</v>
      </c>
      <c r="F281" s="50">
        <v>0</v>
      </c>
      <c r="G281" s="52"/>
    </row>
    <row r="282" spans="2:7">
      <c r="B282" s="44"/>
      <c r="C282" s="48" t="s">
        <v>31</v>
      </c>
      <c r="D282" s="48"/>
      <c r="E282" s="49">
        <v>0</v>
      </c>
      <c r="F282" s="50">
        <v>0</v>
      </c>
      <c r="G282" s="52"/>
    </row>
    <row r="283" spans="2:7">
      <c r="B283" s="44"/>
      <c r="C283" s="48" t="s">
        <v>32</v>
      </c>
      <c r="D283" s="48"/>
      <c r="E283" s="49">
        <v>271.33370181818157</v>
      </c>
      <c r="F283" s="50">
        <v>271.33370181818157</v>
      </c>
      <c r="G283" s="52"/>
    </row>
    <row r="284" spans="2:7">
      <c r="B284" s="44"/>
      <c r="C284" s="48" t="s">
        <v>33</v>
      </c>
      <c r="D284" s="48"/>
      <c r="E284" s="49">
        <v>0</v>
      </c>
      <c r="F284" s="50">
        <v>0</v>
      </c>
      <c r="G284" s="52"/>
    </row>
    <row r="285" spans="2:7">
      <c r="B285" s="44"/>
      <c r="C285" s="48" t="s">
        <v>34</v>
      </c>
      <c r="D285" s="48"/>
      <c r="E285" s="49">
        <v>0</v>
      </c>
      <c r="F285" s="50">
        <v>0</v>
      </c>
      <c r="G285" s="52"/>
    </row>
    <row r="286" spans="2:7">
      <c r="B286" s="44"/>
      <c r="C286" s="48" t="s">
        <v>35</v>
      </c>
      <c r="D286" s="48"/>
      <c r="E286" s="49">
        <v>0</v>
      </c>
      <c r="F286" s="50">
        <v>0</v>
      </c>
      <c r="G286" s="52"/>
    </row>
    <row r="287" spans="2:7">
      <c r="B287" s="44"/>
      <c r="C287" s="53" t="s">
        <v>26</v>
      </c>
      <c r="D287" s="53"/>
      <c r="E287" s="36">
        <v>271.33370181818157</v>
      </c>
      <c r="F287" s="54">
        <v>271.33370181818157</v>
      </c>
      <c r="G287" s="52"/>
    </row>
    <row r="288" spans="2:7">
      <c r="B288" s="44">
        <v>123</v>
      </c>
      <c r="C288" s="39" t="s">
        <v>36</v>
      </c>
      <c r="D288" s="39"/>
      <c r="E288" s="56"/>
      <c r="F288" s="57"/>
      <c r="G288" s="52"/>
    </row>
    <row r="289" spans="2:7">
      <c r="B289" s="44"/>
      <c r="C289" s="48" t="s">
        <v>37</v>
      </c>
      <c r="D289" s="48"/>
      <c r="E289" s="49">
        <v>222.00030148760285</v>
      </c>
      <c r="F289" s="50">
        <v>222.00030148760285</v>
      </c>
      <c r="G289" s="52"/>
    </row>
    <row r="290" spans="2:7">
      <c r="B290" s="44"/>
      <c r="C290" s="48" t="s">
        <v>38</v>
      </c>
      <c r="D290" s="48"/>
      <c r="E290" s="49">
        <v>1825.3358122314014</v>
      </c>
      <c r="F290" s="50">
        <v>1825.3358122314014</v>
      </c>
      <c r="G290" s="52"/>
    </row>
    <row r="291" spans="2:7">
      <c r="B291" s="44"/>
      <c r="C291" s="48" t="s">
        <v>39</v>
      </c>
      <c r="D291" s="48"/>
      <c r="E291" s="49">
        <v>222.00030148760285</v>
      </c>
      <c r="F291" s="50">
        <v>222.00030148760285</v>
      </c>
      <c r="G291" s="52"/>
    </row>
    <row r="292" spans="2:7">
      <c r="B292" s="44"/>
      <c r="C292" s="48" t="s">
        <v>40</v>
      </c>
      <c r="D292" s="48"/>
      <c r="E292" s="49">
        <v>0</v>
      </c>
      <c r="F292" s="50">
        <v>0</v>
      </c>
      <c r="G292" s="52"/>
    </row>
    <row r="293" spans="2:7">
      <c r="B293" s="44"/>
      <c r="C293" s="48" t="s">
        <v>41</v>
      </c>
      <c r="D293" s="48"/>
      <c r="E293" s="49">
        <v>0</v>
      </c>
      <c r="F293" s="50">
        <v>0</v>
      </c>
      <c r="G293" s="52"/>
    </row>
    <row r="294" spans="2:7">
      <c r="B294" s="44"/>
      <c r="C294" s="48" t="s">
        <v>42</v>
      </c>
      <c r="D294" s="48"/>
      <c r="E294" s="49">
        <v>444.00060297520571</v>
      </c>
      <c r="F294" s="50">
        <v>444.00060297520571</v>
      </c>
      <c r="G294" s="52"/>
    </row>
    <row r="295" spans="2:7">
      <c r="B295" s="44"/>
      <c r="C295" s="53" t="s">
        <v>26</v>
      </c>
      <c r="D295" s="53"/>
      <c r="E295" s="36">
        <v>2713.3370181818127</v>
      </c>
      <c r="F295" s="54">
        <v>2713.3370181818127</v>
      </c>
      <c r="G295" s="52"/>
    </row>
    <row r="296" spans="2:7">
      <c r="B296" s="44">
        <v>124</v>
      </c>
      <c r="C296" s="39" t="s">
        <v>43</v>
      </c>
      <c r="D296" s="39"/>
      <c r="E296" s="56"/>
      <c r="F296" s="57"/>
      <c r="G296" s="52"/>
    </row>
    <row r="297" spans="2:7">
      <c r="B297" s="44"/>
      <c r="C297" s="48" t="s">
        <v>44</v>
      </c>
      <c r="D297" s="48"/>
      <c r="E297" s="49">
        <v>0</v>
      </c>
      <c r="F297" s="50">
        <v>0</v>
      </c>
      <c r="G297" s="52"/>
    </row>
    <row r="298" spans="2:7">
      <c r="B298" s="44"/>
      <c r="C298" s="48" t="s">
        <v>45</v>
      </c>
      <c r="D298" s="48"/>
      <c r="E298" s="49">
        <v>2102.8361890909068</v>
      </c>
      <c r="F298" s="50">
        <v>2102.8361890909068</v>
      </c>
      <c r="G298" s="52"/>
    </row>
    <row r="299" spans="2:7">
      <c r="B299" s="44"/>
      <c r="C299" s="48" t="s">
        <v>46</v>
      </c>
      <c r="D299" s="48"/>
      <c r="E299" s="49">
        <v>0</v>
      </c>
      <c r="F299" s="50">
        <v>0</v>
      </c>
      <c r="G299" s="52"/>
    </row>
    <row r="300" spans="2:7">
      <c r="B300" s="44"/>
      <c r="C300" s="53" t="s">
        <v>26</v>
      </c>
      <c r="D300" s="53"/>
      <c r="E300" s="36">
        <v>2102.8361890909068</v>
      </c>
      <c r="F300" s="54">
        <v>2102.8361890909068</v>
      </c>
      <c r="G300" s="52"/>
    </row>
    <row r="301" spans="2:7">
      <c r="B301" s="44">
        <v>125</v>
      </c>
      <c r="C301" s="39" t="s">
        <v>47</v>
      </c>
      <c r="D301" s="39"/>
      <c r="E301" s="36"/>
      <c r="F301" s="50"/>
      <c r="G301" s="52"/>
    </row>
    <row r="302" spans="2:7">
      <c r="B302" s="44"/>
      <c r="C302" s="48" t="s">
        <v>48</v>
      </c>
      <c r="D302" s="48"/>
      <c r="E302" s="58">
        <v>0</v>
      </c>
      <c r="F302" s="50">
        <v>0</v>
      </c>
      <c r="G302" s="52"/>
    </row>
    <row r="303" spans="2:7">
      <c r="B303" s="44"/>
      <c r="C303" s="48" t="s">
        <v>49</v>
      </c>
      <c r="D303" s="48"/>
      <c r="E303" s="58">
        <v>0</v>
      </c>
      <c r="F303" s="50">
        <v>0</v>
      </c>
      <c r="G303" s="52"/>
    </row>
    <row r="304" spans="2:7">
      <c r="B304" s="44"/>
      <c r="C304" s="48" t="s">
        <v>50</v>
      </c>
      <c r="D304" s="48"/>
      <c r="E304" s="58">
        <v>881.83453090909018</v>
      </c>
      <c r="F304" s="50">
        <v>881.83453090909018</v>
      </c>
      <c r="G304" s="52"/>
    </row>
    <row r="305" spans="2:7">
      <c r="B305" s="44"/>
      <c r="C305" s="48" t="s">
        <v>51</v>
      </c>
      <c r="D305" s="48"/>
      <c r="E305" s="58">
        <v>0</v>
      </c>
      <c r="F305" s="50">
        <v>0</v>
      </c>
      <c r="G305" s="52"/>
    </row>
    <row r="306" spans="2:7">
      <c r="B306" s="44"/>
      <c r="C306" s="53" t="s">
        <v>26</v>
      </c>
      <c r="D306" s="53"/>
      <c r="E306" s="56">
        <v>881.83453090909018</v>
      </c>
      <c r="F306" s="54">
        <v>881.83453090909018</v>
      </c>
      <c r="G306" s="52"/>
    </row>
    <row r="307" spans="2:7">
      <c r="B307" s="44">
        <v>126</v>
      </c>
      <c r="C307" s="39" t="s">
        <v>52</v>
      </c>
      <c r="D307" s="39"/>
      <c r="E307" s="56"/>
      <c r="F307" s="50"/>
      <c r="G307" s="52"/>
    </row>
    <row r="308" spans="2:7">
      <c r="B308" s="44"/>
      <c r="C308" s="48" t="s">
        <v>53</v>
      </c>
      <c r="D308" s="48"/>
      <c r="E308" s="49">
        <v>0</v>
      </c>
      <c r="F308" s="50">
        <v>0</v>
      </c>
      <c r="G308" s="52"/>
    </row>
    <row r="309" spans="2:7">
      <c r="B309" s="44"/>
      <c r="C309" s="48" t="s">
        <v>54</v>
      </c>
      <c r="D309" s="48"/>
      <c r="E309" s="49">
        <v>0</v>
      </c>
      <c r="F309" s="50"/>
      <c r="G309" s="52"/>
    </row>
    <row r="310" spans="2:7">
      <c r="B310" s="44"/>
      <c r="C310" s="48" t="s">
        <v>55</v>
      </c>
      <c r="D310" s="48"/>
      <c r="E310" s="49">
        <v>0</v>
      </c>
      <c r="F310" s="50"/>
      <c r="G310" s="52"/>
    </row>
    <row r="311" spans="2:7">
      <c r="B311" s="44"/>
      <c r="C311" s="48" t="s">
        <v>56</v>
      </c>
      <c r="D311" s="48"/>
      <c r="E311" s="49">
        <v>0</v>
      </c>
      <c r="F311" s="57"/>
      <c r="G311" s="52"/>
    </row>
    <row r="312" spans="2:7">
      <c r="B312" s="44"/>
      <c r="C312" s="53" t="s">
        <v>26</v>
      </c>
      <c r="D312" s="53"/>
      <c r="E312" s="56">
        <v>0</v>
      </c>
      <c r="F312" s="54">
        <v>0</v>
      </c>
      <c r="G312" s="52"/>
    </row>
    <row r="313" spans="2:7">
      <c r="B313" s="44">
        <v>127</v>
      </c>
      <c r="C313" s="39" t="s">
        <v>57</v>
      </c>
      <c r="D313" s="39"/>
      <c r="E313" s="56"/>
      <c r="F313" s="54"/>
      <c r="G313" s="52"/>
    </row>
    <row r="314" spans="2:7">
      <c r="B314" s="44"/>
      <c r="C314" s="48" t="s">
        <v>58</v>
      </c>
      <c r="D314" s="48"/>
      <c r="E314" s="49">
        <v>0</v>
      </c>
      <c r="F314" s="50">
        <v>0</v>
      </c>
      <c r="G314" s="52"/>
    </row>
    <row r="315" spans="2:7">
      <c r="B315" s="44"/>
      <c r="C315" s="48" t="s">
        <v>59</v>
      </c>
      <c r="D315" s="48"/>
      <c r="E315" s="49">
        <v>0</v>
      </c>
      <c r="F315" s="50">
        <v>0</v>
      </c>
      <c r="G315" s="52"/>
    </row>
    <row r="316" spans="2:7">
      <c r="B316" s="44"/>
      <c r="C316" s="48" t="s">
        <v>60</v>
      </c>
      <c r="D316" s="48"/>
      <c r="E316" s="49">
        <v>0</v>
      </c>
      <c r="F316" s="50">
        <v>0</v>
      </c>
      <c r="G316" s="52"/>
    </row>
    <row r="317" spans="2:7">
      <c r="B317" s="44"/>
      <c r="C317" s="59" t="s">
        <v>61</v>
      </c>
      <c r="D317" s="59"/>
      <c r="E317" s="49">
        <v>0</v>
      </c>
      <c r="F317" s="50">
        <v>0</v>
      </c>
      <c r="G317" s="52"/>
    </row>
    <row r="318" spans="2:7">
      <c r="B318" s="44"/>
      <c r="C318" s="53" t="s">
        <v>26</v>
      </c>
      <c r="D318" s="53"/>
      <c r="E318" s="56">
        <v>0</v>
      </c>
      <c r="F318" s="54">
        <v>0</v>
      </c>
      <c r="G318" s="52"/>
    </row>
    <row r="319" spans="2:7">
      <c r="B319" s="44">
        <v>128</v>
      </c>
      <c r="C319" s="39" t="s">
        <v>62</v>
      </c>
      <c r="D319" s="39"/>
      <c r="E319" s="56"/>
      <c r="F319" s="54"/>
      <c r="G319" s="52"/>
    </row>
    <row r="320" spans="2:7">
      <c r="B320" s="44"/>
      <c r="C320" s="48" t="s">
        <v>63</v>
      </c>
      <c r="D320" s="48"/>
      <c r="E320" s="49">
        <v>0</v>
      </c>
      <c r="F320" s="50">
        <v>0</v>
      </c>
      <c r="G320" s="52"/>
    </row>
    <row r="321" spans="2:7">
      <c r="B321" s="44"/>
      <c r="C321" s="48" t="s">
        <v>64</v>
      </c>
      <c r="D321" s="48"/>
      <c r="E321" s="49">
        <v>0</v>
      </c>
      <c r="F321" s="50">
        <v>0</v>
      </c>
      <c r="G321" s="52"/>
    </row>
    <row r="322" spans="2:7">
      <c r="B322" s="44"/>
      <c r="C322" s="48" t="s">
        <v>65</v>
      </c>
      <c r="D322" s="48"/>
      <c r="E322" s="49">
        <v>0</v>
      </c>
      <c r="F322" s="50">
        <v>0</v>
      </c>
      <c r="G322" s="52"/>
    </row>
    <row r="323" spans="2:7">
      <c r="B323" s="44"/>
      <c r="C323" s="48" t="s">
        <v>66</v>
      </c>
      <c r="D323" s="48"/>
      <c r="E323" s="49">
        <v>0</v>
      </c>
      <c r="F323" s="50">
        <v>0</v>
      </c>
      <c r="G323" s="52"/>
    </row>
    <row r="324" spans="2:7">
      <c r="B324" s="44"/>
      <c r="C324" s="48" t="s">
        <v>67</v>
      </c>
      <c r="D324" s="48"/>
      <c r="E324" s="49">
        <v>0</v>
      </c>
      <c r="F324" s="50">
        <v>0</v>
      </c>
      <c r="G324" s="52"/>
    </row>
    <row r="325" spans="2:7">
      <c r="B325" s="44"/>
      <c r="C325" s="53" t="s">
        <v>26</v>
      </c>
      <c r="D325" s="53"/>
      <c r="E325" s="56">
        <v>0</v>
      </c>
      <c r="F325" s="54">
        <v>0</v>
      </c>
      <c r="G325" s="52"/>
    </row>
    <row r="326" spans="2:7">
      <c r="B326" s="44">
        <v>135</v>
      </c>
      <c r="C326" s="39" t="s">
        <v>68</v>
      </c>
      <c r="D326" s="39"/>
      <c r="E326" s="56"/>
      <c r="F326" s="50"/>
      <c r="G326" s="52"/>
    </row>
    <row r="327" spans="2:7">
      <c r="B327" s="44"/>
      <c r="C327" s="48" t="s">
        <v>69</v>
      </c>
      <c r="D327" s="48"/>
      <c r="E327" s="49">
        <v>0</v>
      </c>
      <c r="F327" s="50">
        <v>0</v>
      </c>
      <c r="G327" s="52"/>
    </row>
    <row r="328" spans="2:7">
      <c r="B328" s="44"/>
      <c r="C328" s="48" t="s">
        <v>70</v>
      </c>
      <c r="D328" s="48"/>
      <c r="E328" s="49">
        <v>0</v>
      </c>
      <c r="F328" s="50">
        <v>0</v>
      </c>
      <c r="G328" s="52"/>
    </row>
    <row r="329" spans="2:7">
      <c r="B329" s="44"/>
      <c r="C329" s="48" t="s">
        <v>71</v>
      </c>
      <c r="D329" s="48"/>
      <c r="E329" s="49">
        <v>0</v>
      </c>
      <c r="F329" s="50">
        <v>0</v>
      </c>
      <c r="G329" s="52"/>
    </row>
    <row r="330" spans="2:7">
      <c r="B330" s="44"/>
      <c r="C330" s="48" t="s">
        <v>72</v>
      </c>
      <c r="D330" s="48"/>
      <c r="E330" s="49">
        <v>0</v>
      </c>
      <c r="F330" s="50">
        <v>0</v>
      </c>
      <c r="G330" s="52"/>
    </row>
    <row r="331" spans="2:7">
      <c r="B331" s="44"/>
      <c r="C331" s="48" t="s">
        <v>73</v>
      </c>
      <c r="D331" s="48"/>
      <c r="E331" s="49">
        <v>0</v>
      </c>
      <c r="F331" s="50">
        <v>0</v>
      </c>
      <c r="G331" s="52"/>
    </row>
    <row r="332" spans="2:7">
      <c r="B332" s="44"/>
      <c r="C332" s="48" t="s">
        <v>74</v>
      </c>
      <c r="D332" s="48"/>
      <c r="E332" s="49">
        <v>0</v>
      </c>
      <c r="F332" s="50">
        <v>0</v>
      </c>
      <c r="G332" s="52"/>
    </row>
    <row r="333" spans="2:7">
      <c r="B333" s="44"/>
      <c r="C333" s="48" t="s">
        <v>75</v>
      </c>
      <c r="D333" s="48"/>
      <c r="E333" s="49">
        <v>0</v>
      </c>
      <c r="F333" s="50">
        <v>0</v>
      </c>
      <c r="G333" s="52"/>
    </row>
    <row r="334" spans="2:7">
      <c r="B334" s="44"/>
      <c r="C334" s="48" t="s">
        <v>76</v>
      </c>
      <c r="D334" s="48"/>
      <c r="E334" s="49">
        <v>0</v>
      </c>
      <c r="F334" s="50">
        <v>0</v>
      </c>
      <c r="G334" s="52"/>
    </row>
    <row r="335" spans="2:7">
      <c r="B335" s="44"/>
      <c r="C335" s="48" t="s">
        <v>77</v>
      </c>
      <c r="D335" s="48"/>
      <c r="E335" s="49">
        <v>0</v>
      </c>
      <c r="F335" s="50">
        <v>0</v>
      </c>
      <c r="G335" s="52"/>
    </row>
    <row r="336" spans="2:7">
      <c r="B336" s="44"/>
      <c r="C336" s="53" t="s">
        <v>26</v>
      </c>
      <c r="D336" s="53"/>
      <c r="E336" s="56">
        <v>0</v>
      </c>
      <c r="F336" s="54">
        <v>0</v>
      </c>
      <c r="G336" s="52"/>
    </row>
    <row r="337" spans="2:7">
      <c r="B337" s="44">
        <v>136</v>
      </c>
      <c r="C337" s="39" t="s">
        <v>78</v>
      </c>
      <c r="D337" s="39"/>
      <c r="E337" s="56"/>
      <c r="F337" s="50"/>
      <c r="G337" s="52"/>
    </row>
    <row r="338" spans="2:7">
      <c r="B338" s="44"/>
      <c r="C338" s="48" t="s">
        <v>79</v>
      </c>
      <c r="D338" s="48"/>
      <c r="E338" s="49">
        <v>0</v>
      </c>
      <c r="F338" s="50">
        <v>0</v>
      </c>
      <c r="G338" s="52"/>
    </row>
    <row r="339" spans="2:7">
      <c r="B339" s="44"/>
      <c r="C339" s="48" t="s">
        <v>80</v>
      </c>
      <c r="D339" s="48"/>
      <c r="E339" s="49">
        <v>0</v>
      </c>
      <c r="F339" s="50">
        <v>0</v>
      </c>
      <c r="G339" s="52"/>
    </row>
    <row r="340" spans="2:7">
      <c r="B340" s="44"/>
      <c r="C340" s="48" t="s">
        <v>81</v>
      </c>
      <c r="D340" s="48"/>
      <c r="E340" s="49">
        <v>0</v>
      </c>
      <c r="F340" s="50">
        <v>0</v>
      </c>
      <c r="G340" s="52"/>
    </row>
    <row r="341" spans="2:7">
      <c r="B341" s="44"/>
      <c r="C341" s="48" t="s">
        <v>82</v>
      </c>
      <c r="D341" s="48"/>
      <c r="E341" s="49">
        <v>0</v>
      </c>
      <c r="F341" s="50">
        <v>0</v>
      </c>
      <c r="G341" s="52"/>
    </row>
    <row r="342" spans="2:7">
      <c r="B342" s="44"/>
      <c r="C342" s="48" t="s">
        <v>83</v>
      </c>
      <c r="D342" s="48"/>
      <c r="E342" s="49">
        <v>0</v>
      </c>
      <c r="F342" s="50">
        <v>0</v>
      </c>
      <c r="G342" s="52"/>
    </row>
    <row r="343" spans="2:7">
      <c r="B343" s="44"/>
      <c r="C343" s="48" t="s">
        <v>84</v>
      </c>
      <c r="D343" s="48"/>
      <c r="E343" s="49">
        <v>0</v>
      </c>
      <c r="F343" s="50">
        <v>0</v>
      </c>
      <c r="G343" s="52"/>
    </row>
    <row r="344" spans="2:7">
      <c r="B344" s="44"/>
      <c r="C344" s="53" t="s">
        <v>26</v>
      </c>
      <c r="D344" s="53"/>
      <c r="E344" s="56">
        <v>0</v>
      </c>
      <c r="F344" s="54">
        <v>0</v>
      </c>
      <c r="G344" s="52"/>
    </row>
    <row r="345" spans="2:7">
      <c r="B345" s="44">
        <v>142</v>
      </c>
      <c r="C345" s="39" t="s">
        <v>85</v>
      </c>
      <c r="D345" s="39"/>
      <c r="E345" s="56"/>
      <c r="F345" s="50"/>
      <c r="G345" s="52"/>
    </row>
    <row r="346" spans="2:7">
      <c r="B346" s="44"/>
      <c r="C346" s="48" t="s">
        <v>86</v>
      </c>
      <c r="D346" s="48"/>
      <c r="E346" s="49">
        <v>0</v>
      </c>
      <c r="F346" s="50">
        <v>0</v>
      </c>
      <c r="G346" s="52"/>
    </row>
    <row r="347" spans="2:7">
      <c r="B347" s="44"/>
      <c r="C347" s="48" t="s">
        <v>87</v>
      </c>
      <c r="D347" s="48"/>
      <c r="E347" s="49">
        <v>0</v>
      </c>
      <c r="F347" s="50">
        <v>0</v>
      </c>
      <c r="G347" s="52"/>
    </row>
    <row r="348" spans="2:7">
      <c r="B348" s="44"/>
      <c r="C348" s="53" t="s">
        <v>26</v>
      </c>
      <c r="D348" s="53"/>
      <c r="E348" s="56">
        <v>0</v>
      </c>
      <c r="F348" s="54">
        <v>0</v>
      </c>
      <c r="G348" s="52"/>
    </row>
    <row r="349" spans="2:7">
      <c r="B349" s="44">
        <v>144</v>
      </c>
      <c r="C349" s="39" t="s">
        <v>88</v>
      </c>
      <c r="D349" s="39"/>
      <c r="E349" s="49">
        <v>0</v>
      </c>
      <c r="F349" s="54">
        <v>0</v>
      </c>
      <c r="G349" s="52"/>
    </row>
    <row r="350" spans="2:7">
      <c r="B350" s="44">
        <v>221</v>
      </c>
      <c r="C350" s="39" t="s">
        <v>89</v>
      </c>
      <c r="D350" s="39"/>
      <c r="E350" s="49">
        <v>0</v>
      </c>
      <c r="F350" s="54">
        <v>0</v>
      </c>
      <c r="G350" s="52"/>
    </row>
    <row r="351" spans="2:7">
      <c r="B351" s="44">
        <v>222</v>
      </c>
      <c r="C351" s="39" t="s">
        <v>90</v>
      </c>
      <c r="D351" s="39"/>
      <c r="E351" s="49">
        <v>0</v>
      </c>
      <c r="F351" s="54">
        <v>0</v>
      </c>
      <c r="G351" s="52"/>
    </row>
    <row r="352" spans="2:7">
      <c r="B352" s="44">
        <v>224</v>
      </c>
      <c r="C352" s="39" t="s">
        <v>91</v>
      </c>
      <c r="D352" s="39"/>
      <c r="E352" s="49">
        <v>0</v>
      </c>
      <c r="F352" s="54">
        <v>0</v>
      </c>
      <c r="G352" s="52"/>
    </row>
    <row r="353" spans="2:7">
      <c r="B353" s="44">
        <v>225</v>
      </c>
      <c r="C353" s="39" t="s">
        <v>92</v>
      </c>
      <c r="D353" s="39"/>
      <c r="E353" s="49">
        <v>0</v>
      </c>
      <c r="F353" s="54">
        <v>0</v>
      </c>
      <c r="G353" s="38"/>
    </row>
    <row r="354" spans="2:7">
      <c r="B354" s="44">
        <v>226</v>
      </c>
      <c r="C354" s="39" t="s">
        <v>93</v>
      </c>
      <c r="D354" s="39"/>
      <c r="E354" s="49">
        <v>0</v>
      </c>
      <c r="F354" s="54">
        <v>0</v>
      </c>
      <c r="G354" s="60"/>
    </row>
    <row r="355" spans="2:7" ht="15.75" thickBot="1">
      <c r="B355" s="61"/>
      <c r="C355" s="62" t="s">
        <v>94</v>
      </c>
      <c r="D355" s="62"/>
      <c r="E355" s="94">
        <v>0</v>
      </c>
      <c r="F355" s="63">
        <v>0</v>
      </c>
      <c r="G355" s="38"/>
    </row>
    <row r="356" spans="2:7">
      <c r="B356" s="64"/>
      <c r="C356" s="65" t="s">
        <v>95</v>
      </c>
      <c r="D356" s="66"/>
      <c r="E356" s="67">
        <v>6783.3425454545359</v>
      </c>
      <c r="F356" s="68">
        <v>6783.3425454545359</v>
      </c>
      <c r="G356" s="69"/>
    </row>
    <row r="357" spans="2:7" ht="15.75" thickBot="1">
      <c r="B357" s="64"/>
      <c r="C357" s="70"/>
      <c r="D357" s="71"/>
      <c r="E357" s="72"/>
      <c r="F357" s="73"/>
      <c r="G357" s="69"/>
    </row>
    <row r="358" spans="2:7" ht="15.75" thickBot="1">
      <c r="B358" s="64"/>
      <c r="C358" s="70" t="s">
        <v>96</v>
      </c>
      <c r="D358" s="71"/>
      <c r="E358" s="74">
        <v>11557.091775867782</v>
      </c>
      <c r="F358" s="75">
        <v>11557.091775867782</v>
      </c>
      <c r="G358" s="76"/>
    </row>
    <row r="359" spans="2:7" ht="8.25" customHeight="1" thickBot="1">
      <c r="B359" s="77"/>
      <c r="C359" s="81"/>
      <c r="D359" s="81"/>
      <c r="E359" s="78"/>
      <c r="F359" s="78"/>
      <c r="G359" s="79"/>
    </row>
    <row r="360" spans="2:7">
      <c r="B360" s="85"/>
      <c r="C360" s="84"/>
      <c r="D360" s="84"/>
      <c r="E360" s="85"/>
      <c r="F360" s="85"/>
      <c r="G360" s="85"/>
    </row>
    <row r="361" spans="2:7" ht="6" customHeight="1" thickBot="1"/>
    <row r="362" spans="2:7">
      <c r="B362" s="1"/>
      <c r="C362" s="2"/>
      <c r="D362" s="2"/>
      <c r="E362" s="2"/>
      <c r="F362" s="2"/>
      <c r="G362" s="3"/>
    </row>
    <row r="363" spans="2:7">
      <c r="B363" s="4"/>
      <c r="C363" s="5"/>
      <c r="D363" s="5"/>
      <c r="E363" s="5"/>
      <c r="F363" s="5"/>
      <c r="G363" s="6"/>
    </row>
    <row r="364" spans="2:7">
      <c r="B364" s="4"/>
      <c r="C364" s="5"/>
      <c r="D364" s="5"/>
      <c r="E364" s="5"/>
      <c r="F364" s="5"/>
      <c r="G364" s="6"/>
    </row>
    <row r="365" spans="2:7">
      <c r="B365" s="4"/>
      <c r="C365" s="5"/>
      <c r="D365" s="5"/>
      <c r="E365" s="5"/>
      <c r="F365" s="5"/>
      <c r="G365" s="6"/>
    </row>
    <row r="366" spans="2:7">
      <c r="B366" s="4"/>
      <c r="C366" s="5"/>
      <c r="D366" s="5"/>
      <c r="E366" s="5"/>
      <c r="F366" s="5"/>
      <c r="G366" s="6"/>
    </row>
    <row r="367" spans="2:7" ht="16.5" customHeight="1">
      <c r="B367" s="4"/>
      <c r="C367" s="5"/>
      <c r="D367" s="5"/>
      <c r="E367" s="5"/>
      <c r="F367" s="5"/>
      <c r="G367" s="6"/>
    </row>
    <row r="368" spans="2:7" ht="22.5" customHeight="1" thickBot="1">
      <c r="B368" s="4"/>
      <c r="C368" s="95" t="s">
        <v>0</v>
      </c>
      <c r="D368" s="95"/>
      <c r="E368" s="95"/>
      <c r="F368" s="5"/>
      <c r="G368" s="6"/>
    </row>
    <row r="369" spans="1:7" ht="21" thickTop="1">
      <c r="B369" s="4"/>
      <c r="C369" s="7"/>
      <c r="D369" s="7"/>
      <c r="E369" s="5"/>
      <c r="F369" s="5"/>
      <c r="G369" s="6"/>
    </row>
    <row r="370" spans="1:7">
      <c r="B370" s="8" t="s">
        <v>1</v>
      </c>
      <c r="C370" s="9" t="s">
        <v>97</v>
      </c>
      <c r="D370" s="5"/>
      <c r="E370" s="10" t="s">
        <v>2</v>
      </c>
      <c r="F370" s="9" t="s">
        <v>98</v>
      </c>
      <c r="G370" s="6"/>
    </row>
    <row r="371" spans="1:7" ht="3.75" customHeight="1">
      <c r="A371" s="80"/>
      <c r="B371" s="5"/>
      <c r="C371" s="5"/>
      <c r="D371" s="5"/>
      <c r="E371" s="11"/>
      <c r="F371" s="5"/>
      <c r="G371" s="6"/>
    </row>
    <row r="372" spans="1:7">
      <c r="A372" s="80"/>
      <c r="B372" s="12" t="s">
        <v>3</v>
      </c>
      <c r="C372" s="9" t="s">
        <v>99</v>
      </c>
      <c r="D372" s="5"/>
      <c r="E372" s="10" t="s">
        <v>4</v>
      </c>
      <c r="F372" s="82" t="s">
        <v>100</v>
      </c>
      <c r="G372" s="6"/>
    </row>
    <row r="373" spans="1:7" ht="3.75" customHeight="1">
      <c r="A373" s="80"/>
      <c r="B373" s="5"/>
      <c r="C373" s="5"/>
      <c r="D373" s="5"/>
      <c r="E373" s="11"/>
      <c r="F373" s="5"/>
      <c r="G373" s="6"/>
    </row>
    <row r="374" spans="1:7">
      <c r="A374" s="80"/>
      <c r="B374" s="10" t="s">
        <v>5</v>
      </c>
      <c r="C374" s="9" t="s">
        <v>101</v>
      </c>
      <c r="D374" s="5"/>
      <c r="E374" s="10" t="s">
        <v>6</v>
      </c>
      <c r="F374" s="9" t="s">
        <v>107</v>
      </c>
      <c r="G374" s="6"/>
    </row>
    <row r="375" spans="1:7" ht="4.5" customHeight="1">
      <c r="A375" s="80"/>
      <c r="B375" s="13"/>
      <c r="C375" s="5"/>
      <c r="D375" s="5"/>
      <c r="E375" s="11"/>
      <c r="F375" s="5"/>
      <c r="G375" s="6"/>
    </row>
    <row r="376" spans="1:7">
      <c r="A376" s="80"/>
      <c r="B376" s="10" t="s">
        <v>7</v>
      </c>
      <c r="C376" s="9" t="s">
        <v>119</v>
      </c>
      <c r="D376" s="5"/>
      <c r="E376" s="11"/>
      <c r="F376" s="5"/>
      <c r="G376" s="6"/>
    </row>
    <row r="377" spans="1:7" ht="3.75" customHeight="1">
      <c r="A377" s="80"/>
      <c r="B377" s="5"/>
      <c r="C377" s="5"/>
      <c r="D377" s="5"/>
      <c r="E377" s="11"/>
      <c r="F377" s="5"/>
      <c r="G377" s="6"/>
    </row>
    <row r="378" spans="1:7">
      <c r="B378" s="14" t="s">
        <v>8</v>
      </c>
      <c r="C378" s="15" t="s">
        <v>106</v>
      </c>
      <c r="D378" s="5"/>
      <c r="E378" s="86" t="s">
        <v>109</v>
      </c>
      <c r="F378" s="87">
        <v>45383</v>
      </c>
      <c r="G378" s="6"/>
    </row>
    <row r="379" spans="1:7">
      <c r="B379" s="16" t="s">
        <v>9</v>
      </c>
      <c r="C379" s="17" t="s">
        <v>130</v>
      </c>
      <c r="D379" s="5"/>
      <c r="E379" s="88" t="s">
        <v>110</v>
      </c>
      <c r="F379" s="89">
        <v>45412</v>
      </c>
      <c r="G379" s="18"/>
    </row>
    <row r="380" spans="1:7" ht="15.75" thickBot="1">
      <c r="B380" s="4"/>
      <c r="C380" s="19"/>
      <c r="D380" s="19"/>
      <c r="E380" s="20"/>
      <c r="F380" s="21"/>
      <c r="G380" s="18"/>
    </row>
    <row r="381" spans="1:7" ht="18.75" thickBot="1">
      <c r="B381" s="4"/>
      <c r="C381" s="22" t="s">
        <v>10</v>
      </c>
      <c r="D381" s="23"/>
      <c r="E381" s="24"/>
      <c r="F381" s="25" t="s">
        <v>11</v>
      </c>
      <c r="G381" s="18"/>
    </row>
    <row r="382" spans="1:7">
      <c r="B382" s="4"/>
      <c r="C382" s="26" t="s">
        <v>12</v>
      </c>
      <c r="D382" s="26"/>
      <c r="E382" s="27">
        <v>11557.091775867782</v>
      </c>
      <c r="F382" s="28">
        <v>11557.091775867782</v>
      </c>
      <c r="G382" s="29"/>
    </row>
    <row r="383" spans="1:7">
      <c r="B383" s="30">
        <v>143</v>
      </c>
      <c r="C383" s="31" t="s">
        <v>13</v>
      </c>
      <c r="D383" s="31"/>
      <c r="E383" s="27">
        <v>0</v>
      </c>
      <c r="F383" s="32">
        <v>0</v>
      </c>
      <c r="G383" s="33"/>
    </row>
    <row r="384" spans="1:7">
      <c r="B384" s="30"/>
      <c r="C384" s="34" t="s">
        <v>14</v>
      </c>
      <c r="D384" s="34"/>
      <c r="E384" s="27">
        <v>0</v>
      </c>
      <c r="F384" s="32">
        <v>0</v>
      </c>
      <c r="G384" s="33"/>
    </row>
    <row r="385" spans="2:7">
      <c r="B385" s="30"/>
      <c r="C385" s="34" t="s">
        <v>15</v>
      </c>
      <c r="D385" s="34"/>
      <c r="E385" s="27">
        <v>0</v>
      </c>
      <c r="F385" s="32">
        <v>0</v>
      </c>
      <c r="G385" s="33"/>
    </row>
    <row r="386" spans="2:7">
      <c r="B386" s="30"/>
      <c r="C386" s="34" t="s">
        <v>16</v>
      </c>
      <c r="D386" s="34"/>
      <c r="E386" s="27">
        <v>0</v>
      </c>
      <c r="F386" s="32">
        <v>0</v>
      </c>
      <c r="G386" s="33"/>
    </row>
    <row r="387" spans="2:7">
      <c r="B387" s="30"/>
      <c r="C387" s="34" t="s">
        <v>17</v>
      </c>
      <c r="D387" s="34"/>
      <c r="E387" s="27">
        <v>0</v>
      </c>
      <c r="F387" s="32">
        <v>0</v>
      </c>
      <c r="G387" s="33"/>
    </row>
    <row r="388" spans="2:7">
      <c r="B388" s="30"/>
      <c r="C388" s="35" t="s">
        <v>18</v>
      </c>
      <c r="D388" s="35"/>
      <c r="E388" s="36">
        <v>11557.091775867782</v>
      </c>
      <c r="F388" s="37">
        <v>11557.091775867782</v>
      </c>
      <c r="G388" s="38"/>
    </row>
    <row r="389" spans="2:7" ht="15.75" thickBot="1">
      <c r="B389" s="30"/>
      <c r="C389" s="39"/>
      <c r="D389" s="39"/>
      <c r="E389" s="40"/>
      <c r="F389" s="41"/>
      <c r="G389" s="38"/>
    </row>
    <row r="390" spans="2:7" ht="18.75" thickBot="1">
      <c r="B390" s="30"/>
      <c r="C390" s="22" t="s">
        <v>19</v>
      </c>
      <c r="D390" s="23"/>
      <c r="E390" s="42"/>
      <c r="F390" s="43"/>
      <c r="G390" s="38"/>
    </row>
    <row r="391" spans="2:7">
      <c r="B391" s="44">
        <v>121</v>
      </c>
      <c r="C391" s="39" t="s">
        <v>20</v>
      </c>
      <c r="D391" s="39"/>
      <c r="E391" s="45"/>
      <c r="F391" s="46"/>
      <c r="G391" s="47"/>
    </row>
    <row r="392" spans="2:7">
      <c r="B392" s="44"/>
      <c r="C392" s="48" t="s">
        <v>21</v>
      </c>
      <c r="D392" s="48"/>
      <c r="E392" s="49">
        <v>0</v>
      </c>
      <c r="F392" s="50">
        <v>0</v>
      </c>
      <c r="G392" s="47"/>
    </row>
    <row r="393" spans="2:7">
      <c r="B393" s="44"/>
      <c r="C393" s="48" t="s">
        <v>22</v>
      </c>
      <c r="D393" s="48"/>
      <c r="E393" s="49">
        <v>0</v>
      </c>
      <c r="F393" s="50">
        <v>0</v>
      </c>
      <c r="G393" s="47"/>
    </row>
    <row r="394" spans="2:7">
      <c r="B394" s="51"/>
      <c r="C394" s="48" t="s">
        <v>23</v>
      </c>
      <c r="D394" s="48"/>
      <c r="E394" s="49">
        <v>0</v>
      </c>
      <c r="F394" s="50">
        <v>0</v>
      </c>
      <c r="G394" s="52"/>
    </row>
    <row r="395" spans="2:7">
      <c r="B395" s="51"/>
      <c r="C395" s="48" t="s">
        <v>24</v>
      </c>
      <c r="D395" s="48"/>
      <c r="E395" s="49">
        <v>0</v>
      </c>
      <c r="F395" s="50">
        <v>0</v>
      </c>
      <c r="G395" s="52"/>
    </row>
    <row r="396" spans="2:7">
      <c r="B396" s="44"/>
      <c r="C396" s="48" t="s">
        <v>25</v>
      </c>
      <c r="D396" s="48"/>
      <c r="E396" s="49">
        <v>0</v>
      </c>
      <c r="F396" s="50">
        <v>0</v>
      </c>
      <c r="G396" s="52"/>
    </row>
    <row r="397" spans="2:7">
      <c r="B397" s="44"/>
      <c r="C397" s="53" t="s">
        <v>26</v>
      </c>
      <c r="D397" s="53"/>
      <c r="E397" s="36">
        <v>0</v>
      </c>
      <c r="F397" s="54">
        <v>0</v>
      </c>
      <c r="G397" s="52"/>
    </row>
    <row r="398" spans="2:7">
      <c r="B398" s="44">
        <v>122</v>
      </c>
      <c r="C398" s="39" t="s">
        <v>27</v>
      </c>
      <c r="D398" s="39"/>
      <c r="E398" s="36"/>
      <c r="F398" s="50"/>
      <c r="G398" s="55"/>
    </row>
    <row r="399" spans="2:7">
      <c r="B399" s="44"/>
      <c r="C399" s="48" t="s">
        <v>28</v>
      </c>
      <c r="D399" s="48"/>
      <c r="E399" s="49">
        <v>0</v>
      </c>
      <c r="F399" s="50">
        <v>0</v>
      </c>
      <c r="G399" s="52"/>
    </row>
    <row r="400" spans="2:7">
      <c r="B400" s="44"/>
      <c r="C400" s="48" t="s">
        <v>29</v>
      </c>
      <c r="D400" s="48"/>
      <c r="E400" s="49">
        <v>0</v>
      </c>
      <c r="F400" s="50">
        <v>0</v>
      </c>
      <c r="G400" s="52"/>
    </row>
    <row r="401" spans="2:7">
      <c r="B401" s="44"/>
      <c r="C401" s="48" t="s">
        <v>30</v>
      </c>
      <c r="D401" s="48"/>
      <c r="E401" s="49">
        <v>0</v>
      </c>
      <c r="F401" s="50">
        <v>0</v>
      </c>
      <c r="G401" s="52"/>
    </row>
    <row r="402" spans="2:7">
      <c r="B402" s="44"/>
      <c r="C402" s="48" t="s">
        <v>31</v>
      </c>
      <c r="D402" s="48"/>
      <c r="E402" s="49">
        <v>0</v>
      </c>
      <c r="F402" s="50">
        <v>0</v>
      </c>
      <c r="G402" s="52"/>
    </row>
    <row r="403" spans="2:7">
      <c r="B403" s="44"/>
      <c r="C403" s="48" t="s">
        <v>32</v>
      </c>
      <c r="D403" s="48"/>
      <c r="E403" s="49">
        <v>0</v>
      </c>
      <c r="F403" s="50">
        <v>0</v>
      </c>
      <c r="G403" s="52"/>
    </row>
    <row r="404" spans="2:7">
      <c r="B404" s="44"/>
      <c r="C404" s="48" t="s">
        <v>33</v>
      </c>
      <c r="D404" s="48"/>
      <c r="E404" s="49">
        <v>0</v>
      </c>
      <c r="F404" s="50">
        <v>0</v>
      </c>
      <c r="G404" s="52"/>
    </row>
    <row r="405" spans="2:7">
      <c r="B405" s="44"/>
      <c r="C405" s="48" t="s">
        <v>34</v>
      </c>
      <c r="D405" s="48"/>
      <c r="E405" s="49">
        <v>0</v>
      </c>
      <c r="F405" s="50">
        <v>0</v>
      </c>
      <c r="G405" s="52"/>
    </row>
    <row r="406" spans="2:7">
      <c r="B406" s="44"/>
      <c r="C406" s="48" t="s">
        <v>35</v>
      </c>
      <c r="D406" s="48"/>
      <c r="E406" s="49">
        <v>0</v>
      </c>
      <c r="F406" s="50">
        <v>0</v>
      </c>
      <c r="G406" s="52"/>
    </row>
    <row r="407" spans="2:7">
      <c r="B407" s="44"/>
      <c r="C407" s="53" t="s">
        <v>26</v>
      </c>
      <c r="D407" s="53"/>
      <c r="E407" s="36">
        <v>0</v>
      </c>
      <c r="F407" s="54">
        <v>0</v>
      </c>
      <c r="G407" s="52"/>
    </row>
    <row r="408" spans="2:7">
      <c r="B408" s="44">
        <v>123</v>
      </c>
      <c r="C408" s="39" t="s">
        <v>36</v>
      </c>
      <c r="D408" s="39"/>
      <c r="E408" s="56"/>
      <c r="F408" s="57"/>
      <c r="G408" s="52"/>
    </row>
    <row r="409" spans="2:7">
      <c r="B409" s="44"/>
      <c r="C409" s="48" t="s">
        <v>37</v>
      </c>
      <c r="D409" s="48"/>
      <c r="E409" s="49">
        <v>0</v>
      </c>
      <c r="F409" s="50">
        <v>0</v>
      </c>
      <c r="G409" s="52"/>
    </row>
    <row r="410" spans="2:7">
      <c r="B410" s="44"/>
      <c r="C410" s="48" t="s">
        <v>38</v>
      </c>
      <c r="D410" s="48"/>
      <c r="E410" s="49">
        <v>0</v>
      </c>
      <c r="F410" s="50">
        <v>0</v>
      </c>
      <c r="G410" s="52"/>
    </row>
    <row r="411" spans="2:7">
      <c r="B411" s="44"/>
      <c r="C411" s="48" t="s">
        <v>39</v>
      </c>
      <c r="D411" s="48"/>
      <c r="E411" s="49">
        <v>0</v>
      </c>
      <c r="F411" s="50">
        <v>0</v>
      </c>
      <c r="G411" s="52"/>
    </row>
    <row r="412" spans="2:7">
      <c r="B412" s="44"/>
      <c r="C412" s="48" t="s">
        <v>40</v>
      </c>
      <c r="D412" s="48"/>
      <c r="E412" s="49">
        <v>0</v>
      </c>
      <c r="F412" s="50">
        <v>0</v>
      </c>
      <c r="G412" s="52"/>
    </row>
    <row r="413" spans="2:7">
      <c r="B413" s="44"/>
      <c r="C413" s="48" t="s">
        <v>41</v>
      </c>
      <c r="D413" s="48"/>
      <c r="E413" s="49">
        <v>0</v>
      </c>
      <c r="F413" s="50">
        <v>0</v>
      </c>
      <c r="G413" s="52"/>
    </row>
    <row r="414" spans="2:7">
      <c r="B414" s="44"/>
      <c r="C414" s="48" t="s">
        <v>42</v>
      </c>
      <c r="D414" s="48"/>
      <c r="E414" s="49">
        <v>0</v>
      </c>
      <c r="F414" s="50">
        <v>0</v>
      </c>
      <c r="G414" s="52"/>
    </row>
    <row r="415" spans="2:7">
      <c r="B415" s="44"/>
      <c r="C415" s="53" t="s">
        <v>26</v>
      </c>
      <c r="D415" s="53"/>
      <c r="E415" s="36">
        <v>0</v>
      </c>
      <c r="F415" s="54">
        <v>0</v>
      </c>
      <c r="G415" s="52"/>
    </row>
    <row r="416" spans="2:7">
      <c r="B416" s="44">
        <v>124</v>
      </c>
      <c r="C416" s="39" t="s">
        <v>43</v>
      </c>
      <c r="D416" s="39"/>
      <c r="E416" s="56"/>
      <c r="F416" s="57"/>
      <c r="G416" s="52"/>
    </row>
    <row r="417" spans="2:7">
      <c r="B417" s="44"/>
      <c r="C417" s="48" t="s">
        <v>44</v>
      </c>
      <c r="D417" s="48"/>
      <c r="E417" s="49">
        <v>0</v>
      </c>
      <c r="F417" s="50">
        <v>0</v>
      </c>
      <c r="G417" s="52"/>
    </row>
    <row r="418" spans="2:7">
      <c r="B418" s="44"/>
      <c r="C418" s="48" t="s">
        <v>45</v>
      </c>
      <c r="D418" s="48"/>
      <c r="E418" s="49">
        <v>0</v>
      </c>
      <c r="F418" s="50">
        <v>0</v>
      </c>
      <c r="G418" s="52"/>
    </row>
    <row r="419" spans="2:7">
      <c r="B419" s="44"/>
      <c r="C419" s="48" t="s">
        <v>46</v>
      </c>
      <c r="D419" s="48"/>
      <c r="E419" s="49">
        <v>0</v>
      </c>
      <c r="F419" s="50">
        <v>0</v>
      </c>
      <c r="G419" s="52"/>
    </row>
    <row r="420" spans="2:7">
      <c r="B420" s="44"/>
      <c r="C420" s="53" t="s">
        <v>26</v>
      </c>
      <c r="D420" s="53"/>
      <c r="E420" s="36">
        <v>0</v>
      </c>
      <c r="F420" s="54">
        <v>0</v>
      </c>
      <c r="G420" s="52"/>
    </row>
    <row r="421" spans="2:7">
      <c r="B421" s="44">
        <v>125</v>
      </c>
      <c r="C421" s="39" t="s">
        <v>47</v>
      </c>
      <c r="D421" s="39"/>
      <c r="E421" s="36"/>
      <c r="F421" s="50"/>
      <c r="G421" s="52"/>
    </row>
    <row r="422" spans="2:7">
      <c r="B422" s="44"/>
      <c r="C422" s="48" t="s">
        <v>48</v>
      </c>
      <c r="D422" s="48"/>
      <c r="E422" s="58">
        <v>0</v>
      </c>
      <c r="F422" s="50">
        <v>0</v>
      </c>
      <c r="G422" s="52"/>
    </row>
    <row r="423" spans="2:7">
      <c r="B423" s="44"/>
      <c r="C423" s="48" t="s">
        <v>49</v>
      </c>
      <c r="D423" s="48"/>
      <c r="E423" s="58">
        <v>0</v>
      </c>
      <c r="F423" s="50">
        <v>0</v>
      </c>
      <c r="G423" s="52"/>
    </row>
    <row r="424" spans="2:7">
      <c r="B424" s="44"/>
      <c r="C424" s="48" t="s">
        <v>50</v>
      </c>
      <c r="D424" s="48"/>
      <c r="E424" s="58">
        <v>0</v>
      </c>
      <c r="F424" s="50">
        <v>0</v>
      </c>
      <c r="G424" s="52"/>
    </row>
    <row r="425" spans="2:7">
      <c r="B425" s="44"/>
      <c r="C425" s="48" t="s">
        <v>51</v>
      </c>
      <c r="D425" s="48"/>
      <c r="E425" s="58">
        <v>0</v>
      </c>
      <c r="F425" s="50">
        <v>0</v>
      </c>
      <c r="G425" s="52"/>
    </row>
    <row r="426" spans="2:7">
      <c r="B426" s="44"/>
      <c r="C426" s="53" t="s">
        <v>26</v>
      </c>
      <c r="D426" s="53"/>
      <c r="E426" s="56">
        <v>0</v>
      </c>
      <c r="F426" s="54">
        <v>0</v>
      </c>
      <c r="G426" s="52"/>
    </row>
    <row r="427" spans="2:7">
      <c r="B427" s="44">
        <v>126</v>
      </c>
      <c r="C427" s="39" t="s">
        <v>52</v>
      </c>
      <c r="D427" s="39"/>
      <c r="E427" s="56"/>
      <c r="F427" s="50"/>
      <c r="G427" s="52"/>
    </row>
    <row r="428" spans="2:7">
      <c r="B428" s="44"/>
      <c r="C428" s="48" t="s">
        <v>53</v>
      </c>
      <c r="D428" s="48"/>
      <c r="E428" s="49">
        <v>0</v>
      </c>
      <c r="F428" s="50">
        <v>0</v>
      </c>
      <c r="G428" s="52"/>
    </row>
    <row r="429" spans="2:7">
      <c r="B429" s="44"/>
      <c r="C429" s="48" t="s">
        <v>54</v>
      </c>
      <c r="D429" s="48"/>
      <c r="E429" s="49">
        <v>0</v>
      </c>
      <c r="F429" s="50"/>
      <c r="G429" s="52"/>
    </row>
    <row r="430" spans="2:7">
      <c r="B430" s="44"/>
      <c r="C430" s="48" t="s">
        <v>55</v>
      </c>
      <c r="D430" s="48"/>
      <c r="E430" s="49">
        <v>0</v>
      </c>
      <c r="F430" s="50"/>
      <c r="G430" s="52"/>
    </row>
    <row r="431" spans="2:7">
      <c r="B431" s="44"/>
      <c r="C431" s="48" t="s">
        <v>56</v>
      </c>
      <c r="D431" s="48"/>
      <c r="E431" s="49">
        <v>0</v>
      </c>
      <c r="F431" s="57"/>
      <c r="G431" s="52"/>
    </row>
    <row r="432" spans="2:7">
      <c r="B432" s="44"/>
      <c r="C432" s="53" t="s">
        <v>26</v>
      </c>
      <c r="D432" s="53"/>
      <c r="E432" s="56">
        <v>0</v>
      </c>
      <c r="F432" s="54">
        <v>0</v>
      </c>
      <c r="G432" s="52"/>
    </row>
    <row r="433" spans="2:7">
      <c r="B433" s="44">
        <v>127</v>
      </c>
      <c r="C433" s="39" t="s">
        <v>57</v>
      </c>
      <c r="D433" s="39"/>
      <c r="E433" s="56"/>
      <c r="F433" s="54"/>
      <c r="G433" s="52"/>
    </row>
    <row r="434" spans="2:7">
      <c r="B434" s="44"/>
      <c r="C434" s="48" t="s">
        <v>58</v>
      </c>
      <c r="D434" s="48"/>
      <c r="E434" s="49">
        <v>0</v>
      </c>
      <c r="F434" s="50">
        <v>0</v>
      </c>
      <c r="G434" s="52"/>
    </row>
    <row r="435" spans="2:7">
      <c r="B435" s="44"/>
      <c r="C435" s="48" t="s">
        <v>59</v>
      </c>
      <c r="D435" s="48"/>
      <c r="E435" s="49">
        <v>0</v>
      </c>
      <c r="F435" s="50">
        <v>0</v>
      </c>
      <c r="G435" s="52"/>
    </row>
    <row r="436" spans="2:7">
      <c r="B436" s="44"/>
      <c r="C436" s="48" t="s">
        <v>60</v>
      </c>
      <c r="D436" s="48"/>
      <c r="E436" s="49">
        <v>0</v>
      </c>
      <c r="F436" s="50">
        <v>0</v>
      </c>
      <c r="G436" s="52"/>
    </row>
    <row r="437" spans="2:7">
      <c r="B437" s="44"/>
      <c r="C437" s="59" t="s">
        <v>61</v>
      </c>
      <c r="D437" s="59"/>
      <c r="E437" s="49">
        <v>0</v>
      </c>
      <c r="F437" s="50">
        <v>0</v>
      </c>
      <c r="G437" s="52"/>
    </row>
    <row r="438" spans="2:7">
      <c r="B438" s="44"/>
      <c r="C438" s="53" t="s">
        <v>26</v>
      </c>
      <c r="D438" s="53"/>
      <c r="E438" s="56">
        <v>0</v>
      </c>
      <c r="F438" s="54">
        <v>0</v>
      </c>
      <c r="G438" s="52"/>
    </row>
    <row r="439" spans="2:7">
      <c r="B439" s="44">
        <v>128</v>
      </c>
      <c r="C439" s="39" t="s">
        <v>62</v>
      </c>
      <c r="D439" s="39"/>
      <c r="E439" s="56"/>
      <c r="F439" s="54"/>
      <c r="G439" s="52"/>
    </row>
    <row r="440" spans="2:7">
      <c r="B440" s="44"/>
      <c r="C440" s="48" t="s">
        <v>63</v>
      </c>
      <c r="D440" s="48"/>
      <c r="E440" s="49">
        <v>0</v>
      </c>
      <c r="F440" s="50">
        <v>0</v>
      </c>
      <c r="G440" s="52"/>
    </row>
    <row r="441" spans="2:7">
      <c r="B441" s="44"/>
      <c r="C441" s="48" t="s">
        <v>64</v>
      </c>
      <c r="D441" s="48"/>
      <c r="E441" s="49">
        <v>0</v>
      </c>
      <c r="F441" s="50">
        <v>0</v>
      </c>
      <c r="G441" s="52"/>
    </row>
    <row r="442" spans="2:7">
      <c r="B442" s="44"/>
      <c r="C442" s="48" t="s">
        <v>65</v>
      </c>
      <c r="D442" s="48"/>
      <c r="E442" s="49">
        <v>0</v>
      </c>
      <c r="F442" s="50">
        <v>0</v>
      </c>
      <c r="G442" s="52"/>
    </row>
    <row r="443" spans="2:7">
      <c r="B443" s="44"/>
      <c r="C443" s="48" t="s">
        <v>66</v>
      </c>
      <c r="D443" s="48"/>
      <c r="E443" s="49">
        <v>0</v>
      </c>
      <c r="F443" s="50">
        <v>0</v>
      </c>
      <c r="G443" s="52"/>
    </row>
    <row r="444" spans="2:7">
      <c r="B444" s="44"/>
      <c r="C444" s="48" t="s">
        <v>67</v>
      </c>
      <c r="D444" s="48"/>
      <c r="E444" s="49">
        <v>0</v>
      </c>
      <c r="F444" s="50">
        <v>0</v>
      </c>
      <c r="G444" s="52"/>
    </row>
    <row r="445" spans="2:7">
      <c r="B445" s="44"/>
      <c r="C445" s="53" t="s">
        <v>26</v>
      </c>
      <c r="D445" s="53"/>
      <c r="E445" s="56">
        <v>0</v>
      </c>
      <c r="F445" s="54">
        <v>0</v>
      </c>
      <c r="G445" s="52"/>
    </row>
    <row r="446" spans="2:7">
      <c r="B446" s="44">
        <v>135</v>
      </c>
      <c r="C446" s="39" t="s">
        <v>68</v>
      </c>
      <c r="D446" s="39"/>
      <c r="E446" s="56"/>
      <c r="F446" s="50"/>
      <c r="G446" s="52"/>
    </row>
    <row r="447" spans="2:7">
      <c r="B447" s="44"/>
      <c r="C447" s="48" t="s">
        <v>69</v>
      </c>
      <c r="D447" s="48"/>
      <c r="E447" s="49">
        <v>0</v>
      </c>
      <c r="F447" s="50">
        <v>0</v>
      </c>
      <c r="G447" s="52"/>
    </row>
    <row r="448" spans="2:7">
      <c r="B448" s="44"/>
      <c r="C448" s="48" t="s">
        <v>70</v>
      </c>
      <c r="D448" s="48"/>
      <c r="E448" s="49">
        <v>0</v>
      </c>
      <c r="F448" s="50">
        <v>0</v>
      </c>
      <c r="G448" s="52"/>
    </row>
    <row r="449" spans="2:7">
      <c r="B449" s="44"/>
      <c r="C449" s="48" t="s">
        <v>71</v>
      </c>
      <c r="D449" s="48"/>
      <c r="E449" s="49">
        <v>0</v>
      </c>
      <c r="F449" s="50">
        <v>0</v>
      </c>
      <c r="G449" s="52"/>
    </row>
    <row r="450" spans="2:7">
      <c r="B450" s="44"/>
      <c r="C450" s="48" t="s">
        <v>72</v>
      </c>
      <c r="D450" s="48"/>
      <c r="E450" s="49">
        <v>0</v>
      </c>
      <c r="F450" s="50">
        <v>0</v>
      </c>
      <c r="G450" s="52"/>
    </row>
    <row r="451" spans="2:7">
      <c r="B451" s="44"/>
      <c r="C451" s="48" t="s">
        <v>73</v>
      </c>
      <c r="D451" s="48"/>
      <c r="E451" s="49">
        <v>0</v>
      </c>
      <c r="F451" s="50">
        <v>0</v>
      </c>
      <c r="G451" s="52"/>
    </row>
    <row r="452" spans="2:7">
      <c r="B452" s="44"/>
      <c r="C452" s="48" t="s">
        <v>74</v>
      </c>
      <c r="D452" s="48"/>
      <c r="E452" s="49">
        <v>0</v>
      </c>
      <c r="F452" s="50">
        <v>0</v>
      </c>
      <c r="G452" s="52"/>
    </row>
    <row r="453" spans="2:7">
      <c r="B453" s="44"/>
      <c r="C453" s="48" t="s">
        <v>75</v>
      </c>
      <c r="D453" s="48"/>
      <c r="E453" s="49">
        <v>0</v>
      </c>
      <c r="F453" s="50">
        <v>0</v>
      </c>
      <c r="G453" s="52"/>
    </row>
    <row r="454" spans="2:7">
      <c r="B454" s="44"/>
      <c r="C454" s="48" t="s">
        <v>76</v>
      </c>
      <c r="D454" s="48"/>
      <c r="E454" s="49">
        <v>0</v>
      </c>
      <c r="F454" s="50">
        <v>0</v>
      </c>
      <c r="G454" s="52"/>
    </row>
    <row r="455" spans="2:7">
      <c r="B455" s="44"/>
      <c r="C455" s="48" t="s">
        <v>77</v>
      </c>
      <c r="D455" s="48"/>
      <c r="E455" s="49">
        <v>0</v>
      </c>
      <c r="F455" s="50">
        <v>0</v>
      </c>
      <c r="G455" s="52"/>
    </row>
    <row r="456" spans="2:7">
      <c r="B456" s="44"/>
      <c r="C456" s="53" t="s">
        <v>26</v>
      </c>
      <c r="D456" s="53"/>
      <c r="E456" s="56">
        <v>0</v>
      </c>
      <c r="F456" s="54">
        <v>0</v>
      </c>
      <c r="G456" s="52"/>
    </row>
    <row r="457" spans="2:7">
      <c r="B457" s="44">
        <v>136</v>
      </c>
      <c r="C457" s="39" t="s">
        <v>78</v>
      </c>
      <c r="D457" s="39"/>
      <c r="E457" s="56"/>
      <c r="F457" s="50"/>
      <c r="G457" s="52"/>
    </row>
    <row r="458" spans="2:7">
      <c r="B458" s="44"/>
      <c r="C458" s="48" t="s">
        <v>79</v>
      </c>
      <c r="D458" s="48"/>
      <c r="E458" s="49">
        <v>0</v>
      </c>
      <c r="F458" s="50">
        <v>0</v>
      </c>
      <c r="G458" s="52"/>
    </row>
    <row r="459" spans="2:7">
      <c r="B459" s="44"/>
      <c r="C459" s="48" t="s">
        <v>80</v>
      </c>
      <c r="D459" s="48"/>
      <c r="E459" s="49">
        <v>0</v>
      </c>
      <c r="F459" s="50">
        <v>0</v>
      </c>
      <c r="G459" s="52"/>
    </row>
    <row r="460" spans="2:7">
      <c r="B460" s="44"/>
      <c r="C460" s="48" t="s">
        <v>81</v>
      </c>
      <c r="D460" s="48"/>
      <c r="E460" s="49">
        <v>0</v>
      </c>
      <c r="F460" s="50">
        <v>0</v>
      </c>
      <c r="G460" s="52"/>
    </row>
    <row r="461" spans="2:7">
      <c r="B461" s="44"/>
      <c r="C461" s="48" t="s">
        <v>82</v>
      </c>
      <c r="D461" s="48"/>
      <c r="E461" s="49">
        <v>0</v>
      </c>
      <c r="F461" s="50">
        <v>0</v>
      </c>
      <c r="G461" s="52"/>
    </row>
    <row r="462" spans="2:7">
      <c r="B462" s="44"/>
      <c r="C462" s="48" t="s">
        <v>83</v>
      </c>
      <c r="D462" s="48"/>
      <c r="E462" s="49">
        <v>0</v>
      </c>
      <c r="F462" s="50">
        <v>0</v>
      </c>
      <c r="G462" s="52"/>
    </row>
    <row r="463" spans="2:7">
      <c r="B463" s="44"/>
      <c r="C463" s="48" t="s">
        <v>84</v>
      </c>
      <c r="D463" s="48"/>
      <c r="E463" s="49">
        <v>0</v>
      </c>
      <c r="F463" s="50">
        <v>0</v>
      </c>
      <c r="G463" s="52"/>
    </row>
    <row r="464" spans="2:7">
      <c r="B464" s="44"/>
      <c r="C464" s="53" t="s">
        <v>26</v>
      </c>
      <c r="D464" s="53"/>
      <c r="E464" s="56">
        <v>0</v>
      </c>
      <c r="F464" s="54">
        <v>0</v>
      </c>
      <c r="G464" s="52"/>
    </row>
    <row r="465" spans="2:7">
      <c r="B465" s="44">
        <v>142</v>
      </c>
      <c r="C465" s="39" t="s">
        <v>85</v>
      </c>
      <c r="D465" s="39"/>
      <c r="E465" s="56"/>
      <c r="F465" s="50"/>
      <c r="G465" s="52"/>
    </row>
    <row r="466" spans="2:7">
      <c r="B466" s="44"/>
      <c r="C466" s="48" t="s">
        <v>86</v>
      </c>
      <c r="D466" s="48"/>
      <c r="E466" s="49">
        <v>0</v>
      </c>
      <c r="F466" s="50">
        <v>0</v>
      </c>
      <c r="G466" s="52"/>
    </row>
    <row r="467" spans="2:7">
      <c r="B467" s="44"/>
      <c r="C467" s="48" t="s">
        <v>87</v>
      </c>
      <c r="D467" s="48"/>
      <c r="E467" s="49">
        <v>0</v>
      </c>
      <c r="F467" s="50">
        <v>0</v>
      </c>
      <c r="G467" s="52"/>
    </row>
    <row r="468" spans="2:7">
      <c r="B468" s="44"/>
      <c r="C468" s="53" t="s">
        <v>26</v>
      </c>
      <c r="D468" s="53"/>
      <c r="E468" s="56">
        <v>0</v>
      </c>
      <c r="F468" s="54">
        <v>0</v>
      </c>
      <c r="G468" s="52"/>
    </row>
    <row r="469" spans="2:7">
      <c r="B469" s="44">
        <v>144</v>
      </c>
      <c r="C469" s="39" t="s">
        <v>88</v>
      </c>
      <c r="D469" s="39"/>
      <c r="E469" s="49">
        <v>0</v>
      </c>
      <c r="F469" s="54">
        <v>0</v>
      </c>
      <c r="G469" s="52"/>
    </row>
    <row r="470" spans="2:7">
      <c r="B470" s="44">
        <v>221</v>
      </c>
      <c r="C470" s="39" t="s">
        <v>89</v>
      </c>
      <c r="D470" s="39"/>
      <c r="E470" s="49">
        <v>0</v>
      </c>
      <c r="F470" s="54">
        <v>0</v>
      </c>
      <c r="G470" s="52"/>
    </row>
    <row r="471" spans="2:7">
      <c r="B471" s="44">
        <v>222</v>
      </c>
      <c r="C471" s="39" t="s">
        <v>90</v>
      </c>
      <c r="D471" s="39"/>
      <c r="E471" s="49">
        <v>0</v>
      </c>
      <c r="F471" s="54">
        <v>0</v>
      </c>
      <c r="G471" s="52"/>
    </row>
    <row r="472" spans="2:7">
      <c r="B472" s="44">
        <v>224</v>
      </c>
      <c r="C472" s="39" t="s">
        <v>91</v>
      </c>
      <c r="D472" s="39"/>
      <c r="E472" s="49">
        <v>0</v>
      </c>
      <c r="F472" s="54">
        <v>0</v>
      </c>
      <c r="G472" s="52"/>
    </row>
    <row r="473" spans="2:7">
      <c r="B473" s="44">
        <v>225</v>
      </c>
      <c r="C473" s="39" t="s">
        <v>92</v>
      </c>
      <c r="D473" s="39"/>
      <c r="E473" s="49">
        <v>0</v>
      </c>
      <c r="F473" s="54">
        <v>0</v>
      </c>
      <c r="G473" s="38"/>
    </row>
    <row r="474" spans="2:7">
      <c r="B474" s="44">
        <v>226</v>
      </c>
      <c r="C474" s="39" t="s">
        <v>93</v>
      </c>
      <c r="D474" s="39"/>
      <c r="E474" s="49">
        <v>0</v>
      </c>
      <c r="F474" s="54">
        <v>0</v>
      </c>
      <c r="G474" s="60"/>
    </row>
    <row r="475" spans="2:7" ht="15.75" thickBot="1">
      <c r="B475" s="61"/>
      <c r="C475" s="62" t="s">
        <v>94</v>
      </c>
      <c r="D475" s="62"/>
      <c r="E475" s="94">
        <v>0</v>
      </c>
      <c r="F475" s="63">
        <v>0</v>
      </c>
      <c r="G475" s="38"/>
    </row>
    <row r="476" spans="2:7">
      <c r="B476" s="64"/>
      <c r="C476" s="65" t="s">
        <v>95</v>
      </c>
      <c r="D476" s="66"/>
      <c r="E476" s="67">
        <v>0</v>
      </c>
      <c r="F476" s="68">
        <v>0</v>
      </c>
      <c r="G476" s="69"/>
    </row>
    <row r="477" spans="2:7" ht="15.75" thickBot="1">
      <c r="B477" s="64"/>
      <c r="C477" s="70"/>
      <c r="D477" s="71"/>
      <c r="E477" s="72"/>
      <c r="F477" s="73"/>
      <c r="G477" s="69"/>
    </row>
    <row r="478" spans="2:7" ht="15.75" thickBot="1">
      <c r="B478" s="64"/>
      <c r="C478" s="70" t="s">
        <v>96</v>
      </c>
      <c r="D478" s="71"/>
      <c r="E478" s="74">
        <v>11557.091775867782</v>
      </c>
      <c r="F478" s="75">
        <v>11557.091775867782</v>
      </c>
      <c r="G478" s="76"/>
    </row>
    <row r="479" spans="2:7" ht="8.25" customHeight="1" thickBot="1">
      <c r="B479" s="77"/>
      <c r="C479" s="81"/>
      <c r="D479" s="81"/>
      <c r="E479" s="78"/>
      <c r="F479" s="78"/>
      <c r="G479" s="79"/>
    </row>
    <row r="480" spans="2:7">
      <c r="B480" s="85"/>
      <c r="C480" s="84"/>
      <c r="D480" s="84"/>
      <c r="E480" s="85"/>
      <c r="F480" s="85"/>
      <c r="G480" s="85"/>
    </row>
  </sheetData>
  <mergeCells count="4">
    <mergeCell ref="C8:E8"/>
    <mergeCell ref="C128:E128"/>
    <mergeCell ref="C248:E248"/>
    <mergeCell ref="C368:E368"/>
  </mergeCells>
  <dataValidations count="1">
    <dataValidation type="list" allowBlank="1" showInputMessage="1" showErrorMessage="1" sqref="C136 C16 C256 C376" xr:uid="{3D4A3A53-A273-48E6-932A-FE9902085162}">
      <formula1>FacList</formula1>
    </dataValidation>
  </dataValidations>
  <hyperlinks>
    <hyperlink ref="F12" r:id="rId1" xr:uid="{14CA88DC-B9F1-4678-8903-86AAB355B6AC}"/>
    <hyperlink ref="F132" r:id="rId2" xr:uid="{ECC7F8D5-60AA-440C-8217-9E63BC49D2A4}"/>
    <hyperlink ref="F252" r:id="rId3" xr:uid="{4396F040-877D-4AAC-AD4D-7E328A44FF71}"/>
    <hyperlink ref="F372" r:id="rId4" xr:uid="{5F018DB8-D79E-413F-9B86-A7D1C6A40945}"/>
  </hyperlinks>
  <pageMargins left="0.7" right="0.7" top="0.75" bottom="0.75" header="0.3" footer="0.3"/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A31BD-E374-4DAC-A957-18621E467AC9}">
  <dimension ref="A1:G360"/>
  <sheetViews>
    <sheetView topLeftCell="C1" zoomScale="90" zoomScaleNormal="90" workbookViewId="0">
      <selection sqref="A1:XFD1048576"/>
    </sheetView>
  </sheetViews>
  <sheetFormatPr defaultColWidth="8.85546875" defaultRowHeight="15"/>
  <cols>
    <col min="1" max="1" width="1.140625" customWidth="1"/>
    <col min="2" max="2" width="27.42578125" customWidth="1"/>
    <col min="3" max="3" width="42.7109375" bestFit="1" customWidth="1"/>
    <col min="4" max="4" width="4" customWidth="1"/>
    <col min="5" max="5" width="25.42578125" customWidth="1"/>
    <col min="6" max="6" width="27.42578125" customWidth="1"/>
    <col min="7" max="7" width="4.7109375" customWidth="1"/>
  </cols>
  <sheetData>
    <row r="1" spans="1:7" ht="6" customHeight="1" thickBot="1"/>
    <row r="2" spans="1:7">
      <c r="B2" s="1"/>
      <c r="C2" s="2"/>
      <c r="D2" s="2"/>
      <c r="E2" s="2"/>
      <c r="F2" s="2"/>
      <c r="G2" s="3"/>
    </row>
    <row r="3" spans="1:7">
      <c r="B3" s="4"/>
      <c r="C3" s="5"/>
      <c r="D3" s="5"/>
      <c r="E3" s="5"/>
      <c r="F3" s="5"/>
      <c r="G3" s="6"/>
    </row>
    <row r="4" spans="1:7">
      <c r="B4" s="4"/>
      <c r="C4" s="5"/>
      <c r="D4" s="5"/>
      <c r="E4" s="5"/>
      <c r="F4" s="5"/>
      <c r="G4" s="6"/>
    </row>
    <row r="5" spans="1:7">
      <c r="B5" s="4"/>
      <c r="C5" s="5"/>
      <c r="D5" s="5"/>
      <c r="E5" s="5"/>
      <c r="F5" s="5"/>
      <c r="G5" s="6"/>
    </row>
    <row r="6" spans="1:7">
      <c r="B6" s="4"/>
      <c r="C6" s="5"/>
      <c r="D6" s="5"/>
      <c r="E6" s="5"/>
      <c r="F6" s="5"/>
      <c r="G6" s="6"/>
    </row>
    <row r="7" spans="1:7" ht="16.5" customHeight="1">
      <c r="B7" s="4"/>
      <c r="C7" s="5"/>
      <c r="D7" s="5"/>
      <c r="E7" s="5"/>
      <c r="F7" s="5"/>
      <c r="G7" s="6"/>
    </row>
    <row r="8" spans="1:7" ht="22.5" customHeight="1" thickBot="1">
      <c r="B8" s="4"/>
      <c r="C8" s="95" t="s">
        <v>0</v>
      </c>
      <c r="D8" s="95"/>
      <c r="E8" s="95"/>
      <c r="F8" s="5"/>
      <c r="G8" s="6"/>
    </row>
    <row r="9" spans="1:7" ht="21" thickTop="1">
      <c r="B9" s="4"/>
      <c r="C9" s="7"/>
      <c r="D9" s="7"/>
      <c r="E9" s="5"/>
      <c r="F9" s="5"/>
      <c r="G9" s="6"/>
    </row>
    <row r="10" spans="1:7">
      <c r="B10" s="8" t="s">
        <v>1</v>
      </c>
      <c r="C10" s="9" t="s">
        <v>97</v>
      </c>
      <c r="D10" s="5"/>
      <c r="E10" s="10" t="s">
        <v>2</v>
      </c>
      <c r="F10" s="9" t="s">
        <v>98</v>
      </c>
      <c r="G10" s="6"/>
    </row>
    <row r="11" spans="1:7" ht="3.75" customHeight="1">
      <c r="A11" s="80"/>
      <c r="B11" s="5"/>
      <c r="C11" s="5"/>
      <c r="D11" s="5"/>
      <c r="E11" s="11"/>
      <c r="F11" s="5"/>
      <c r="G11" s="6"/>
    </row>
    <row r="12" spans="1:7">
      <c r="A12" s="80"/>
      <c r="B12" s="12" t="s">
        <v>3</v>
      </c>
      <c r="C12" s="9" t="s">
        <v>99</v>
      </c>
      <c r="D12" s="5"/>
      <c r="E12" s="10" t="s">
        <v>4</v>
      </c>
      <c r="F12" s="82" t="s">
        <v>100</v>
      </c>
      <c r="G12" s="6"/>
    </row>
    <row r="13" spans="1:7" ht="3.75" customHeight="1">
      <c r="A13" s="80"/>
      <c r="B13" s="5"/>
      <c r="C13" s="5"/>
      <c r="D13" s="5"/>
      <c r="E13" s="11"/>
      <c r="F13" s="5"/>
      <c r="G13" s="6"/>
    </row>
    <row r="14" spans="1:7">
      <c r="A14" s="80"/>
      <c r="B14" s="10" t="s">
        <v>5</v>
      </c>
      <c r="C14" s="9" t="s">
        <v>101</v>
      </c>
      <c r="D14" s="5"/>
      <c r="E14" s="10" t="s">
        <v>6</v>
      </c>
      <c r="F14" s="9" t="s">
        <v>107</v>
      </c>
      <c r="G14" s="6"/>
    </row>
    <row r="15" spans="1:7" ht="4.5" customHeight="1">
      <c r="A15" s="80"/>
      <c r="B15" s="13"/>
      <c r="C15" s="5"/>
      <c r="D15" s="5"/>
      <c r="E15" s="11"/>
      <c r="F15" s="5"/>
      <c r="G15" s="6"/>
    </row>
    <row r="16" spans="1:7">
      <c r="A16" s="80"/>
      <c r="B16" s="10" t="s">
        <v>7</v>
      </c>
      <c r="C16" s="9" t="s">
        <v>120</v>
      </c>
      <c r="D16" s="5"/>
      <c r="E16" s="11"/>
      <c r="F16" s="5"/>
      <c r="G16" s="6"/>
    </row>
    <row r="17" spans="1:7" ht="3.75" customHeight="1">
      <c r="A17" s="80"/>
      <c r="B17" s="5"/>
      <c r="C17" s="5"/>
      <c r="D17" s="5"/>
      <c r="E17" s="11"/>
      <c r="F17" s="5"/>
      <c r="G17" s="6"/>
    </row>
    <row r="18" spans="1:7">
      <c r="B18" s="14" t="s">
        <v>8</v>
      </c>
      <c r="C18" s="15" t="s">
        <v>103</v>
      </c>
      <c r="D18" s="5"/>
      <c r="E18" s="86" t="s">
        <v>109</v>
      </c>
      <c r="F18" s="87">
        <v>45292</v>
      </c>
      <c r="G18" s="6"/>
    </row>
    <row r="19" spans="1:7">
      <c r="B19" s="16" t="s">
        <v>9</v>
      </c>
      <c r="C19" s="17" t="s">
        <v>130</v>
      </c>
      <c r="D19" s="5"/>
      <c r="E19" s="88" t="s">
        <v>110</v>
      </c>
      <c r="F19" s="89">
        <v>45322</v>
      </c>
      <c r="G19" s="18"/>
    </row>
    <row r="20" spans="1:7" ht="15.75" thickBot="1">
      <c r="B20" s="4"/>
      <c r="C20" s="19"/>
      <c r="D20" s="19"/>
      <c r="E20" s="20"/>
      <c r="F20" s="21"/>
      <c r="G20" s="18"/>
    </row>
    <row r="21" spans="1:7" ht="18.75" thickBot="1">
      <c r="B21" s="4"/>
      <c r="C21" s="22" t="s">
        <v>10</v>
      </c>
      <c r="D21" s="23"/>
      <c r="E21" s="24"/>
      <c r="F21" s="25" t="s">
        <v>11</v>
      </c>
      <c r="G21" s="18"/>
    </row>
    <row r="22" spans="1:7">
      <c r="B22" s="4"/>
      <c r="C22" s="26" t="s">
        <v>12</v>
      </c>
      <c r="D22" s="26"/>
      <c r="E22" s="27">
        <v>10709.59024859505</v>
      </c>
      <c r="F22" s="28">
        <v>10709.59024859505</v>
      </c>
      <c r="G22" s="29"/>
    </row>
    <row r="23" spans="1:7">
      <c r="B23" s="30">
        <v>143</v>
      </c>
      <c r="C23" s="31" t="s">
        <v>13</v>
      </c>
      <c r="D23" s="31"/>
      <c r="E23" s="27">
        <v>4578.6174545454505</v>
      </c>
      <c r="F23" s="32">
        <v>4578.6174545454505</v>
      </c>
      <c r="G23" s="33"/>
    </row>
    <row r="24" spans="1:7">
      <c r="B24" s="30"/>
      <c r="C24" s="34" t="s">
        <v>14</v>
      </c>
      <c r="D24" s="34"/>
      <c r="E24" s="27">
        <v>0</v>
      </c>
      <c r="F24" s="32">
        <v>0</v>
      </c>
      <c r="G24" s="33"/>
    </row>
    <row r="25" spans="1:7">
      <c r="B25" s="30"/>
      <c r="C25" s="34" t="s">
        <v>15</v>
      </c>
      <c r="D25" s="34"/>
      <c r="E25" s="27">
        <v>0</v>
      </c>
      <c r="F25" s="32">
        <v>0</v>
      </c>
      <c r="G25" s="33"/>
    </row>
    <row r="26" spans="1:7">
      <c r="B26" s="30"/>
      <c r="C26" s="34" t="s">
        <v>16</v>
      </c>
      <c r="D26" s="34"/>
      <c r="E26" s="27">
        <v>0</v>
      </c>
      <c r="F26" s="32">
        <v>0</v>
      </c>
      <c r="G26" s="33"/>
    </row>
    <row r="27" spans="1:7">
      <c r="B27" s="30"/>
      <c r="C27" s="34" t="s">
        <v>17</v>
      </c>
      <c r="D27" s="34"/>
      <c r="E27" s="27">
        <v>0</v>
      </c>
      <c r="F27" s="32">
        <v>0</v>
      </c>
      <c r="G27" s="33"/>
    </row>
    <row r="28" spans="1:7">
      <c r="B28" s="30"/>
      <c r="C28" s="35" t="s">
        <v>18</v>
      </c>
      <c r="D28" s="35"/>
      <c r="E28" s="36">
        <v>15288.207703140501</v>
      </c>
      <c r="F28" s="37">
        <v>15288.207703140501</v>
      </c>
      <c r="G28" s="38"/>
    </row>
    <row r="29" spans="1:7" ht="15.75" thickBot="1">
      <c r="B29" s="30"/>
      <c r="C29" s="39"/>
      <c r="D29" s="39"/>
      <c r="E29" s="40"/>
      <c r="F29" s="41"/>
      <c r="G29" s="38"/>
    </row>
    <row r="30" spans="1:7" ht="18.75" thickBot="1">
      <c r="B30" s="30"/>
      <c r="C30" s="22" t="s">
        <v>19</v>
      </c>
      <c r="D30" s="23"/>
      <c r="E30" s="42"/>
      <c r="F30" s="43"/>
      <c r="G30" s="38"/>
    </row>
    <row r="31" spans="1:7">
      <c r="B31" s="44">
        <v>121</v>
      </c>
      <c r="C31" s="39" t="s">
        <v>20</v>
      </c>
      <c r="D31" s="39"/>
      <c r="E31" s="45"/>
      <c r="F31" s="46"/>
      <c r="G31" s="47"/>
    </row>
    <row r="32" spans="1:7">
      <c r="B32" s="44"/>
      <c r="C32" s="48" t="s">
        <v>21</v>
      </c>
      <c r="D32" s="48"/>
      <c r="E32" s="49">
        <v>296.77123636363604</v>
      </c>
      <c r="F32" s="50">
        <v>296.77123636363604</v>
      </c>
      <c r="G32" s="47"/>
    </row>
    <row r="33" spans="2:7">
      <c r="B33" s="44"/>
      <c r="C33" s="48" t="s">
        <v>22</v>
      </c>
      <c r="D33" s="48"/>
      <c r="E33" s="49">
        <v>305.25041454545385</v>
      </c>
      <c r="F33" s="50">
        <v>305.25041454545385</v>
      </c>
      <c r="G33" s="47"/>
    </row>
    <row r="34" spans="2:7">
      <c r="B34" s="51"/>
      <c r="C34" s="48" t="s">
        <v>23</v>
      </c>
      <c r="D34" s="48"/>
      <c r="E34" s="49">
        <v>364.60466181818146</v>
      </c>
      <c r="F34" s="50">
        <v>364.60466181818146</v>
      </c>
      <c r="G34" s="52"/>
    </row>
    <row r="35" spans="2:7">
      <c r="B35" s="51"/>
      <c r="C35" s="48" t="s">
        <v>24</v>
      </c>
      <c r="D35" s="48"/>
      <c r="E35" s="49">
        <v>249.75033917355319</v>
      </c>
      <c r="F35" s="50">
        <v>249.75033917355319</v>
      </c>
      <c r="G35" s="52"/>
    </row>
    <row r="36" spans="2:7">
      <c r="B36" s="44"/>
      <c r="C36" s="48" t="s">
        <v>25</v>
      </c>
      <c r="D36" s="48"/>
      <c r="E36" s="49">
        <v>0</v>
      </c>
      <c r="F36" s="50">
        <v>0</v>
      </c>
      <c r="G36" s="52"/>
    </row>
    <row r="37" spans="2:7">
      <c r="B37" s="44"/>
      <c r="C37" s="53" t="s">
        <v>26</v>
      </c>
      <c r="D37" s="53"/>
      <c r="E37" s="36">
        <v>1216.3766519008245</v>
      </c>
      <c r="F37" s="54">
        <v>1216.3766519008245</v>
      </c>
      <c r="G37" s="52"/>
    </row>
    <row r="38" spans="2:7">
      <c r="B38" s="44">
        <v>122</v>
      </c>
      <c r="C38" s="39" t="s">
        <v>27</v>
      </c>
      <c r="D38" s="39"/>
      <c r="E38" s="36"/>
      <c r="F38" s="50"/>
      <c r="G38" s="55"/>
    </row>
    <row r="39" spans="2:7">
      <c r="B39" s="44"/>
      <c r="C39" s="48" t="s">
        <v>28</v>
      </c>
      <c r="D39" s="48"/>
      <c r="E39" s="49">
        <v>144.14602909090897</v>
      </c>
      <c r="F39" s="50">
        <v>144.14602909090897</v>
      </c>
      <c r="G39" s="52"/>
    </row>
    <row r="40" spans="2:7">
      <c r="B40" s="44"/>
      <c r="C40" s="48" t="s">
        <v>29</v>
      </c>
      <c r="D40" s="48"/>
      <c r="E40" s="49">
        <v>0</v>
      </c>
      <c r="F40" s="50">
        <v>0</v>
      </c>
      <c r="G40" s="52"/>
    </row>
    <row r="41" spans="2:7">
      <c r="B41" s="44"/>
      <c r="C41" s="48" t="s">
        <v>30</v>
      </c>
      <c r="D41" s="48"/>
      <c r="E41" s="49">
        <v>191.16692628099148</v>
      </c>
      <c r="F41" s="50">
        <v>191.16692628099148</v>
      </c>
      <c r="G41" s="52"/>
    </row>
    <row r="42" spans="2:7">
      <c r="B42" s="44"/>
      <c r="C42" s="48" t="s">
        <v>31</v>
      </c>
      <c r="D42" s="48"/>
      <c r="E42" s="49">
        <v>33.916712727272696</v>
      </c>
      <c r="F42" s="50">
        <v>33.916712727272696</v>
      </c>
      <c r="G42" s="52"/>
    </row>
    <row r="43" spans="2:7">
      <c r="B43" s="44"/>
      <c r="C43" s="48" t="s">
        <v>32</v>
      </c>
      <c r="D43" s="48"/>
      <c r="E43" s="49">
        <v>135.66685090909078</v>
      </c>
      <c r="F43" s="50">
        <v>135.66685090909078</v>
      </c>
      <c r="G43" s="52"/>
    </row>
    <row r="44" spans="2:7">
      <c r="B44" s="44"/>
      <c r="C44" s="48" t="s">
        <v>33</v>
      </c>
      <c r="D44" s="48"/>
      <c r="E44" s="49">
        <v>0</v>
      </c>
      <c r="F44" s="50">
        <v>0</v>
      </c>
      <c r="G44" s="52"/>
    </row>
    <row r="45" spans="2:7">
      <c r="B45" s="44"/>
      <c r="C45" s="48" t="s">
        <v>34</v>
      </c>
      <c r="D45" s="48"/>
      <c r="E45" s="49">
        <v>0</v>
      </c>
      <c r="F45" s="50">
        <v>0</v>
      </c>
      <c r="G45" s="52"/>
    </row>
    <row r="46" spans="2:7">
      <c r="B46" s="44"/>
      <c r="C46" s="48" t="s">
        <v>35</v>
      </c>
      <c r="D46" s="48"/>
      <c r="E46" s="49">
        <v>0</v>
      </c>
      <c r="F46" s="50">
        <v>0</v>
      </c>
      <c r="G46" s="52"/>
    </row>
    <row r="47" spans="2:7">
      <c r="B47" s="44"/>
      <c r="C47" s="53" t="s">
        <v>26</v>
      </c>
      <c r="D47" s="53"/>
      <c r="E47" s="36">
        <v>504.89651900826391</v>
      </c>
      <c r="F47" s="54">
        <v>504.89651900826391</v>
      </c>
      <c r="G47" s="52"/>
    </row>
    <row r="48" spans="2:7">
      <c r="B48" s="44">
        <v>123</v>
      </c>
      <c r="C48" s="39" t="s">
        <v>36</v>
      </c>
      <c r="D48" s="39"/>
      <c r="E48" s="56"/>
      <c r="F48" s="57"/>
      <c r="G48" s="52"/>
    </row>
    <row r="49" spans="2:7">
      <c r="B49" s="44"/>
      <c r="C49" s="48" t="s">
        <v>37</v>
      </c>
      <c r="D49" s="48"/>
      <c r="E49" s="49">
        <v>123.33350082644611</v>
      </c>
      <c r="F49" s="50">
        <v>123.33350082644611</v>
      </c>
      <c r="G49" s="52"/>
    </row>
    <row r="50" spans="2:7">
      <c r="B50" s="44"/>
      <c r="C50" s="48" t="s">
        <v>38</v>
      </c>
      <c r="D50" s="48"/>
      <c r="E50" s="49">
        <v>0</v>
      </c>
      <c r="F50" s="50">
        <v>0</v>
      </c>
      <c r="G50" s="52"/>
    </row>
    <row r="51" spans="2:7">
      <c r="B51" s="44"/>
      <c r="C51" s="48" t="s">
        <v>39</v>
      </c>
      <c r="D51" s="48"/>
      <c r="E51" s="49">
        <v>144.91686347107415</v>
      </c>
      <c r="F51" s="50">
        <v>144.91686347107415</v>
      </c>
      <c r="G51" s="52"/>
    </row>
    <row r="52" spans="2:7">
      <c r="B52" s="44"/>
      <c r="C52" s="48" t="s">
        <v>40</v>
      </c>
      <c r="D52" s="48"/>
      <c r="E52" s="49">
        <v>111.00015074380143</v>
      </c>
      <c r="F52" s="50">
        <v>111.00015074380143</v>
      </c>
      <c r="G52" s="52"/>
    </row>
    <row r="53" spans="2:7">
      <c r="B53" s="44"/>
      <c r="C53" s="48" t="s">
        <v>41</v>
      </c>
      <c r="D53" s="48"/>
      <c r="E53" s="49">
        <v>0</v>
      </c>
      <c r="F53" s="50">
        <v>0</v>
      </c>
      <c r="G53" s="52"/>
    </row>
    <row r="54" spans="2:7">
      <c r="B54" s="44"/>
      <c r="C54" s="48" t="s">
        <v>42</v>
      </c>
      <c r="D54" s="48"/>
      <c r="E54" s="49">
        <v>195.02109818181799</v>
      </c>
      <c r="F54" s="50">
        <v>195.02109818181799</v>
      </c>
      <c r="G54" s="52"/>
    </row>
    <row r="55" spans="2:7">
      <c r="B55" s="44"/>
      <c r="C55" s="53" t="s">
        <v>26</v>
      </c>
      <c r="D55" s="53"/>
      <c r="E55" s="36">
        <v>574.27161322313964</v>
      </c>
      <c r="F55" s="54">
        <v>574.27161322313964</v>
      </c>
      <c r="G55" s="52"/>
    </row>
    <row r="56" spans="2:7">
      <c r="B56" s="44">
        <v>124</v>
      </c>
      <c r="C56" s="39" t="s">
        <v>43</v>
      </c>
      <c r="D56" s="39"/>
      <c r="E56" s="56"/>
      <c r="F56" s="57"/>
      <c r="G56" s="52"/>
    </row>
    <row r="57" spans="2:7">
      <c r="B57" s="44"/>
      <c r="C57" s="48" t="s">
        <v>44</v>
      </c>
      <c r="D57" s="48"/>
      <c r="E57" s="49">
        <v>366.91716495867701</v>
      </c>
      <c r="F57" s="50">
        <v>366.91716495867701</v>
      </c>
      <c r="G57" s="52"/>
    </row>
    <row r="58" spans="2:7">
      <c r="B58" s="44"/>
      <c r="C58" s="48" t="s">
        <v>45</v>
      </c>
      <c r="D58" s="48"/>
      <c r="E58" s="49">
        <v>0</v>
      </c>
      <c r="F58" s="50">
        <v>0</v>
      </c>
      <c r="G58" s="52"/>
    </row>
    <row r="59" spans="2:7">
      <c r="B59" s="44"/>
      <c r="C59" s="48" t="s">
        <v>46</v>
      </c>
      <c r="D59" s="48"/>
      <c r="E59" s="49">
        <v>0</v>
      </c>
      <c r="F59" s="50">
        <v>0</v>
      </c>
      <c r="G59" s="52"/>
    </row>
    <row r="60" spans="2:7">
      <c r="B60" s="44"/>
      <c r="C60" s="53" t="s">
        <v>26</v>
      </c>
      <c r="D60" s="53"/>
      <c r="E60" s="36">
        <v>366.91716495867701</v>
      </c>
      <c r="F60" s="54">
        <v>366.91716495867701</v>
      </c>
      <c r="G60" s="52"/>
    </row>
    <row r="61" spans="2:7">
      <c r="B61" s="44">
        <v>125</v>
      </c>
      <c r="C61" s="39" t="s">
        <v>47</v>
      </c>
      <c r="D61" s="39"/>
      <c r="E61" s="36"/>
      <c r="F61" s="50"/>
      <c r="G61" s="52"/>
    </row>
    <row r="62" spans="2:7">
      <c r="B62" s="44"/>
      <c r="C62" s="48" t="s">
        <v>48</v>
      </c>
      <c r="D62" s="48"/>
      <c r="E62" s="58">
        <v>0</v>
      </c>
      <c r="F62" s="50">
        <v>0</v>
      </c>
      <c r="G62" s="52"/>
    </row>
    <row r="63" spans="2:7">
      <c r="B63" s="44"/>
      <c r="C63" s="48" t="s">
        <v>49</v>
      </c>
      <c r="D63" s="48"/>
      <c r="E63" s="58">
        <v>0</v>
      </c>
      <c r="F63" s="50">
        <v>0</v>
      </c>
      <c r="G63" s="52"/>
    </row>
    <row r="64" spans="2:7">
      <c r="B64" s="44"/>
      <c r="C64" s="48" t="s">
        <v>50</v>
      </c>
      <c r="D64" s="48"/>
      <c r="E64" s="58">
        <v>593.54247272727218</v>
      </c>
      <c r="F64" s="50">
        <v>593.54247272727218</v>
      </c>
      <c r="G64" s="52"/>
    </row>
    <row r="65" spans="2:7">
      <c r="B65" s="44"/>
      <c r="C65" s="48" t="s">
        <v>51</v>
      </c>
      <c r="D65" s="48"/>
      <c r="E65" s="58">
        <v>135.66685090909078</v>
      </c>
      <c r="F65" s="50">
        <v>135.66685090909078</v>
      </c>
      <c r="G65" s="52"/>
    </row>
    <row r="66" spans="2:7">
      <c r="B66" s="44"/>
      <c r="C66" s="53" t="s">
        <v>26</v>
      </c>
      <c r="D66" s="53"/>
      <c r="E66" s="56">
        <v>729.20932363636302</v>
      </c>
      <c r="F66" s="54">
        <v>729.20932363636302</v>
      </c>
      <c r="G66" s="52"/>
    </row>
    <row r="67" spans="2:7">
      <c r="B67" s="44">
        <v>126</v>
      </c>
      <c r="C67" s="39" t="s">
        <v>52</v>
      </c>
      <c r="D67" s="39"/>
      <c r="E67" s="56"/>
      <c r="F67" s="50"/>
      <c r="G67" s="52"/>
    </row>
    <row r="68" spans="2:7">
      <c r="B68" s="44"/>
      <c r="C68" s="48" t="s">
        <v>53</v>
      </c>
      <c r="D68" s="48"/>
      <c r="E68" s="49">
        <v>0</v>
      </c>
      <c r="F68" s="50">
        <v>0</v>
      </c>
      <c r="G68" s="52"/>
    </row>
    <row r="69" spans="2:7">
      <c r="B69" s="44"/>
      <c r="C69" s="48" t="s">
        <v>54</v>
      </c>
      <c r="D69" s="48"/>
      <c r="E69" s="49">
        <v>0</v>
      </c>
      <c r="F69" s="50"/>
      <c r="G69" s="52"/>
    </row>
    <row r="70" spans="2:7">
      <c r="B70" s="44"/>
      <c r="C70" s="48" t="s">
        <v>55</v>
      </c>
      <c r="D70" s="48"/>
      <c r="E70" s="49">
        <v>0</v>
      </c>
      <c r="F70" s="50"/>
      <c r="G70" s="52"/>
    </row>
    <row r="71" spans="2:7">
      <c r="B71" s="44"/>
      <c r="C71" s="48" t="s">
        <v>56</v>
      </c>
      <c r="D71" s="48"/>
      <c r="E71" s="49">
        <v>0</v>
      </c>
      <c r="F71" s="57"/>
      <c r="G71" s="52"/>
    </row>
    <row r="72" spans="2:7">
      <c r="B72" s="44"/>
      <c r="C72" s="53" t="s">
        <v>26</v>
      </c>
      <c r="D72" s="53"/>
      <c r="E72" s="56">
        <v>0</v>
      </c>
      <c r="F72" s="54">
        <v>0</v>
      </c>
      <c r="G72" s="52"/>
    </row>
    <row r="73" spans="2:7">
      <c r="B73" s="44">
        <v>127</v>
      </c>
      <c r="C73" s="39" t="s">
        <v>57</v>
      </c>
      <c r="D73" s="39"/>
      <c r="E73" s="56"/>
      <c r="F73" s="54"/>
      <c r="G73" s="52"/>
    </row>
    <row r="74" spans="2:7">
      <c r="B74" s="44"/>
      <c r="C74" s="48" t="s">
        <v>58</v>
      </c>
      <c r="D74" s="48"/>
      <c r="E74" s="49">
        <v>0</v>
      </c>
      <c r="F74" s="50">
        <v>0</v>
      </c>
      <c r="G74" s="52"/>
    </row>
    <row r="75" spans="2:7">
      <c r="B75" s="44"/>
      <c r="C75" s="48" t="s">
        <v>59</v>
      </c>
      <c r="D75" s="48"/>
      <c r="E75" s="49">
        <v>0</v>
      </c>
      <c r="F75" s="50">
        <v>0</v>
      </c>
      <c r="G75" s="52"/>
    </row>
    <row r="76" spans="2:7">
      <c r="B76" s="44"/>
      <c r="C76" s="48" t="s">
        <v>60</v>
      </c>
      <c r="D76" s="48"/>
      <c r="E76" s="49">
        <v>0</v>
      </c>
      <c r="F76" s="50">
        <v>0</v>
      </c>
      <c r="G76" s="52"/>
    </row>
    <row r="77" spans="2:7">
      <c r="B77" s="44"/>
      <c r="C77" s="59" t="s">
        <v>61</v>
      </c>
      <c r="D77" s="59"/>
      <c r="E77" s="49">
        <v>0</v>
      </c>
      <c r="F77" s="50">
        <v>0</v>
      </c>
      <c r="G77" s="52"/>
    </row>
    <row r="78" spans="2:7">
      <c r="B78" s="44"/>
      <c r="C78" s="53" t="s">
        <v>26</v>
      </c>
      <c r="D78" s="53"/>
      <c r="E78" s="56">
        <v>0</v>
      </c>
      <c r="F78" s="54">
        <v>0</v>
      </c>
      <c r="G78" s="52"/>
    </row>
    <row r="79" spans="2:7">
      <c r="B79" s="44">
        <v>128</v>
      </c>
      <c r="C79" s="39" t="s">
        <v>62</v>
      </c>
      <c r="D79" s="39"/>
      <c r="E79" s="56"/>
      <c r="F79" s="54"/>
      <c r="G79" s="52"/>
    </row>
    <row r="80" spans="2:7">
      <c r="B80" s="44"/>
      <c r="C80" s="48" t="s">
        <v>63</v>
      </c>
      <c r="D80" s="48"/>
      <c r="E80" s="49">
        <v>0</v>
      </c>
      <c r="F80" s="50">
        <v>0</v>
      </c>
      <c r="G80" s="52"/>
    </row>
    <row r="81" spans="2:7">
      <c r="B81" s="44"/>
      <c r="C81" s="48" t="s">
        <v>64</v>
      </c>
      <c r="D81" s="48"/>
      <c r="E81" s="49">
        <v>0</v>
      </c>
      <c r="F81" s="50">
        <v>0</v>
      </c>
      <c r="G81" s="52"/>
    </row>
    <row r="82" spans="2:7">
      <c r="B82" s="44"/>
      <c r="C82" s="48" t="s">
        <v>65</v>
      </c>
      <c r="D82" s="48"/>
      <c r="E82" s="49">
        <v>0</v>
      </c>
      <c r="F82" s="50">
        <v>0</v>
      </c>
      <c r="G82" s="52"/>
    </row>
    <row r="83" spans="2:7">
      <c r="B83" s="44"/>
      <c r="C83" s="48" t="s">
        <v>66</v>
      </c>
      <c r="D83" s="48"/>
      <c r="E83" s="49">
        <v>0</v>
      </c>
      <c r="F83" s="50">
        <v>0</v>
      </c>
      <c r="G83" s="52"/>
    </row>
    <row r="84" spans="2:7">
      <c r="B84" s="44"/>
      <c r="C84" s="48" t="s">
        <v>67</v>
      </c>
      <c r="D84" s="48"/>
      <c r="E84" s="49">
        <v>0</v>
      </c>
      <c r="F84" s="50">
        <v>0</v>
      </c>
      <c r="G84" s="52"/>
    </row>
    <row r="85" spans="2:7">
      <c r="B85" s="44"/>
      <c r="C85" s="53" t="s">
        <v>26</v>
      </c>
      <c r="D85" s="53"/>
      <c r="E85" s="56">
        <v>0</v>
      </c>
      <c r="F85" s="54">
        <v>0</v>
      </c>
      <c r="G85" s="52"/>
    </row>
    <row r="86" spans="2:7">
      <c r="B86" s="44">
        <v>135</v>
      </c>
      <c r="C86" s="39" t="s">
        <v>68</v>
      </c>
      <c r="D86" s="39"/>
      <c r="E86" s="56"/>
      <c r="F86" s="50"/>
      <c r="G86" s="52"/>
    </row>
    <row r="87" spans="2:7">
      <c r="B87" s="44"/>
      <c r="C87" s="48" t="s">
        <v>69</v>
      </c>
      <c r="D87" s="48"/>
      <c r="E87" s="49">
        <v>0</v>
      </c>
      <c r="F87" s="50">
        <v>0</v>
      </c>
      <c r="G87" s="52"/>
    </row>
    <row r="88" spans="2:7">
      <c r="B88" s="44"/>
      <c r="C88" s="48" t="s">
        <v>70</v>
      </c>
      <c r="D88" s="48"/>
      <c r="E88" s="49">
        <v>0</v>
      </c>
      <c r="F88" s="50">
        <v>0</v>
      </c>
      <c r="G88" s="52"/>
    </row>
    <row r="89" spans="2:7">
      <c r="B89" s="44"/>
      <c r="C89" s="48" t="s">
        <v>71</v>
      </c>
      <c r="D89" s="48"/>
      <c r="E89" s="49">
        <v>0</v>
      </c>
      <c r="F89" s="50">
        <v>0</v>
      </c>
      <c r="G89" s="52"/>
    </row>
    <row r="90" spans="2:7">
      <c r="B90" s="44"/>
      <c r="C90" s="48" t="s">
        <v>72</v>
      </c>
      <c r="D90" s="48"/>
      <c r="E90" s="49">
        <v>0</v>
      </c>
      <c r="F90" s="50">
        <v>0</v>
      </c>
      <c r="G90" s="52"/>
    </row>
    <row r="91" spans="2:7">
      <c r="B91" s="44"/>
      <c r="C91" s="48" t="s">
        <v>73</v>
      </c>
      <c r="D91" s="48"/>
      <c r="E91" s="49">
        <v>0</v>
      </c>
      <c r="F91" s="50">
        <v>0</v>
      </c>
      <c r="G91" s="52"/>
    </row>
    <row r="92" spans="2:7">
      <c r="B92" s="44"/>
      <c r="C92" s="48" t="s">
        <v>74</v>
      </c>
      <c r="D92" s="48"/>
      <c r="E92" s="49">
        <v>0</v>
      </c>
      <c r="F92" s="50">
        <v>0</v>
      </c>
      <c r="G92" s="52"/>
    </row>
    <row r="93" spans="2:7">
      <c r="B93" s="44"/>
      <c r="C93" s="48" t="s">
        <v>75</v>
      </c>
      <c r="D93" s="48"/>
      <c r="E93" s="49">
        <v>0</v>
      </c>
      <c r="F93" s="50">
        <v>0</v>
      </c>
      <c r="G93" s="52"/>
    </row>
    <row r="94" spans="2:7">
      <c r="B94" s="44"/>
      <c r="C94" s="48" t="s">
        <v>76</v>
      </c>
      <c r="D94" s="48"/>
      <c r="E94" s="49">
        <v>0</v>
      </c>
      <c r="F94" s="50">
        <v>0</v>
      </c>
      <c r="G94" s="52"/>
    </row>
    <row r="95" spans="2:7">
      <c r="B95" s="44"/>
      <c r="C95" s="48" t="s">
        <v>77</v>
      </c>
      <c r="D95" s="48"/>
      <c r="E95" s="49">
        <v>0</v>
      </c>
      <c r="F95" s="50">
        <v>0</v>
      </c>
      <c r="G95" s="52"/>
    </row>
    <row r="96" spans="2:7">
      <c r="B96" s="44"/>
      <c r="C96" s="53" t="s">
        <v>26</v>
      </c>
      <c r="D96" s="53"/>
      <c r="E96" s="56">
        <v>0</v>
      </c>
      <c r="F96" s="54">
        <v>0</v>
      </c>
      <c r="G96" s="52"/>
    </row>
    <row r="97" spans="2:7">
      <c r="B97" s="44">
        <v>136</v>
      </c>
      <c r="C97" s="39" t="s">
        <v>78</v>
      </c>
      <c r="D97" s="39"/>
      <c r="E97" s="56"/>
      <c r="F97" s="50"/>
      <c r="G97" s="52"/>
    </row>
    <row r="98" spans="2:7">
      <c r="B98" s="44"/>
      <c r="C98" s="48" t="s">
        <v>79</v>
      </c>
      <c r="D98" s="48"/>
      <c r="E98" s="49">
        <v>0</v>
      </c>
      <c r="F98" s="50">
        <v>0</v>
      </c>
      <c r="G98" s="52"/>
    </row>
    <row r="99" spans="2:7">
      <c r="B99" s="44"/>
      <c r="C99" s="48" t="s">
        <v>80</v>
      </c>
      <c r="D99" s="48"/>
      <c r="E99" s="49">
        <v>0</v>
      </c>
      <c r="F99" s="50">
        <v>0</v>
      </c>
      <c r="G99" s="52"/>
    </row>
    <row r="100" spans="2:7">
      <c r="B100" s="44"/>
      <c r="C100" s="48" t="s">
        <v>81</v>
      </c>
      <c r="D100" s="48"/>
      <c r="E100" s="49">
        <v>0</v>
      </c>
      <c r="F100" s="50">
        <v>0</v>
      </c>
      <c r="G100" s="52"/>
    </row>
    <row r="101" spans="2:7">
      <c r="B101" s="44"/>
      <c r="C101" s="48" t="s">
        <v>82</v>
      </c>
      <c r="D101" s="48"/>
      <c r="E101" s="49">
        <v>0</v>
      </c>
      <c r="F101" s="50">
        <v>0</v>
      </c>
      <c r="G101" s="52"/>
    </row>
    <row r="102" spans="2:7">
      <c r="B102" s="44"/>
      <c r="C102" s="48" t="s">
        <v>83</v>
      </c>
      <c r="D102" s="48"/>
      <c r="E102" s="49">
        <v>0</v>
      </c>
      <c r="F102" s="50">
        <v>0</v>
      </c>
      <c r="G102" s="52"/>
    </row>
    <row r="103" spans="2:7">
      <c r="B103" s="44"/>
      <c r="C103" s="48" t="s">
        <v>84</v>
      </c>
      <c r="D103" s="48"/>
      <c r="E103" s="49">
        <v>0</v>
      </c>
      <c r="F103" s="50">
        <v>0</v>
      </c>
      <c r="G103" s="52"/>
    </row>
    <row r="104" spans="2:7">
      <c r="B104" s="44"/>
      <c r="C104" s="53" t="s">
        <v>26</v>
      </c>
      <c r="D104" s="53"/>
      <c r="E104" s="56">
        <v>0</v>
      </c>
      <c r="F104" s="54">
        <v>0</v>
      </c>
      <c r="G104" s="52"/>
    </row>
    <row r="105" spans="2:7">
      <c r="B105" s="44">
        <v>142</v>
      </c>
      <c r="C105" s="39" t="s">
        <v>85</v>
      </c>
      <c r="D105" s="39"/>
      <c r="E105" s="56"/>
      <c r="F105" s="50"/>
      <c r="G105" s="52"/>
    </row>
    <row r="106" spans="2:7">
      <c r="B106" s="44"/>
      <c r="C106" s="48" t="s">
        <v>86</v>
      </c>
      <c r="D106" s="48"/>
      <c r="E106" s="49">
        <v>0</v>
      </c>
      <c r="F106" s="50">
        <v>0</v>
      </c>
      <c r="G106" s="52"/>
    </row>
    <row r="107" spans="2:7">
      <c r="B107" s="44"/>
      <c r="C107" s="48" t="s">
        <v>87</v>
      </c>
      <c r="D107" s="48"/>
      <c r="E107" s="49">
        <v>0</v>
      </c>
      <c r="F107" s="50">
        <v>0</v>
      </c>
      <c r="G107" s="52"/>
    </row>
    <row r="108" spans="2:7">
      <c r="B108" s="44"/>
      <c r="C108" s="53" t="s">
        <v>26</v>
      </c>
      <c r="D108" s="53"/>
      <c r="E108" s="56">
        <v>0</v>
      </c>
      <c r="F108" s="54">
        <v>0</v>
      </c>
      <c r="G108" s="52"/>
    </row>
    <row r="109" spans="2:7">
      <c r="B109" s="44">
        <v>144</v>
      </c>
      <c r="C109" s="39" t="s">
        <v>88</v>
      </c>
      <c r="D109" s="39"/>
      <c r="E109" s="49">
        <v>0</v>
      </c>
      <c r="F109" s="54">
        <v>0</v>
      </c>
      <c r="G109" s="52"/>
    </row>
    <row r="110" spans="2:7">
      <c r="B110" s="44">
        <v>221</v>
      </c>
      <c r="C110" s="39" t="s">
        <v>89</v>
      </c>
      <c r="D110" s="39"/>
      <c r="E110" s="49">
        <v>0</v>
      </c>
      <c r="F110" s="54">
        <v>0</v>
      </c>
      <c r="G110" s="52"/>
    </row>
    <row r="111" spans="2:7">
      <c r="B111" s="44">
        <v>222</v>
      </c>
      <c r="C111" s="39" t="s">
        <v>90</v>
      </c>
      <c r="D111" s="39"/>
      <c r="E111" s="49">
        <v>0</v>
      </c>
      <c r="F111" s="54">
        <v>0</v>
      </c>
      <c r="G111" s="52"/>
    </row>
    <row r="112" spans="2:7">
      <c r="B112" s="44">
        <v>224</v>
      </c>
      <c r="C112" s="39" t="s">
        <v>91</v>
      </c>
      <c r="D112" s="39"/>
      <c r="E112" s="49">
        <v>0</v>
      </c>
      <c r="F112" s="54">
        <v>0</v>
      </c>
      <c r="G112" s="52"/>
    </row>
    <row r="113" spans="2:7">
      <c r="B113" s="44">
        <v>225</v>
      </c>
      <c r="C113" s="39" t="s">
        <v>92</v>
      </c>
      <c r="D113" s="39"/>
      <c r="E113" s="49">
        <v>0</v>
      </c>
      <c r="F113" s="54">
        <v>0</v>
      </c>
      <c r="G113" s="38"/>
    </row>
    <row r="114" spans="2:7">
      <c r="B114" s="44">
        <v>226</v>
      </c>
      <c r="C114" s="39" t="s">
        <v>93</v>
      </c>
      <c r="D114" s="39"/>
      <c r="E114" s="49">
        <v>0</v>
      </c>
      <c r="F114" s="54">
        <v>0</v>
      </c>
      <c r="G114" s="60"/>
    </row>
    <row r="115" spans="2:7" ht="15.75" thickBot="1">
      <c r="B115" s="61"/>
      <c r="C115" s="62" t="s">
        <v>94</v>
      </c>
      <c r="D115" s="62"/>
      <c r="E115" s="90">
        <v>0</v>
      </c>
      <c r="F115" s="63">
        <v>0</v>
      </c>
      <c r="G115" s="38"/>
    </row>
    <row r="116" spans="2:7">
      <c r="B116" s="64"/>
      <c r="C116" s="65" t="s">
        <v>95</v>
      </c>
      <c r="D116" s="66"/>
      <c r="E116" s="91">
        <v>3391.6712727272684</v>
      </c>
      <c r="F116" s="68">
        <v>3391.6712727272684</v>
      </c>
      <c r="G116" s="69"/>
    </row>
    <row r="117" spans="2:7" ht="15.75" thickBot="1">
      <c r="B117" s="64"/>
      <c r="C117" s="70"/>
      <c r="D117" s="71"/>
      <c r="E117" s="92"/>
      <c r="F117" s="73"/>
      <c r="G117" s="69"/>
    </row>
    <row r="118" spans="2:7" ht="15.75" thickBot="1">
      <c r="B118" s="64"/>
      <c r="C118" s="70" t="s">
        <v>96</v>
      </c>
      <c r="D118" s="71"/>
      <c r="E118" s="93">
        <v>11896.536430413233</v>
      </c>
      <c r="F118" s="75">
        <v>11896.536430413233</v>
      </c>
      <c r="G118" s="76"/>
    </row>
    <row r="119" spans="2:7" ht="8.25" customHeight="1" thickBot="1">
      <c r="B119" s="77"/>
      <c r="C119" s="81"/>
      <c r="D119" s="81"/>
      <c r="E119" s="78"/>
      <c r="F119" s="78"/>
      <c r="G119" s="79"/>
    </row>
    <row r="120" spans="2:7">
      <c r="B120" s="83"/>
      <c r="C120" s="84"/>
      <c r="D120" s="84"/>
      <c r="E120" s="85"/>
      <c r="F120" s="83"/>
      <c r="G120" s="85"/>
    </row>
    <row r="121" spans="2:7" ht="6" customHeight="1" thickBot="1"/>
    <row r="122" spans="2:7">
      <c r="B122" s="1"/>
      <c r="C122" s="2"/>
      <c r="D122" s="2"/>
      <c r="E122" s="2"/>
      <c r="F122" s="2"/>
      <c r="G122" s="3"/>
    </row>
    <row r="123" spans="2:7">
      <c r="B123" s="4"/>
      <c r="C123" s="5"/>
      <c r="D123" s="5"/>
      <c r="E123" s="5"/>
      <c r="F123" s="5"/>
      <c r="G123" s="6"/>
    </row>
    <row r="124" spans="2:7">
      <c r="B124" s="4"/>
      <c r="C124" s="5"/>
      <c r="D124" s="5"/>
      <c r="E124" s="5"/>
      <c r="F124" s="5"/>
      <c r="G124" s="6"/>
    </row>
    <row r="125" spans="2:7">
      <c r="B125" s="4"/>
      <c r="C125" s="5"/>
      <c r="D125" s="5"/>
      <c r="E125" s="5"/>
      <c r="F125" s="5"/>
      <c r="G125" s="6"/>
    </row>
    <row r="126" spans="2:7">
      <c r="B126" s="4"/>
      <c r="C126" s="5"/>
      <c r="D126" s="5"/>
      <c r="E126" s="5"/>
      <c r="F126" s="5"/>
      <c r="G126" s="6"/>
    </row>
    <row r="127" spans="2:7" ht="16.5" customHeight="1">
      <c r="B127" s="4"/>
      <c r="C127" s="5"/>
      <c r="D127" s="5"/>
      <c r="E127" s="5"/>
      <c r="F127" s="5"/>
      <c r="G127" s="6"/>
    </row>
    <row r="128" spans="2:7" ht="22.5" customHeight="1" thickBot="1">
      <c r="B128" s="4"/>
      <c r="C128" s="95" t="s">
        <v>0</v>
      </c>
      <c r="D128" s="95"/>
      <c r="E128" s="95"/>
      <c r="F128" s="5"/>
      <c r="G128" s="6"/>
    </row>
    <row r="129" spans="1:7" ht="21" thickTop="1">
      <c r="B129" s="4"/>
      <c r="C129" s="7"/>
      <c r="D129" s="7"/>
      <c r="E129" s="5"/>
      <c r="F129" s="5"/>
      <c r="G129" s="6"/>
    </row>
    <row r="130" spans="1:7">
      <c r="B130" s="8" t="s">
        <v>1</v>
      </c>
      <c r="C130" s="9" t="s">
        <v>97</v>
      </c>
      <c r="D130" s="5"/>
      <c r="E130" s="10" t="s">
        <v>2</v>
      </c>
      <c r="F130" s="9" t="s">
        <v>98</v>
      </c>
      <c r="G130" s="6"/>
    </row>
    <row r="131" spans="1:7" ht="3.75" customHeight="1">
      <c r="A131" s="80"/>
      <c r="B131" s="5"/>
      <c r="C131" s="5"/>
      <c r="D131" s="5"/>
      <c r="E131" s="11"/>
      <c r="F131" s="5"/>
      <c r="G131" s="6"/>
    </row>
    <row r="132" spans="1:7">
      <c r="A132" s="80"/>
      <c r="B132" s="12" t="s">
        <v>3</v>
      </c>
      <c r="C132" s="9" t="s">
        <v>99</v>
      </c>
      <c r="D132" s="5"/>
      <c r="E132" s="10" t="s">
        <v>4</v>
      </c>
      <c r="F132" s="82" t="s">
        <v>100</v>
      </c>
      <c r="G132" s="6"/>
    </row>
    <row r="133" spans="1:7" ht="3.75" customHeight="1">
      <c r="A133" s="80"/>
      <c r="B133" s="5"/>
      <c r="C133" s="5"/>
      <c r="D133" s="5"/>
      <c r="E133" s="11"/>
      <c r="F133" s="5"/>
      <c r="G133" s="6"/>
    </row>
    <row r="134" spans="1:7">
      <c r="A134" s="80"/>
      <c r="B134" s="10" t="s">
        <v>5</v>
      </c>
      <c r="C134" s="9" t="s">
        <v>101</v>
      </c>
      <c r="D134" s="5"/>
      <c r="E134" s="10" t="s">
        <v>6</v>
      </c>
      <c r="F134" s="9" t="s">
        <v>107</v>
      </c>
      <c r="G134" s="6"/>
    </row>
    <row r="135" spans="1:7" ht="4.5" customHeight="1">
      <c r="A135" s="80"/>
      <c r="B135" s="13"/>
      <c r="C135" s="5"/>
      <c r="D135" s="5"/>
      <c r="E135" s="11"/>
      <c r="F135" s="5"/>
      <c r="G135" s="6"/>
    </row>
    <row r="136" spans="1:7">
      <c r="A136" s="80"/>
      <c r="B136" s="10" t="s">
        <v>7</v>
      </c>
      <c r="C136" s="9" t="s">
        <v>120</v>
      </c>
      <c r="D136" s="5"/>
      <c r="E136" s="11"/>
      <c r="F136" s="5"/>
      <c r="G136" s="6"/>
    </row>
    <row r="137" spans="1:7" ht="3.75" customHeight="1">
      <c r="A137" s="80"/>
      <c r="B137" s="5"/>
      <c r="C137" s="5"/>
      <c r="D137" s="5"/>
      <c r="E137" s="11"/>
      <c r="F137" s="5"/>
      <c r="G137" s="6"/>
    </row>
    <row r="138" spans="1:7">
      <c r="B138" s="14" t="s">
        <v>8</v>
      </c>
      <c r="C138" s="15" t="s">
        <v>104</v>
      </c>
      <c r="D138" s="5"/>
      <c r="E138" s="86" t="s">
        <v>109</v>
      </c>
      <c r="F138" s="87">
        <v>45323</v>
      </c>
      <c r="G138" s="6"/>
    </row>
    <row r="139" spans="1:7">
      <c r="B139" s="16" t="s">
        <v>9</v>
      </c>
      <c r="C139" s="17" t="s">
        <v>130</v>
      </c>
      <c r="D139" s="5"/>
      <c r="E139" s="88" t="s">
        <v>110</v>
      </c>
      <c r="F139" s="89">
        <v>45351</v>
      </c>
      <c r="G139" s="18"/>
    </row>
    <row r="140" spans="1:7" ht="15.75" thickBot="1">
      <c r="B140" s="4"/>
      <c r="C140" s="19"/>
      <c r="D140" s="19"/>
      <c r="E140" s="20"/>
      <c r="F140" s="21"/>
      <c r="G140" s="18"/>
    </row>
    <row r="141" spans="1:7" ht="18.75" thickBot="1">
      <c r="B141" s="4"/>
      <c r="C141" s="22" t="s">
        <v>10</v>
      </c>
      <c r="D141" s="23"/>
      <c r="E141" s="24"/>
      <c r="F141" s="25" t="s">
        <v>11</v>
      </c>
      <c r="G141" s="18"/>
    </row>
    <row r="142" spans="1:7">
      <c r="B142" s="4"/>
      <c r="C142" s="26" t="s">
        <v>12</v>
      </c>
      <c r="D142" s="26"/>
      <c r="E142" s="27">
        <v>11896.536430413233</v>
      </c>
      <c r="F142" s="28">
        <v>11896.536430413233</v>
      </c>
      <c r="G142" s="29"/>
    </row>
    <row r="143" spans="1:7">
      <c r="B143" s="30">
        <v>143</v>
      </c>
      <c r="C143" s="31" t="s">
        <v>13</v>
      </c>
      <c r="D143" s="31"/>
      <c r="E143" s="27">
        <v>4578.6174545454505</v>
      </c>
      <c r="F143" s="32">
        <v>4578.6174545454505</v>
      </c>
      <c r="G143" s="33"/>
    </row>
    <row r="144" spans="1:7">
      <c r="B144" s="30"/>
      <c r="C144" s="34" t="s">
        <v>14</v>
      </c>
      <c r="D144" s="34"/>
      <c r="E144" s="27">
        <v>0</v>
      </c>
      <c r="F144" s="32">
        <v>0</v>
      </c>
      <c r="G144" s="33"/>
    </row>
    <row r="145" spans="2:7">
      <c r="B145" s="30"/>
      <c r="C145" s="34" t="s">
        <v>15</v>
      </c>
      <c r="D145" s="34"/>
      <c r="E145" s="27">
        <v>0</v>
      </c>
      <c r="F145" s="32">
        <v>0</v>
      </c>
      <c r="G145" s="33"/>
    </row>
    <row r="146" spans="2:7">
      <c r="B146" s="30"/>
      <c r="C146" s="34" t="s">
        <v>16</v>
      </c>
      <c r="D146" s="34"/>
      <c r="E146" s="27">
        <v>0</v>
      </c>
      <c r="F146" s="32">
        <v>0</v>
      </c>
      <c r="G146" s="33"/>
    </row>
    <row r="147" spans="2:7">
      <c r="B147" s="30"/>
      <c r="C147" s="34" t="s">
        <v>17</v>
      </c>
      <c r="D147" s="34"/>
      <c r="E147" s="27">
        <v>0</v>
      </c>
      <c r="F147" s="32">
        <v>0</v>
      </c>
      <c r="G147" s="33"/>
    </row>
    <row r="148" spans="2:7">
      <c r="B148" s="30"/>
      <c r="C148" s="35" t="s">
        <v>18</v>
      </c>
      <c r="D148" s="35"/>
      <c r="E148" s="36">
        <v>16475.153884958683</v>
      </c>
      <c r="F148" s="37">
        <v>16475.153884958683</v>
      </c>
      <c r="G148" s="38"/>
    </row>
    <row r="149" spans="2:7" ht="15.75" thickBot="1">
      <c r="B149" s="30"/>
      <c r="C149" s="39"/>
      <c r="D149" s="39"/>
      <c r="E149" s="40"/>
      <c r="F149" s="41"/>
      <c r="G149" s="38"/>
    </row>
    <row r="150" spans="2:7" ht="18.75" thickBot="1">
      <c r="B150" s="30"/>
      <c r="C150" s="22" t="s">
        <v>19</v>
      </c>
      <c r="D150" s="23"/>
      <c r="E150" s="42"/>
      <c r="F150" s="43"/>
      <c r="G150" s="38"/>
    </row>
    <row r="151" spans="2:7">
      <c r="B151" s="44">
        <v>121</v>
      </c>
      <c r="C151" s="39" t="s">
        <v>20</v>
      </c>
      <c r="D151" s="39"/>
      <c r="E151" s="45"/>
      <c r="F151" s="46"/>
      <c r="G151" s="47"/>
    </row>
    <row r="152" spans="2:7">
      <c r="B152" s="44"/>
      <c r="C152" s="48" t="s">
        <v>21</v>
      </c>
      <c r="D152" s="48"/>
      <c r="E152" s="49">
        <v>0</v>
      </c>
      <c r="F152" s="50">
        <v>0</v>
      </c>
      <c r="G152" s="47"/>
    </row>
    <row r="153" spans="2:7">
      <c r="B153" s="44"/>
      <c r="C153" s="48" t="s">
        <v>22</v>
      </c>
      <c r="D153" s="48"/>
      <c r="E153" s="49">
        <v>0</v>
      </c>
      <c r="F153" s="50">
        <v>0</v>
      </c>
      <c r="G153" s="47"/>
    </row>
    <row r="154" spans="2:7">
      <c r="B154" s="51"/>
      <c r="C154" s="48" t="s">
        <v>23</v>
      </c>
      <c r="D154" s="48"/>
      <c r="E154" s="49">
        <v>0</v>
      </c>
      <c r="F154" s="50">
        <v>0</v>
      </c>
      <c r="G154" s="52"/>
    </row>
    <row r="155" spans="2:7">
      <c r="B155" s="51"/>
      <c r="C155" s="48" t="s">
        <v>24</v>
      </c>
      <c r="D155" s="48"/>
      <c r="E155" s="49">
        <v>0</v>
      </c>
      <c r="F155" s="50">
        <v>0</v>
      </c>
      <c r="G155" s="52"/>
    </row>
    <row r="156" spans="2:7">
      <c r="B156" s="44"/>
      <c r="C156" s="48" t="s">
        <v>25</v>
      </c>
      <c r="D156" s="48"/>
      <c r="E156" s="49">
        <v>0</v>
      </c>
      <c r="F156" s="50">
        <v>0</v>
      </c>
      <c r="G156" s="52"/>
    </row>
    <row r="157" spans="2:7">
      <c r="B157" s="44"/>
      <c r="C157" s="53" t="s">
        <v>26</v>
      </c>
      <c r="D157" s="53"/>
      <c r="E157" s="36">
        <v>0</v>
      </c>
      <c r="F157" s="54">
        <v>0</v>
      </c>
      <c r="G157" s="52"/>
    </row>
    <row r="158" spans="2:7">
      <c r="B158" s="44">
        <v>122</v>
      </c>
      <c r="C158" s="39" t="s">
        <v>27</v>
      </c>
      <c r="D158" s="39"/>
      <c r="E158" s="36"/>
      <c r="F158" s="50"/>
      <c r="G158" s="55"/>
    </row>
    <row r="159" spans="2:7">
      <c r="B159" s="44"/>
      <c r="C159" s="48" t="s">
        <v>28</v>
      </c>
      <c r="D159" s="48"/>
      <c r="E159" s="49">
        <v>0</v>
      </c>
      <c r="F159" s="50">
        <v>0</v>
      </c>
      <c r="G159" s="52"/>
    </row>
    <row r="160" spans="2:7">
      <c r="B160" s="44"/>
      <c r="C160" s="48" t="s">
        <v>29</v>
      </c>
      <c r="D160" s="48"/>
      <c r="E160" s="49">
        <v>0</v>
      </c>
      <c r="F160" s="50">
        <v>0</v>
      </c>
      <c r="G160" s="52"/>
    </row>
    <row r="161" spans="2:7">
      <c r="B161" s="44"/>
      <c r="C161" s="48" t="s">
        <v>30</v>
      </c>
      <c r="D161" s="48"/>
      <c r="E161" s="49">
        <v>0</v>
      </c>
      <c r="F161" s="50">
        <v>0</v>
      </c>
      <c r="G161" s="52"/>
    </row>
    <row r="162" spans="2:7">
      <c r="B162" s="44"/>
      <c r="C162" s="48" t="s">
        <v>31</v>
      </c>
      <c r="D162" s="48"/>
      <c r="E162" s="49">
        <v>0</v>
      </c>
      <c r="F162" s="50">
        <v>0</v>
      </c>
      <c r="G162" s="52"/>
    </row>
    <row r="163" spans="2:7">
      <c r="B163" s="44"/>
      <c r="C163" s="48" t="s">
        <v>32</v>
      </c>
      <c r="D163" s="48"/>
      <c r="E163" s="49">
        <v>88.800120595041136</v>
      </c>
      <c r="F163" s="50">
        <v>88.800120595041136</v>
      </c>
      <c r="G163" s="52"/>
    </row>
    <row r="164" spans="2:7">
      <c r="B164" s="44"/>
      <c r="C164" s="48" t="s">
        <v>33</v>
      </c>
      <c r="D164" s="48"/>
      <c r="E164" s="49">
        <v>0</v>
      </c>
      <c r="F164" s="50">
        <v>0</v>
      </c>
      <c r="G164" s="52"/>
    </row>
    <row r="165" spans="2:7">
      <c r="B165" s="44"/>
      <c r="C165" s="48" t="s">
        <v>34</v>
      </c>
      <c r="D165" s="48"/>
      <c r="E165" s="49">
        <v>0</v>
      </c>
      <c r="F165" s="50">
        <v>0</v>
      </c>
      <c r="G165" s="52"/>
    </row>
    <row r="166" spans="2:7">
      <c r="B166" s="44"/>
      <c r="C166" s="48" t="s">
        <v>35</v>
      </c>
      <c r="D166" s="48"/>
      <c r="E166" s="49">
        <v>0</v>
      </c>
      <c r="F166" s="50">
        <v>0</v>
      </c>
      <c r="G166" s="52"/>
    </row>
    <row r="167" spans="2:7">
      <c r="B167" s="44"/>
      <c r="C167" s="53" t="s">
        <v>26</v>
      </c>
      <c r="D167" s="53"/>
      <c r="E167" s="36">
        <v>88.800120595041136</v>
      </c>
      <c r="F167" s="54">
        <v>88.800120595041136</v>
      </c>
      <c r="G167" s="52"/>
    </row>
    <row r="168" spans="2:7">
      <c r="B168" s="44">
        <v>123</v>
      </c>
      <c r="C168" s="39" t="s">
        <v>36</v>
      </c>
      <c r="D168" s="39"/>
      <c r="E168" s="56"/>
      <c r="F168" s="57"/>
      <c r="G168" s="52"/>
    </row>
    <row r="169" spans="2:7">
      <c r="B169" s="44"/>
      <c r="C169" s="48" t="s">
        <v>37</v>
      </c>
      <c r="D169" s="48"/>
      <c r="E169" s="49">
        <v>88.800120595041136</v>
      </c>
      <c r="F169" s="50">
        <v>88.800120595041136</v>
      </c>
      <c r="G169" s="52"/>
    </row>
    <row r="170" spans="2:7">
      <c r="B170" s="44"/>
      <c r="C170" s="48" t="s">
        <v>38</v>
      </c>
      <c r="D170" s="48"/>
      <c r="E170" s="49">
        <v>0</v>
      </c>
      <c r="F170" s="50">
        <v>0</v>
      </c>
      <c r="G170" s="52"/>
    </row>
    <row r="171" spans="2:7">
      <c r="B171" s="44"/>
      <c r="C171" s="48" t="s">
        <v>39</v>
      </c>
      <c r="D171" s="48"/>
      <c r="E171" s="49">
        <v>769.60104515702335</v>
      </c>
      <c r="F171" s="50">
        <v>769.60104515702335</v>
      </c>
      <c r="G171" s="52"/>
    </row>
    <row r="172" spans="2:7">
      <c r="B172" s="44"/>
      <c r="C172" s="48" t="s">
        <v>40</v>
      </c>
      <c r="D172" s="48"/>
      <c r="E172" s="49">
        <v>0</v>
      </c>
      <c r="F172" s="50">
        <v>0</v>
      </c>
      <c r="G172" s="52"/>
    </row>
    <row r="173" spans="2:7">
      <c r="B173" s="44"/>
      <c r="C173" s="48" t="s">
        <v>41</v>
      </c>
      <c r="D173" s="48"/>
      <c r="E173" s="49">
        <v>0</v>
      </c>
      <c r="F173" s="50">
        <v>0</v>
      </c>
      <c r="G173" s="52"/>
    </row>
    <row r="174" spans="2:7">
      <c r="B174" s="44"/>
      <c r="C174" s="48" t="s">
        <v>42</v>
      </c>
      <c r="D174" s="48"/>
      <c r="E174" s="49">
        <v>177.60024119008227</v>
      </c>
      <c r="F174" s="50">
        <v>177.60024119008227</v>
      </c>
      <c r="G174" s="52"/>
    </row>
    <row r="175" spans="2:7">
      <c r="B175" s="44"/>
      <c r="C175" s="53" t="s">
        <v>26</v>
      </c>
      <c r="D175" s="53"/>
      <c r="E175" s="36">
        <v>1036.0014069421468</v>
      </c>
      <c r="F175" s="54">
        <v>1036.0014069421468</v>
      </c>
      <c r="G175" s="52"/>
    </row>
    <row r="176" spans="2:7">
      <c r="B176" s="44">
        <v>124</v>
      </c>
      <c r="C176" s="39" t="s">
        <v>43</v>
      </c>
      <c r="D176" s="39"/>
      <c r="E176" s="56"/>
      <c r="F176" s="57"/>
      <c r="G176" s="52"/>
    </row>
    <row r="177" spans="2:7">
      <c r="B177" s="44"/>
      <c r="C177" s="48" t="s">
        <v>44</v>
      </c>
      <c r="D177" s="48"/>
      <c r="E177" s="49">
        <v>135.66685090909075</v>
      </c>
      <c r="F177" s="50">
        <v>135.66685090909075</v>
      </c>
      <c r="G177" s="52"/>
    </row>
    <row r="178" spans="2:7">
      <c r="B178" s="44"/>
      <c r="C178" s="48" t="s">
        <v>45</v>
      </c>
      <c r="D178" s="48"/>
      <c r="E178" s="49">
        <v>0</v>
      </c>
      <c r="F178" s="50">
        <v>0</v>
      </c>
      <c r="G178" s="52"/>
    </row>
    <row r="179" spans="2:7">
      <c r="B179" s="44"/>
      <c r="C179" s="48" t="s">
        <v>46</v>
      </c>
      <c r="D179" s="48"/>
      <c r="E179" s="49">
        <v>0</v>
      </c>
      <c r="F179" s="50">
        <v>0</v>
      </c>
      <c r="G179" s="52"/>
    </row>
    <row r="180" spans="2:7">
      <c r="B180" s="44"/>
      <c r="C180" s="53" t="s">
        <v>26</v>
      </c>
      <c r="D180" s="53"/>
      <c r="E180" s="36">
        <v>135.66685090909075</v>
      </c>
      <c r="F180" s="54">
        <v>135.66685090909075</v>
      </c>
      <c r="G180" s="52"/>
    </row>
    <row r="181" spans="2:7">
      <c r="B181" s="44">
        <v>125</v>
      </c>
      <c r="C181" s="39" t="s">
        <v>47</v>
      </c>
      <c r="D181" s="39"/>
      <c r="E181" s="36"/>
      <c r="F181" s="50"/>
      <c r="G181" s="52"/>
    </row>
    <row r="182" spans="2:7">
      <c r="B182" s="44"/>
      <c r="C182" s="48" t="s">
        <v>48</v>
      </c>
      <c r="D182" s="48"/>
      <c r="E182" s="58">
        <v>0</v>
      </c>
      <c r="F182" s="50">
        <v>0</v>
      </c>
      <c r="G182" s="52"/>
    </row>
    <row r="183" spans="2:7">
      <c r="B183" s="44"/>
      <c r="C183" s="48" t="s">
        <v>49</v>
      </c>
      <c r="D183" s="48"/>
      <c r="E183" s="58">
        <v>0</v>
      </c>
      <c r="F183" s="50">
        <v>0</v>
      </c>
      <c r="G183" s="52"/>
    </row>
    <row r="184" spans="2:7">
      <c r="B184" s="44"/>
      <c r="C184" s="48" t="s">
        <v>50</v>
      </c>
      <c r="D184" s="48"/>
      <c r="E184" s="58">
        <v>108.5334807272726</v>
      </c>
      <c r="F184" s="50">
        <v>108.5334807272726</v>
      </c>
      <c r="G184" s="52"/>
    </row>
    <row r="185" spans="2:7">
      <c r="B185" s="44"/>
      <c r="C185" s="48" t="s">
        <v>51</v>
      </c>
      <c r="D185" s="48"/>
      <c r="E185" s="58">
        <v>0</v>
      </c>
      <c r="F185" s="50">
        <v>0</v>
      </c>
      <c r="G185" s="52"/>
    </row>
    <row r="186" spans="2:7">
      <c r="B186" s="44"/>
      <c r="C186" s="53" t="s">
        <v>26</v>
      </c>
      <c r="D186" s="53"/>
      <c r="E186" s="56">
        <v>108.5334807272726</v>
      </c>
      <c r="F186" s="54">
        <v>108.5334807272726</v>
      </c>
      <c r="G186" s="52"/>
    </row>
    <row r="187" spans="2:7">
      <c r="B187" s="44">
        <v>126</v>
      </c>
      <c r="C187" s="39" t="s">
        <v>52</v>
      </c>
      <c r="D187" s="39"/>
      <c r="E187" s="56"/>
      <c r="F187" s="50"/>
      <c r="G187" s="52"/>
    </row>
    <row r="188" spans="2:7">
      <c r="B188" s="44"/>
      <c r="C188" s="48" t="s">
        <v>53</v>
      </c>
      <c r="D188" s="48"/>
      <c r="E188" s="49">
        <v>0</v>
      </c>
      <c r="F188" s="50">
        <v>0</v>
      </c>
      <c r="G188" s="52"/>
    </row>
    <row r="189" spans="2:7">
      <c r="B189" s="44"/>
      <c r="C189" s="48" t="s">
        <v>54</v>
      </c>
      <c r="D189" s="48"/>
      <c r="E189" s="49">
        <v>0</v>
      </c>
      <c r="F189" s="50"/>
      <c r="G189" s="52"/>
    </row>
    <row r="190" spans="2:7">
      <c r="B190" s="44"/>
      <c r="C190" s="48" t="s">
        <v>55</v>
      </c>
      <c r="D190" s="48"/>
      <c r="E190" s="49">
        <v>0</v>
      </c>
      <c r="F190" s="50"/>
      <c r="G190" s="52"/>
    </row>
    <row r="191" spans="2:7">
      <c r="B191" s="44"/>
      <c r="C191" s="48" t="s">
        <v>56</v>
      </c>
      <c r="D191" s="48"/>
      <c r="E191" s="49">
        <v>0</v>
      </c>
      <c r="F191" s="57"/>
      <c r="G191" s="52"/>
    </row>
    <row r="192" spans="2:7">
      <c r="B192" s="44"/>
      <c r="C192" s="53" t="s">
        <v>26</v>
      </c>
      <c r="D192" s="53"/>
      <c r="E192" s="56">
        <v>0</v>
      </c>
      <c r="F192" s="54">
        <v>0</v>
      </c>
      <c r="G192" s="52"/>
    </row>
    <row r="193" spans="2:7">
      <c r="B193" s="44">
        <v>127</v>
      </c>
      <c r="C193" s="39" t="s">
        <v>57</v>
      </c>
      <c r="D193" s="39"/>
      <c r="E193" s="56"/>
      <c r="F193" s="54"/>
      <c r="G193" s="52"/>
    </row>
    <row r="194" spans="2:7">
      <c r="B194" s="44"/>
      <c r="C194" s="48" t="s">
        <v>58</v>
      </c>
      <c r="D194" s="48"/>
      <c r="E194" s="49">
        <v>0</v>
      </c>
      <c r="F194" s="50">
        <v>0</v>
      </c>
      <c r="G194" s="52"/>
    </row>
    <row r="195" spans="2:7">
      <c r="B195" s="44"/>
      <c r="C195" s="48" t="s">
        <v>59</v>
      </c>
      <c r="D195" s="48"/>
      <c r="E195" s="49">
        <v>0</v>
      </c>
      <c r="F195" s="50">
        <v>0</v>
      </c>
      <c r="G195" s="52"/>
    </row>
    <row r="196" spans="2:7">
      <c r="B196" s="44"/>
      <c r="C196" s="48" t="s">
        <v>60</v>
      </c>
      <c r="D196" s="48"/>
      <c r="E196" s="49">
        <v>0</v>
      </c>
      <c r="F196" s="50">
        <v>0</v>
      </c>
      <c r="G196" s="52"/>
    </row>
    <row r="197" spans="2:7">
      <c r="B197" s="44"/>
      <c r="C197" s="59" t="s">
        <v>61</v>
      </c>
      <c r="D197" s="59"/>
      <c r="E197" s="49">
        <v>0</v>
      </c>
      <c r="F197" s="50">
        <v>0</v>
      </c>
      <c r="G197" s="52"/>
    </row>
    <row r="198" spans="2:7">
      <c r="B198" s="44"/>
      <c r="C198" s="53" t="s">
        <v>26</v>
      </c>
      <c r="D198" s="53"/>
      <c r="E198" s="56">
        <v>0</v>
      </c>
      <c r="F198" s="54">
        <v>0</v>
      </c>
      <c r="G198" s="52"/>
    </row>
    <row r="199" spans="2:7">
      <c r="B199" s="44">
        <v>128</v>
      </c>
      <c r="C199" s="39" t="s">
        <v>62</v>
      </c>
      <c r="D199" s="39"/>
      <c r="E199" s="56"/>
      <c r="F199" s="54"/>
      <c r="G199" s="52"/>
    </row>
    <row r="200" spans="2:7">
      <c r="B200" s="44"/>
      <c r="C200" s="48" t="s">
        <v>63</v>
      </c>
      <c r="D200" s="48"/>
      <c r="E200" s="49">
        <v>0</v>
      </c>
      <c r="F200" s="50">
        <v>0</v>
      </c>
      <c r="G200" s="52"/>
    </row>
    <row r="201" spans="2:7">
      <c r="B201" s="44"/>
      <c r="C201" s="48" t="s">
        <v>64</v>
      </c>
      <c r="D201" s="48"/>
      <c r="E201" s="49">
        <v>0</v>
      </c>
      <c r="F201" s="50">
        <v>0</v>
      </c>
      <c r="G201" s="52"/>
    </row>
    <row r="202" spans="2:7">
      <c r="B202" s="44"/>
      <c r="C202" s="48" t="s">
        <v>65</v>
      </c>
      <c r="D202" s="48"/>
      <c r="E202" s="49">
        <v>325.60044218181781</v>
      </c>
      <c r="F202" s="50">
        <v>325.60044218181781</v>
      </c>
      <c r="G202" s="52"/>
    </row>
    <row r="203" spans="2:7">
      <c r="B203" s="44"/>
      <c r="C203" s="48" t="s">
        <v>66</v>
      </c>
      <c r="D203" s="48"/>
      <c r="E203" s="49">
        <v>0</v>
      </c>
      <c r="F203" s="50">
        <v>0</v>
      </c>
      <c r="G203" s="52"/>
    </row>
    <row r="204" spans="2:7">
      <c r="B204" s="44"/>
      <c r="C204" s="48" t="s">
        <v>67</v>
      </c>
      <c r="D204" s="48"/>
      <c r="E204" s="49">
        <v>0</v>
      </c>
      <c r="F204" s="50">
        <v>0</v>
      </c>
      <c r="G204" s="52"/>
    </row>
    <row r="205" spans="2:7">
      <c r="B205" s="44"/>
      <c r="C205" s="53" t="s">
        <v>26</v>
      </c>
      <c r="D205" s="53"/>
      <c r="E205" s="56">
        <v>325.60044218181781</v>
      </c>
      <c r="F205" s="54">
        <v>325.60044218181781</v>
      </c>
      <c r="G205" s="52"/>
    </row>
    <row r="206" spans="2:7">
      <c r="B206" s="44">
        <v>135</v>
      </c>
      <c r="C206" s="39" t="s">
        <v>68</v>
      </c>
      <c r="D206" s="39"/>
      <c r="E206" s="56"/>
      <c r="F206" s="50"/>
      <c r="G206" s="52"/>
    </row>
    <row r="207" spans="2:7">
      <c r="B207" s="44"/>
      <c r="C207" s="48" t="s">
        <v>69</v>
      </c>
      <c r="D207" s="48"/>
      <c r="E207" s="49">
        <v>0</v>
      </c>
      <c r="F207" s="50">
        <v>0</v>
      </c>
      <c r="G207" s="52"/>
    </row>
    <row r="208" spans="2:7">
      <c r="B208" s="44"/>
      <c r="C208" s="48" t="s">
        <v>70</v>
      </c>
      <c r="D208" s="48"/>
      <c r="E208" s="49">
        <v>0</v>
      </c>
      <c r="F208" s="50">
        <v>0</v>
      </c>
      <c r="G208" s="52"/>
    </row>
    <row r="209" spans="2:7">
      <c r="B209" s="44"/>
      <c r="C209" s="48" t="s">
        <v>71</v>
      </c>
      <c r="D209" s="48"/>
      <c r="E209" s="49">
        <v>0</v>
      </c>
      <c r="F209" s="50">
        <v>0</v>
      </c>
      <c r="G209" s="52"/>
    </row>
    <row r="210" spans="2:7">
      <c r="B210" s="44"/>
      <c r="C210" s="48" t="s">
        <v>72</v>
      </c>
      <c r="D210" s="48"/>
      <c r="E210" s="49">
        <v>0</v>
      </c>
      <c r="F210" s="50">
        <v>0</v>
      </c>
      <c r="G210" s="52"/>
    </row>
    <row r="211" spans="2:7">
      <c r="B211" s="44"/>
      <c r="C211" s="48" t="s">
        <v>73</v>
      </c>
      <c r="D211" s="48"/>
      <c r="E211" s="49">
        <v>177.60024119008227</v>
      </c>
      <c r="F211" s="50">
        <v>177.60024119008227</v>
      </c>
      <c r="G211" s="52"/>
    </row>
    <row r="212" spans="2:7">
      <c r="B212" s="44"/>
      <c r="C212" s="48" t="s">
        <v>74</v>
      </c>
      <c r="D212" s="48"/>
      <c r="E212" s="49">
        <v>0</v>
      </c>
      <c r="F212" s="50">
        <v>0</v>
      </c>
      <c r="G212" s="52"/>
    </row>
    <row r="213" spans="2:7">
      <c r="B213" s="44"/>
      <c r="C213" s="48" t="s">
        <v>75</v>
      </c>
      <c r="D213" s="48"/>
      <c r="E213" s="49">
        <v>841.13447563636271</v>
      </c>
      <c r="F213" s="50">
        <v>841.13447563636271</v>
      </c>
      <c r="G213" s="52"/>
    </row>
    <row r="214" spans="2:7">
      <c r="B214" s="44"/>
      <c r="C214" s="48" t="s">
        <v>76</v>
      </c>
      <c r="D214" s="48"/>
      <c r="E214" s="49">
        <v>0</v>
      </c>
      <c r="F214" s="50">
        <v>0</v>
      </c>
      <c r="G214" s="52"/>
    </row>
    <row r="215" spans="2:7">
      <c r="B215" s="44"/>
      <c r="C215" s="48" t="s">
        <v>77</v>
      </c>
      <c r="D215" s="48"/>
      <c r="E215" s="49">
        <v>0</v>
      </c>
      <c r="F215" s="50">
        <v>0</v>
      </c>
      <c r="G215" s="52"/>
    </row>
    <row r="216" spans="2:7">
      <c r="B216" s="44"/>
      <c r="C216" s="53" t="s">
        <v>26</v>
      </c>
      <c r="D216" s="53"/>
      <c r="E216" s="56">
        <v>1018.734716826445</v>
      </c>
      <c r="F216" s="54">
        <v>1018.734716826445</v>
      </c>
      <c r="G216" s="52"/>
    </row>
    <row r="217" spans="2:7">
      <c r="B217" s="44">
        <v>136</v>
      </c>
      <c r="C217" s="39" t="s">
        <v>78</v>
      </c>
      <c r="D217" s="39"/>
      <c r="E217" s="56"/>
      <c r="F217" s="50"/>
      <c r="G217" s="52"/>
    </row>
    <row r="218" spans="2:7">
      <c r="B218" s="44"/>
      <c r="C218" s="48" t="s">
        <v>79</v>
      </c>
      <c r="D218" s="48"/>
      <c r="E218" s="49">
        <v>0</v>
      </c>
      <c r="F218" s="50">
        <v>0</v>
      </c>
      <c r="G218" s="52"/>
    </row>
    <row r="219" spans="2:7">
      <c r="B219" s="44"/>
      <c r="C219" s="48" t="s">
        <v>80</v>
      </c>
      <c r="D219" s="48"/>
      <c r="E219" s="49">
        <v>0</v>
      </c>
      <c r="F219" s="50">
        <v>0</v>
      </c>
      <c r="G219" s="52"/>
    </row>
    <row r="220" spans="2:7">
      <c r="B220" s="44"/>
      <c r="C220" s="48" t="s">
        <v>81</v>
      </c>
      <c r="D220" s="48"/>
      <c r="E220" s="49">
        <v>0</v>
      </c>
      <c r="F220" s="50">
        <v>0</v>
      </c>
      <c r="G220" s="52"/>
    </row>
    <row r="221" spans="2:7">
      <c r="B221" s="44"/>
      <c r="C221" s="48" t="s">
        <v>82</v>
      </c>
      <c r="D221" s="48"/>
      <c r="E221" s="49">
        <v>0</v>
      </c>
      <c r="F221" s="50">
        <v>0</v>
      </c>
      <c r="G221" s="52"/>
    </row>
    <row r="222" spans="2:7">
      <c r="B222" s="44"/>
      <c r="C222" s="48" t="s">
        <v>83</v>
      </c>
      <c r="D222" s="48"/>
      <c r="E222" s="49">
        <v>0</v>
      </c>
      <c r="F222" s="50">
        <v>0</v>
      </c>
      <c r="G222" s="52"/>
    </row>
    <row r="223" spans="2:7">
      <c r="B223" s="44"/>
      <c r="C223" s="48" t="s">
        <v>84</v>
      </c>
      <c r="D223" s="48"/>
      <c r="E223" s="49">
        <v>0</v>
      </c>
      <c r="F223" s="50">
        <v>0</v>
      </c>
      <c r="G223" s="52"/>
    </row>
    <row r="224" spans="2:7">
      <c r="B224" s="44"/>
      <c r="C224" s="53" t="s">
        <v>26</v>
      </c>
      <c r="D224" s="53"/>
      <c r="E224" s="56">
        <v>0</v>
      </c>
      <c r="F224" s="54">
        <v>0</v>
      </c>
      <c r="G224" s="52"/>
    </row>
    <row r="225" spans="2:7">
      <c r="B225" s="44">
        <v>142</v>
      </c>
      <c r="C225" s="39" t="s">
        <v>85</v>
      </c>
      <c r="D225" s="39"/>
      <c r="E225" s="56"/>
      <c r="F225" s="50"/>
      <c r="G225" s="52"/>
    </row>
    <row r="226" spans="2:7">
      <c r="B226" s="44"/>
      <c r="C226" s="48" t="s">
        <v>86</v>
      </c>
      <c r="D226" s="48"/>
      <c r="E226" s="49">
        <v>0</v>
      </c>
      <c r="F226" s="50">
        <v>0</v>
      </c>
      <c r="G226" s="52"/>
    </row>
    <row r="227" spans="2:7">
      <c r="B227" s="44"/>
      <c r="C227" s="48" t="s">
        <v>87</v>
      </c>
      <c r="D227" s="48"/>
      <c r="E227" s="49">
        <v>0</v>
      </c>
      <c r="F227" s="50">
        <v>0</v>
      </c>
      <c r="G227" s="52"/>
    </row>
    <row r="228" spans="2:7">
      <c r="B228" s="44"/>
      <c r="C228" s="53" t="s">
        <v>26</v>
      </c>
      <c r="D228" s="53"/>
      <c r="E228" s="56">
        <v>0</v>
      </c>
      <c r="F228" s="54">
        <v>0</v>
      </c>
      <c r="G228" s="52"/>
    </row>
    <row r="229" spans="2:7">
      <c r="B229" s="44">
        <v>144</v>
      </c>
      <c r="C229" s="39" t="s">
        <v>88</v>
      </c>
      <c r="D229" s="39"/>
      <c r="E229" s="49">
        <v>0</v>
      </c>
      <c r="F229" s="54">
        <v>0</v>
      </c>
      <c r="G229" s="52"/>
    </row>
    <row r="230" spans="2:7">
      <c r="B230" s="44">
        <v>221</v>
      </c>
      <c r="C230" s="39" t="s">
        <v>89</v>
      </c>
      <c r="D230" s="39"/>
      <c r="E230" s="49">
        <v>0</v>
      </c>
      <c r="F230" s="54">
        <v>0</v>
      </c>
      <c r="G230" s="52"/>
    </row>
    <row r="231" spans="2:7">
      <c r="B231" s="44">
        <v>222</v>
      </c>
      <c r="C231" s="39" t="s">
        <v>90</v>
      </c>
      <c r="D231" s="39"/>
      <c r="E231" s="49">
        <v>0</v>
      </c>
      <c r="F231" s="54">
        <v>0</v>
      </c>
      <c r="G231" s="52"/>
    </row>
    <row r="232" spans="2:7">
      <c r="B232" s="44">
        <v>224</v>
      </c>
      <c r="C232" s="39" t="s">
        <v>91</v>
      </c>
      <c r="D232" s="39"/>
      <c r="E232" s="49">
        <v>0</v>
      </c>
      <c r="F232" s="54">
        <v>0</v>
      </c>
      <c r="G232" s="52"/>
    </row>
    <row r="233" spans="2:7">
      <c r="B233" s="44">
        <v>225</v>
      </c>
      <c r="C233" s="39" t="s">
        <v>92</v>
      </c>
      <c r="D233" s="39"/>
      <c r="E233" s="49">
        <v>0</v>
      </c>
      <c r="F233" s="54">
        <v>0</v>
      </c>
      <c r="G233" s="38"/>
    </row>
    <row r="234" spans="2:7">
      <c r="B234" s="44">
        <v>226</v>
      </c>
      <c r="C234" s="39" t="s">
        <v>93</v>
      </c>
      <c r="D234" s="39"/>
      <c r="E234" s="49">
        <v>0</v>
      </c>
      <c r="F234" s="54">
        <v>0</v>
      </c>
      <c r="G234" s="60"/>
    </row>
    <row r="235" spans="2:7" ht="15.75" thickBot="1">
      <c r="B235" s="61"/>
      <c r="C235" s="62" t="s">
        <v>94</v>
      </c>
      <c r="D235" s="62"/>
      <c r="E235" s="94">
        <v>0</v>
      </c>
      <c r="F235" s="63">
        <v>0</v>
      </c>
      <c r="G235" s="38"/>
    </row>
    <row r="236" spans="2:7">
      <c r="B236" s="64"/>
      <c r="C236" s="65" t="s">
        <v>95</v>
      </c>
      <c r="D236" s="66"/>
      <c r="E236" s="67">
        <v>2713.3370181818141</v>
      </c>
      <c r="F236" s="68">
        <v>2713.3370181818141</v>
      </c>
      <c r="G236" s="69"/>
    </row>
    <row r="237" spans="2:7" ht="15.75" thickBot="1">
      <c r="B237" s="64"/>
      <c r="C237" s="70"/>
      <c r="D237" s="71"/>
      <c r="E237" s="72"/>
      <c r="F237" s="73"/>
      <c r="G237" s="69"/>
    </row>
    <row r="238" spans="2:7" ht="15.75" thickBot="1">
      <c r="B238" s="64"/>
      <c r="C238" s="70" t="s">
        <v>96</v>
      </c>
      <c r="D238" s="71"/>
      <c r="E238" s="74">
        <v>13761.81686677687</v>
      </c>
      <c r="F238" s="75">
        <v>13761.81686677687</v>
      </c>
      <c r="G238" s="76"/>
    </row>
    <row r="239" spans="2:7" ht="8.25" customHeight="1" thickBot="1">
      <c r="B239" s="77"/>
      <c r="C239" s="81"/>
      <c r="D239" s="81"/>
      <c r="E239" s="78"/>
      <c r="F239" s="78"/>
      <c r="G239" s="79"/>
    </row>
    <row r="240" spans="2:7">
      <c r="B240" s="85"/>
      <c r="C240" s="84"/>
      <c r="D240" s="84"/>
      <c r="E240" s="85"/>
      <c r="F240" s="85"/>
      <c r="G240" s="85"/>
    </row>
    <row r="241" spans="1:7" ht="6" customHeight="1" thickBot="1"/>
    <row r="242" spans="1:7">
      <c r="B242" s="1"/>
      <c r="C242" s="2"/>
      <c r="D242" s="2"/>
      <c r="E242" s="2"/>
      <c r="F242" s="2"/>
      <c r="G242" s="3"/>
    </row>
    <row r="243" spans="1:7">
      <c r="B243" s="4"/>
      <c r="C243" s="5"/>
      <c r="D243" s="5"/>
      <c r="E243" s="5"/>
      <c r="F243" s="5"/>
      <c r="G243" s="6"/>
    </row>
    <row r="244" spans="1:7">
      <c r="B244" s="4"/>
      <c r="C244" s="5"/>
      <c r="D244" s="5"/>
      <c r="E244" s="5"/>
      <c r="F244" s="5"/>
      <c r="G244" s="6"/>
    </row>
    <row r="245" spans="1:7">
      <c r="B245" s="4"/>
      <c r="C245" s="5"/>
      <c r="D245" s="5"/>
      <c r="E245" s="5"/>
      <c r="F245" s="5"/>
      <c r="G245" s="6"/>
    </row>
    <row r="246" spans="1:7">
      <c r="B246" s="4"/>
      <c r="C246" s="5"/>
      <c r="D246" s="5"/>
      <c r="E246" s="5"/>
      <c r="F246" s="5"/>
      <c r="G246" s="6"/>
    </row>
    <row r="247" spans="1:7" ht="16.5" customHeight="1">
      <c r="B247" s="4"/>
      <c r="C247" s="5"/>
      <c r="D247" s="5"/>
      <c r="E247" s="5"/>
      <c r="F247" s="5"/>
      <c r="G247" s="6"/>
    </row>
    <row r="248" spans="1:7" ht="22.5" customHeight="1" thickBot="1">
      <c r="B248" s="4"/>
      <c r="C248" s="95" t="s">
        <v>0</v>
      </c>
      <c r="D248" s="95"/>
      <c r="E248" s="95"/>
      <c r="F248" s="5"/>
      <c r="G248" s="6"/>
    </row>
    <row r="249" spans="1:7" ht="21" thickTop="1">
      <c r="B249" s="4"/>
      <c r="C249" s="7"/>
      <c r="D249" s="7"/>
      <c r="E249" s="5"/>
      <c r="F249" s="5"/>
      <c r="G249" s="6"/>
    </row>
    <row r="250" spans="1:7">
      <c r="B250" s="8" t="s">
        <v>1</v>
      </c>
      <c r="C250" s="9" t="s">
        <v>97</v>
      </c>
      <c r="D250" s="5"/>
      <c r="E250" s="10" t="s">
        <v>2</v>
      </c>
      <c r="F250" s="9" t="s">
        <v>98</v>
      </c>
      <c r="G250" s="6"/>
    </row>
    <row r="251" spans="1:7" ht="3.75" customHeight="1">
      <c r="A251" s="80"/>
      <c r="B251" s="5"/>
      <c r="C251" s="5"/>
      <c r="D251" s="5"/>
      <c r="E251" s="11"/>
      <c r="F251" s="5"/>
      <c r="G251" s="6"/>
    </row>
    <row r="252" spans="1:7">
      <c r="A252" s="80"/>
      <c r="B252" s="12" t="s">
        <v>3</v>
      </c>
      <c r="C252" s="9" t="s">
        <v>99</v>
      </c>
      <c r="D252" s="5"/>
      <c r="E252" s="10" t="s">
        <v>4</v>
      </c>
      <c r="F252" s="82" t="s">
        <v>100</v>
      </c>
      <c r="G252" s="6"/>
    </row>
    <row r="253" spans="1:7" ht="3.75" customHeight="1">
      <c r="A253" s="80"/>
      <c r="B253" s="5"/>
      <c r="C253" s="5"/>
      <c r="D253" s="5"/>
      <c r="E253" s="11"/>
      <c r="F253" s="5"/>
      <c r="G253" s="6"/>
    </row>
    <row r="254" spans="1:7">
      <c r="A254" s="80"/>
      <c r="B254" s="10" t="s">
        <v>5</v>
      </c>
      <c r="C254" s="9" t="s">
        <v>101</v>
      </c>
      <c r="D254" s="5"/>
      <c r="E254" s="10" t="s">
        <v>6</v>
      </c>
      <c r="F254" s="9" t="s">
        <v>107</v>
      </c>
      <c r="G254" s="6"/>
    </row>
    <row r="255" spans="1:7" ht="4.5" customHeight="1">
      <c r="A255" s="80"/>
      <c r="B255" s="13"/>
      <c r="C255" s="5"/>
      <c r="D255" s="5"/>
      <c r="E255" s="11"/>
      <c r="F255" s="5"/>
      <c r="G255" s="6"/>
    </row>
    <row r="256" spans="1:7">
      <c r="A256" s="80"/>
      <c r="B256" s="10" t="s">
        <v>7</v>
      </c>
      <c r="C256" s="9" t="s">
        <v>120</v>
      </c>
      <c r="D256" s="5"/>
      <c r="E256" s="11"/>
      <c r="F256" s="5"/>
      <c r="G256" s="6"/>
    </row>
    <row r="257" spans="1:7" ht="3.75" customHeight="1">
      <c r="A257" s="80"/>
      <c r="B257" s="5"/>
      <c r="C257" s="5"/>
      <c r="D257" s="5"/>
      <c r="E257" s="11"/>
      <c r="F257" s="5"/>
      <c r="G257" s="6"/>
    </row>
    <row r="258" spans="1:7">
      <c r="B258" s="14" t="s">
        <v>8</v>
      </c>
      <c r="C258" s="15" t="s">
        <v>105</v>
      </c>
      <c r="D258" s="5"/>
      <c r="E258" s="86" t="s">
        <v>109</v>
      </c>
      <c r="F258" s="87">
        <v>45352</v>
      </c>
      <c r="G258" s="6"/>
    </row>
    <row r="259" spans="1:7">
      <c r="B259" s="16" t="s">
        <v>9</v>
      </c>
      <c r="C259" s="17" t="s">
        <v>130</v>
      </c>
      <c r="D259" s="5"/>
      <c r="E259" s="88" t="s">
        <v>110</v>
      </c>
      <c r="F259" s="89">
        <v>45382</v>
      </c>
      <c r="G259" s="18"/>
    </row>
    <row r="260" spans="1:7" ht="15.75" thickBot="1">
      <c r="B260" s="4"/>
      <c r="C260" s="19"/>
      <c r="D260" s="19"/>
      <c r="E260" s="20"/>
      <c r="F260" s="21"/>
      <c r="G260" s="18"/>
    </row>
    <row r="261" spans="1:7" ht="18.75" thickBot="1">
      <c r="B261" s="4"/>
      <c r="C261" s="22" t="s">
        <v>10</v>
      </c>
      <c r="D261" s="23"/>
      <c r="E261" s="24"/>
      <c r="F261" s="25" t="s">
        <v>11</v>
      </c>
      <c r="G261" s="18"/>
    </row>
    <row r="262" spans="1:7">
      <c r="B262" s="4"/>
      <c r="C262" s="26" t="s">
        <v>12</v>
      </c>
      <c r="D262" s="26"/>
      <c r="E262" s="27">
        <v>13761.81686677687</v>
      </c>
      <c r="F262" s="28">
        <v>13761.81686677687</v>
      </c>
      <c r="G262" s="29"/>
    </row>
    <row r="263" spans="1:7">
      <c r="B263" s="30">
        <v>143</v>
      </c>
      <c r="C263" s="31" t="s">
        <v>13</v>
      </c>
      <c r="D263" s="31"/>
      <c r="E263" s="27">
        <v>4578.6174545454505</v>
      </c>
      <c r="F263" s="32">
        <v>4578.6174545454505</v>
      </c>
      <c r="G263" s="33"/>
    </row>
    <row r="264" spans="1:7">
      <c r="B264" s="30"/>
      <c r="C264" s="34" t="s">
        <v>14</v>
      </c>
      <c r="D264" s="34"/>
      <c r="E264" s="27">
        <v>0</v>
      </c>
      <c r="F264" s="32">
        <v>0</v>
      </c>
      <c r="G264" s="33"/>
    </row>
    <row r="265" spans="1:7">
      <c r="B265" s="30"/>
      <c r="C265" s="34" t="s">
        <v>15</v>
      </c>
      <c r="D265" s="34"/>
      <c r="E265" s="27">
        <v>0</v>
      </c>
      <c r="F265" s="32">
        <v>0</v>
      </c>
      <c r="G265" s="33"/>
    </row>
    <row r="266" spans="1:7">
      <c r="B266" s="30"/>
      <c r="C266" s="34" t="s">
        <v>16</v>
      </c>
      <c r="D266" s="34"/>
      <c r="E266" s="27">
        <v>0</v>
      </c>
      <c r="F266" s="32">
        <v>0</v>
      </c>
      <c r="G266" s="33"/>
    </row>
    <row r="267" spans="1:7">
      <c r="B267" s="30"/>
      <c r="C267" s="34" t="s">
        <v>17</v>
      </c>
      <c r="D267" s="34"/>
      <c r="E267" s="27">
        <v>0</v>
      </c>
      <c r="F267" s="32">
        <v>0</v>
      </c>
      <c r="G267" s="33"/>
    </row>
    <row r="268" spans="1:7">
      <c r="B268" s="30"/>
      <c r="C268" s="35" t="s">
        <v>18</v>
      </c>
      <c r="D268" s="35"/>
      <c r="E268" s="36">
        <v>18340.434321322318</v>
      </c>
      <c r="F268" s="37">
        <v>18340.434321322318</v>
      </c>
      <c r="G268" s="38"/>
    </row>
    <row r="269" spans="1:7" ht="15.75" thickBot="1">
      <c r="B269" s="30"/>
      <c r="C269" s="39"/>
      <c r="D269" s="39"/>
      <c r="E269" s="40"/>
      <c r="F269" s="41"/>
      <c r="G269" s="38"/>
    </row>
    <row r="270" spans="1:7" ht="18.75" thickBot="1">
      <c r="B270" s="30"/>
      <c r="C270" s="22" t="s">
        <v>19</v>
      </c>
      <c r="D270" s="23"/>
      <c r="E270" s="42"/>
      <c r="F270" s="43"/>
      <c r="G270" s="38"/>
    </row>
    <row r="271" spans="1:7">
      <c r="B271" s="44">
        <v>121</v>
      </c>
      <c r="C271" s="39" t="s">
        <v>20</v>
      </c>
      <c r="D271" s="39"/>
      <c r="E271" s="45"/>
      <c r="F271" s="46"/>
      <c r="G271" s="47"/>
    </row>
    <row r="272" spans="1:7">
      <c r="B272" s="44"/>
      <c r="C272" s="48" t="s">
        <v>21</v>
      </c>
      <c r="D272" s="48"/>
      <c r="E272" s="49">
        <v>0</v>
      </c>
      <c r="F272" s="50">
        <v>0</v>
      </c>
      <c r="G272" s="47"/>
    </row>
    <row r="273" spans="2:7">
      <c r="B273" s="44"/>
      <c r="C273" s="48" t="s">
        <v>22</v>
      </c>
      <c r="D273" s="48"/>
      <c r="E273" s="49">
        <v>0</v>
      </c>
      <c r="F273" s="50">
        <v>0</v>
      </c>
      <c r="G273" s="47"/>
    </row>
    <row r="274" spans="2:7">
      <c r="B274" s="51"/>
      <c r="C274" s="48" t="s">
        <v>23</v>
      </c>
      <c r="D274" s="48"/>
      <c r="E274" s="49">
        <v>0</v>
      </c>
      <c r="F274" s="50">
        <v>0</v>
      </c>
      <c r="G274" s="52"/>
    </row>
    <row r="275" spans="2:7">
      <c r="B275" s="51"/>
      <c r="C275" s="48" t="s">
        <v>24</v>
      </c>
      <c r="D275" s="48"/>
      <c r="E275" s="49">
        <v>814.0011054545447</v>
      </c>
      <c r="F275" s="50">
        <v>814.0011054545447</v>
      </c>
      <c r="G275" s="52"/>
    </row>
    <row r="276" spans="2:7">
      <c r="B276" s="44"/>
      <c r="C276" s="48" t="s">
        <v>25</v>
      </c>
      <c r="D276" s="48"/>
      <c r="E276" s="49">
        <v>0</v>
      </c>
      <c r="F276" s="50">
        <v>0</v>
      </c>
      <c r="G276" s="52"/>
    </row>
    <row r="277" spans="2:7">
      <c r="B277" s="44"/>
      <c r="C277" s="53" t="s">
        <v>26</v>
      </c>
      <c r="D277" s="53"/>
      <c r="E277" s="36">
        <v>814.0011054545447</v>
      </c>
      <c r="F277" s="54">
        <v>814.0011054545447</v>
      </c>
      <c r="G277" s="52"/>
    </row>
    <row r="278" spans="2:7">
      <c r="B278" s="44">
        <v>122</v>
      </c>
      <c r="C278" s="39" t="s">
        <v>27</v>
      </c>
      <c r="D278" s="39"/>
      <c r="E278" s="36"/>
      <c r="F278" s="50"/>
      <c r="G278" s="55"/>
    </row>
    <row r="279" spans="2:7">
      <c r="B279" s="44"/>
      <c r="C279" s="48" t="s">
        <v>28</v>
      </c>
      <c r="D279" s="48"/>
      <c r="E279" s="49">
        <v>0</v>
      </c>
      <c r="F279" s="50">
        <v>0</v>
      </c>
      <c r="G279" s="52"/>
    </row>
    <row r="280" spans="2:7">
      <c r="B280" s="44"/>
      <c r="C280" s="48" t="s">
        <v>29</v>
      </c>
      <c r="D280" s="48"/>
      <c r="E280" s="49">
        <v>0</v>
      </c>
      <c r="F280" s="50">
        <v>0</v>
      </c>
      <c r="G280" s="52"/>
    </row>
    <row r="281" spans="2:7">
      <c r="B281" s="44"/>
      <c r="C281" s="48" t="s">
        <v>30</v>
      </c>
      <c r="D281" s="48"/>
      <c r="E281" s="49">
        <v>0</v>
      </c>
      <c r="F281" s="50">
        <v>0</v>
      </c>
      <c r="G281" s="52"/>
    </row>
    <row r="282" spans="2:7">
      <c r="B282" s="44"/>
      <c r="C282" s="48" t="s">
        <v>31</v>
      </c>
      <c r="D282" s="48"/>
      <c r="E282" s="49">
        <v>0</v>
      </c>
      <c r="F282" s="50">
        <v>0</v>
      </c>
      <c r="G282" s="52"/>
    </row>
    <row r="283" spans="2:7">
      <c r="B283" s="44"/>
      <c r="C283" s="48" t="s">
        <v>32</v>
      </c>
      <c r="D283" s="48"/>
      <c r="E283" s="49">
        <v>271.33370181818157</v>
      </c>
      <c r="F283" s="50">
        <v>271.33370181818157</v>
      </c>
      <c r="G283" s="52"/>
    </row>
    <row r="284" spans="2:7">
      <c r="B284" s="44"/>
      <c r="C284" s="48" t="s">
        <v>33</v>
      </c>
      <c r="D284" s="48"/>
      <c r="E284" s="49">
        <v>0</v>
      </c>
      <c r="F284" s="50">
        <v>0</v>
      </c>
      <c r="G284" s="52"/>
    </row>
    <row r="285" spans="2:7">
      <c r="B285" s="44"/>
      <c r="C285" s="48" t="s">
        <v>34</v>
      </c>
      <c r="D285" s="48"/>
      <c r="E285" s="49">
        <v>0</v>
      </c>
      <c r="F285" s="50">
        <v>0</v>
      </c>
      <c r="G285" s="52"/>
    </row>
    <row r="286" spans="2:7">
      <c r="B286" s="44"/>
      <c r="C286" s="48" t="s">
        <v>35</v>
      </c>
      <c r="D286" s="48"/>
      <c r="E286" s="49">
        <v>0</v>
      </c>
      <c r="F286" s="50">
        <v>0</v>
      </c>
      <c r="G286" s="52"/>
    </row>
    <row r="287" spans="2:7">
      <c r="B287" s="44"/>
      <c r="C287" s="53" t="s">
        <v>26</v>
      </c>
      <c r="D287" s="53"/>
      <c r="E287" s="36">
        <v>271.33370181818157</v>
      </c>
      <c r="F287" s="54">
        <v>271.33370181818157</v>
      </c>
      <c r="G287" s="52"/>
    </row>
    <row r="288" spans="2:7">
      <c r="B288" s="44">
        <v>123</v>
      </c>
      <c r="C288" s="39" t="s">
        <v>36</v>
      </c>
      <c r="D288" s="39"/>
      <c r="E288" s="56"/>
      <c r="F288" s="57"/>
      <c r="G288" s="52"/>
    </row>
    <row r="289" spans="2:7">
      <c r="B289" s="44"/>
      <c r="C289" s="48" t="s">
        <v>37</v>
      </c>
      <c r="D289" s="48"/>
      <c r="E289" s="49">
        <v>222.00030148760285</v>
      </c>
      <c r="F289" s="50">
        <v>222.00030148760285</v>
      </c>
      <c r="G289" s="52"/>
    </row>
    <row r="290" spans="2:7">
      <c r="B290" s="44"/>
      <c r="C290" s="48" t="s">
        <v>38</v>
      </c>
      <c r="D290" s="48"/>
      <c r="E290" s="49">
        <v>1825.3358122314014</v>
      </c>
      <c r="F290" s="50">
        <v>1825.3358122314014</v>
      </c>
      <c r="G290" s="52"/>
    </row>
    <row r="291" spans="2:7">
      <c r="B291" s="44"/>
      <c r="C291" s="48" t="s">
        <v>39</v>
      </c>
      <c r="D291" s="48"/>
      <c r="E291" s="49">
        <v>222.00030148760285</v>
      </c>
      <c r="F291" s="50">
        <v>222.00030148760285</v>
      </c>
      <c r="G291" s="52"/>
    </row>
    <row r="292" spans="2:7">
      <c r="B292" s="44"/>
      <c r="C292" s="48" t="s">
        <v>40</v>
      </c>
      <c r="D292" s="48"/>
      <c r="E292" s="49">
        <v>0</v>
      </c>
      <c r="F292" s="50">
        <v>0</v>
      </c>
      <c r="G292" s="52"/>
    </row>
    <row r="293" spans="2:7">
      <c r="B293" s="44"/>
      <c r="C293" s="48" t="s">
        <v>41</v>
      </c>
      <c r="D293" s="48"/>
      <c r="E293" s="49">
        <v>0</v>
      </c>
      <c r="F293" s="50">
        <v>0</v>
      </c>
      <c r="G293" s="52"/>
    </row>
    <row r="294" spans="2:7">
      <c r="B294" s="44"/>
      <c r="C294" s="48" t="s">
        <v>42</v>
      </c>
      <c r="D294" s="48"/>
      <c r="E294" s="49">
        <v>444.00060297520571</v>
      </c>
      <c r="F294" s="50">
        <v>444.00060297520571</v>
      </c>
      <c r="G294" s="52"/>
    </row>
    <row r="295" spans="2:7">
      <c r="B295" s="44"/>
      <c r="C295" s="53" t="s">
        <v>26</v>
      </c>
      <c r="D295" s="53"/>
      <c r="E295" s="36">
        <v>2713.3370181818127</v>
      </c>
      <c r="F295" s="54">
        <v>2713.3370181818127</v>
      </c>
      <c r="G295" s="52"/>
    </row>
    <row r="296" spans="2:7">
      <c r="B296" s="44">
        <v>124</v>
      </c>
      <c r="C296" s="39" t="s">
        <v>43</v>
      </c>
      <c r="D296" s="39"/>
      <c r="E296" s="56"/>
      <c r="F296" s="57"/>
      <c r="G296" s="52"/>
    </row>
    <row r="297" spans="2:7">
      <c r="B297" s="44"/>
      <c r="C297" s="48" t="s">
        <v>44</v>
      </c>
      <c r="D297" s="48"/>
      <c r="E297" s="49">
        <v>0</v>
      </c>
      <c r="F297" s="50">
        <v>0</v>
      </c>
      <c r="G297" s="52"/>
    </row>
    <row r="298" spans="2:7">
      <c r="B298" s="44"/>
      <c r="C298" s="48" t="s">
        <v>45</v>
      </c>
      <c r="D298" s="48"/>
      <c r="E298" s="49">
        <v>2102.8361890909068</v>
      </c>
      <c r="F298" s="50">
        <v>2102.8361890909068</v>
      </c>
      <c r="G298" s="52"/>
    </row>
    <row r="299" spans="2:7">
      <c r="B299" s="44"/>
      <c r="C299" s="48" t="s">
        <v>46</v>
      </c>
      <c r="D299" s="48"/>
      <c r="E299" s="49">
        <v>0</v>
      </c>
      <c r="F299" s="50">
        <v>0</v>
      </c>
      <c r="G299" s="52"/>
    </row>
    <row r="300" spans="2:7">
      <c r="B300" s="44"/>
      <c r="C300" s="53" t="s">
        <v>26</v>
      </c>
      <c r="D300" s="53"/>
      <c r="E300" s="36">
        <v>2102.8361890909068</v>
      </c>
      <c r="F300" s="54">
        <v>2102.8361890909068</v>
      </c>
      <c r="G300" s="52"/>
    </row>
    <row r="301" spans="2:7">
      <c r="B301" s="44">
        <v>125</v>
      </c>
      <c r="C301" s="39" t="s">
        <v>47</v>
      </c>
      <c r="D301" s="39"/>
      <c r="E301" s="36"/>
      <c r="F301" s="50"/>
      <c r="G301" s="52"/>
    </row>
    <row r="302" spans="2:7">
      <c r="B302" s="44"/>
      <c r="C302" s="48" t="s">
        <v>48</v>
      </c>
      <c r="D302" s="48"/>
      <c r="E302" s="58">
        <v>0</v>
      </c>
      <c r="F302" s="50">
        <v>0</v>
      </c>
      <c r="G302" s="52"/>
    </row>
    <row r="303" spans="2:7">
      <c r="B303" s="44"/>
      <c r="C303" s="48" t="s">
        <v>49</v>
      </c>
      <c r="D303" s="48"/>
      <c r="E303" s="58">
        <v>0</v>
      </c>
      <c r="F303" s="50">
        <v>0</v>
      </c>
      <c r="G303" s="52"/>
    </row>
    <row r="304" spans="2:7">
      <c r="B304" s="44"/>
      <c r="C304" s="48" t="s">
        <v>50</v>
      </c>
      <c r="D304" s="48"/>
      <c r="E304" s="58">
        <v>881.83453090909018</v>
      </c>
      <c r="F304" s="50">
        <v>881.83453090909018</v>
      </c>
      <c r="G304" s="52"/>
    </row>
    <row r="305" spans="2:7">
      <c r="B305" s="44"/>
      <c r="C305" s="48" t="s">
        <v>51</v>
      </c>
      <c r="D305" s="48"/>
      <c r="E305" s="58">
        <v>0</v>
      </c>
      <c r="F305" s="50">
        <v>0</v>
      </c>
      <c r="G305" s="52"/>
    </row>
    <row r="306" spans="2:7">
      <c r="B306" s="44"/>
      <c r="C306" s="53" t="s">
        <v>26</v>
      </c>
      <c r="D306" s="53"/>
      <c r="E306" s="56">
        <v>881.83453090909018</v>
      </c>
      <c r="F306" s="54">
        <v>881.83453090909018</v>
      </c>
      <c r="G306" s="52"/>
    </row>
    <row r="307" spans="2:7">
      <c r="B307" s="44">
        <v>126</v>
      </c>
      <c r="C307" s="39" t="s">
        <v>52</v>
      </c>
      <c r="D307" s="39"/>
      <c r="E307" s="56"/>
      <c r="F307" s="50"/>
      <c r="G307" s="52"/>
    </row>
    <row r="308" spans="2:7">
      <c r="B308" s="44"/>
      <c r="C308" s="48" t="s">
        <v>53</v>
      </c>
      <c r="D308" s="48"/>
      <c r="E308" s="49">
        <v>0</v>
      </c>
      <c r="F308" s="50">
        <v>0</v>
      </c>
      <c r="G308" s="52"/>
    </row>
    <row r="309" spans="2:7">
      <c r="B309" s="44"/>
      <c r="C309" s="48" t="s">
        <v>54</v>
      </c>
      <c r="D309" s="48"/>
      <c r="E309" s="49">
        <v>0</v>
      </c>
      <c r="F309" s="50"/>
      <c r="G309" s="52"/>
    </row>
    <row r="310" spans="2:7">
      <c r="B310" s="44"/>
      <c r="C310" s="48" t="s">
        <v>55</v>
      </c>
      <c r="D310" s="48"/>
      <c r="E310" s="49">
        <v>0</v>
      </c>
      <c r="F310" s="50"/>
      <c r="G310" s="52"/>
    </row>
    <row r="311" spans="2:7">
      <c r="B311" s="44"/>
      <c r="C311" s="48" t="s">
        <v>56</v>
      </c>
      <c r="D311" s="48"/>
      <c r="E311" s="49">
        <v>0</v>
      </c>
      <c r="F311" s="57"/>
      <c r="G311" s="52"/>
    </row>
    <row r="312" spans="2:7">
      <c r="B312" s="44"/>
      <c r="C312" s="53" t="s">
        <v>26</v>
      </c>
      <c r="D312" s="53"/>
      <c r="E312" s="56">
        <v>0</v>
      </c>
      <c r="F312" s="54">
        <v>0</v>
      </c>
      <c r="G312" s="52"/>
    </row>
    <row r="313" spans="2:7">
      <c r="B313" s="44">
        <v>127</v>
      </c>
      <c r="C313" s="39" t="s">
        <v>57</v>
      </c>
      <c r="D313" s="39"/>
      <c r="E313" s="56"/>
      <c r="F313" s="54"/>
      <c r="G313" s="52"/>
    </row>
    <row r="314" spans="2:7">
      <c r="B314" s="44"/>
      <c r="C314" s="48" t="s">
        <v>58</v>
      </c>
      <c r="D314" s="48"/>
      <c r="E314" s="49">
        <v>0</v>
      </c>
      <c r="F314" s="50">
        <v>0</v>
      </c>
      <c r="G314" s="52"/>
    </row>
    <row r="315" spans="2:7">
      <c r="B315" s="44"/>
      <c r="C315" s="48" t="s">
        <v>59</v>
      </c>
      <c r="D315" s="48"/>
      <c r="E315" s="49">
        <v>0</v>
      </c>
      <c r="F315" s="50">
        <v>0</v>
      </c>
      <c r="G315" s="52"/>
    </row>
    <row r="316" spans="2:7">
      <c r="B316" s="44"/>
      <c r="C316" s="48" t="s">
        <v>60</v>
      </c>
      <c r="D316" s="48"/>
      <c r="E316" s="49">
        <v>0</v>
      </c>
      <c r="F316" s="50">
        <v>0</v>
      </c>
      <c r="G316" s="52"/>
    </row>
    <row r="317" spans="2:7">
      <c r="B317" s="44"/>
      <c r="C317" s="59" t="s">
        <v>61</v>
      </c>
      <c r="D317" s="59"/>
      <c r="E317" s="49">
        <v>0</v>
      </c>
      <c r="F317" s="50">
        <v>0</v>
      </c>
      <c r="G317" s="52"/>
    </row>
    <row r="318" spans="2:7">
      <c r="B318" s="44"/>
      <c r="C318" s="53" t="s">
        <v>26</v>
      </c>
      <c r="D318" s="53"/>
      <c r="E318" s="56">
        <v>0</v>
      </c>
      <c r="F318" s="54">
        <v>0</v>
      </c>
      <c r="G318" s="52"/>
    </row>
    <row r="319" spans="2:7">
      <c r="B319" s="44">
        <v>128</v>
      </c>
      <c r="C319" s="39" t="s">
        <v>62</v>
      </c>
      <c r="D319" s="39"/>
      <c r="E319" s="56"/>
      <c r="F319" s="54"/>
      <c r="G319" s="52"/>
    </row>
    <row r="320" spans="2:7">
      <c r="B320" s="44"/>
      <c r="C320" s="48" t="s">
        <v>63</v>
      </c>
      <c r="D320" s="48"/>
      <c r="E320" s="49">
        <v>0</v>
      </c>
      <c r="F320" s="50">
        <v>0</v>
      </c>
      <c r="G320" s="52"/>
    </row>
    <row r="321" spans="2:7">
      <c r="B321" s="44"/>
      <c r="C321" s="48" t="s">
        <v>64</v>
      </c>
      <c r="D321" s="48"/>
      <c r="E321" s="49">
        <v>0</v>
      </c>
      <c r="F321" s="50">
        <v>0</v>
      </c>
      <c r="G321" s="52"/>
    </row>
    <row r="322" spans="2:7">
      <c r="B322" s="44"/>
      <c r="C322" s="48" t="s">
        <v>65</v>
      </c>
      <c r="D322" s="48"/>
      <c r="E322" s="49">
        <v>0</v>
      </c>
      <c r="F322" s="50">
        <v>0</v>
      </c>
      <c r="G322" s="52"/>
    </row>
    <row r="323" spans="2:7">
      <c r="B323" s="44"/>
      <c r="C323" s="48" t="s">
        <v>66</v>
      </c>
      <c r="D323" s="48"/>
      <c r="E323" s="49">
        <v>0</v>
      </c>
      <c r="F323" s="50">
        <v>0</v>
      </c>
      <c r="G323" s="52"/>
    </row>
    <row r="324" spans="2:7">
      <c r="B324" s="44"/>
      <c r="C324" s="48" t="s">
        <v>67</v>
      </c>
      <c r="D324" s="48"/>
      <c r="E324" s="49">
        <v>0</v>
      </c>
      <c r="F324" s="50">
        <v>0</v>
      </c>
      <c r="G324" s="52"/>
    </row>
    <row r="325" spans="2:7">
      <c r="B325" s="44"/>
      <c r="C325" s="53" t="s">
        <v>26</v>
      </c>
      <c r="D325" s="53"/>
      <c r="E325" s="56">
        <v>0</v>
      </c>
      <c r="F325" s="54">
        <v>0</v>
      </c>
      <c r="G325" s="52"/>
    </row>
    <row r="326" spans="2:7">
      <c r="B326" s="44">
        <v>135</v>
      </c>
      <c r="C326" s="39" t="s">
        <v>68</v>
      </c>
      <c r="D326" s="39"/>
      <c r="E326" s="56"/>
      <c r="F326" s="50"/>
      <c r="G326" s="52"/>
    </row>
    <row r="327" spans="2:7">
      <c r="B327" s="44"/>
      <c r="C327" s="48" t="s">
        <v>69</v>
      </c>
      <c r="D327" s="48"/>
      <c r="E327" s="49">
        <v>0</v>
      </c>
      <c r="F327" s="50">
        <v>0</v>
      </c>
      <c r="G327" s="52"/>
    </row>
    <row r="328" spans="2:7">
      <c r="B328" s="44"/>
      <c r="C328" s="48" t="s">
        <v>70</v>
      </c>
      <c r="D328" s="48"/>
      <c r="E328" s="49">
        <v>0</v>
      </c>
      <c r="F328" s="50">
        <v>0</v>
      </c>
      <c r="G328" s="52"/>
    </row>
    <row r="329" spans="2:7">
      <c r="B329" s="44"/>
      <c r="C329" s="48" t="s">
        <v>71</v>
      </c>
      <c r="D329" s="48"/>
      <c r="E329" s="49">
        <v>0</v>
      </c>
      <c r="F329" s="50">
        <v>0</v>
      </c>
      <c r="G329" s="52"/>
    </row>
    <row r="330" spans="2:7">
      <c r="B330" s="44"/>
      <c r="C330" s="48" t="s">
        <v>72</v>
      </c>
      <c r="D330" s="48"/>
      <c r="E330" s="49">
        <v>0</v>
      </c>
      <c r="F330" s="50">
        <v>0</v>
      </c>
      <c r="G330" s="52"/>
    </row>
    <row r="331" spans="2:7">
      <c r="B331" s="44"/>
      <c r="C331" s="48" t="s">
        <v>73</v>
      </c>
      <c r="D331" s="48"/>
      <c r="E331" s="49">
        <v>0</v>
      </c>
      <c r="F331" s="50">
        <v>0</v>
      </c>
      <c r="G331" s="52"/>
    </row>
    <row r="332" spans="2:7">
      <c r="B332" s="44"/>
      <c r="C332" s="48" t="s">
        <v>74</v>
      </c>
      <c r="D332" s="48"/>
      <c r="E332" s="49">
        <v>0</v>
      </c>
      <c r="F332" s="50">
        <v>0</v>
      </c>
      <c r="G332" s="52"/>
    </row>
    <row r="333" spans="2:7">
      <c r="B333" s="44"/>
      <c r="C333" s="48" t="s">
        <v>75</v>
      </c>
      <c r="D333" s="48"/>
      <c r="E333" s="49">
        <v>0</v>
      </c>
      <c r="F333" s="50">
        <v>0</v>
      </c>
      <c r="G333" s="52"/>
    </row>
    <row r="334" spans="2:7">
      <c r="B334" s="44"/>
      <c r="C334" s="48" t="s">
        <v>76</v>
      </c>
      <c r="D334" s="48"/>
      <c r="E334" s="49">
        <v>0</v>
      </c>
      <c r="F334" s="50">
        <v>0</v>
      </c>
      <c r="G334" s="52"/>
    </row>
    <row r="335" spans="2:7">
      <c r="B335" s="44"/>
      <c r="C335" s="48" t="s">
        <v>77</v>
      </c>
      <c r="D335" s="48"/>
      <c r="E335" s="49">
        <v>0</v>
      </c>
      <c r="F335" s="50">
        <v>0</v>
      </c>
      <c r="G335" s="52"/>
    </row>
    <row r="336" spans="2:7">
      <c r="B336" s="44"/>
      <c r="C336" s="53" t="s">
        <v>26</v>
      </c>
      <c r="D336" s="53"/>
      <c r="E336" s="56">
        <v>0</v>
      </c>
      <c r="F336" s="54">
        <v>0</v>
      </c>
      <c r="G336" s="52"/>
    </row>
    <row r="337" spans="2:7">
      <c r="B337" s="44">
        <v>136</v>
      </c>
      <c r="C337" s="39" t="s">
        <v>78</v>
      </c>
      <c r="D337" s="39"/>
      <c r="E337" s="56"/>
      <c r="F337" s="50"/>
      <c r="G337" s="52"/>
    </row>
    <row r="338" spans="2:7">
      <c r="B338" s="44"/>
      <c r="C338" s="48" t="s">
        <v>79</v>
      </c>
      <c r="D338" s="48"/>
      <c r="E338" s="49">
        <v>0</v>
      </c>
      <c r="F338" s="50">
        <v>0</v>
      </c>
      <c r="G338" s="52"/>
    </row>
    <row r="339" spans="2:7">
      <c r="B339" s="44"/>
      <c r="C339" s="48" t="s">
        <v>80</v>
      </c>
      <c r="D339" s="48"/>
      <c r="E339" s="49">
        <v>0</v>
      </c>
      <c r="F339" s="50">
        <v>0</v>
      </c>
      <c r="G339" s="52"/>
    </row>
    <row r="340" spans="2:7">
      <c r="B340" s="44"/>
      <c r="C340" s="48" t="s">
        <v>81</v>
      </c>
      <c r="D340" s="48"/>
      <c r="E340" s="49">
        <v>0</v>
      </c>
      <c r="F340" s="50">
        <v>0</v>
      </c>
      <c r="G340" s="52"/>
    </row>
    <row r="341" spans="2:7">
      <c r="B341" s="44"/>
      <c r="C341" s="48" t="s">
        <v>82</v>
      </c>
      <c r="D341" s="48"/>
      <c r="E341" s="49">
        <v>0</v>
      </c>
      <c r="F341" s="50">
        <v>0</v>
      </c>
      <c r="G341" s="52"/>
    </row>
    <row r="342" spans="2:7">
      <c r="B342" s="44"/>
      <c r="C342" s="48" t="s">
        <v>83</v>
      </c>
      <c r="D342" s="48"/>
      <c r="E342" s="49">
        <v>0</v>
      </c>
      <c r="F342" s="50">
        <v>0</v>
      </c>
      <c r="G342" s="52"/>
    </row>
    <row r="343" spans="2:7">
      <c r="B343" s="44"/>
      <c r="C343" s="48" t="s">
        <v>84</v>
      </c>
      <c r="D343" s="48"/>
      <c r="E343" s="49">
        <v>0</v>
      </c>
      <c r="F343" s="50">
        <v>0</v>
      </c>
      <c r="G343" s="52"/>
    </row>
    <row r="344" spans="2:7">
      <c r="B344" s="44"/>
      <c r="C344" s="53" t="s">
        <v>26</v>
      </c>
      <c r="D344" s="53"/>
      <c r="E344" s="56">
        <v>0</v>
      </c>
      <c r="F344" s="54">
        <v>0</v>
      </c>
      <c r="G344" s="52"/>
    </row>
    <row r="345" spans="2:7">
      <c r="B345" s="44">
        <v>142</v>
      </c>
      <c r="C345" s="39" t="s">
        <v>85</v>
      </c>
      <c r="D345" s="39"/>
      <c r="E345" s="56"/>
      <c r="F345" s="50"/>
      <c r="G345" s="52"/>
    </row>
    <row r="346" spans="2:7">
      <c r="B346" s="44"/>
      <c r="C346" s="48" t="s">
        <v>86</v>
      </c>
      <c r="D346" s="48"/>
      <c r="E346" s="49">
        <v>0</v>
      </c>
      <c r="F346" s="50">
        <v>0</v>
      </c>
      <c r="G346" s="52"/>
    </row>
    <row r="347" spans="2:7">
      <c r="B347" s="44"/>
      <c r="C347" s="48" t="s">
        <v>87</v>
      </c>
      <c r="D347" s="48"/>
      <c r="E347" s="49">
        <v>0</v>
      </c>
      <c r="F347" s="50">
        <v>0</v>
      </c>
      <c r="G347" s="52"/>
    </row>
    <row r="348" spans="2:7">
      <c r="B348" s="44"/>
      <c r="C348" s="53" t="s">
        <v>26</v>
      </c>
      <c r="D348" s="53"/>
      <c r="E348" s="56">
        <v>0</v>
      </c>
      <c r="F348" s="54">
        <v>0</v>
      </c>
      <c r="G348" s="52"/>
    </row>
    <row r="349" spans="2:7">
      <c r="B349" s="44">
        <v>144</v>
      </c>
      <c r="C349" s="39" t="s">
        <v>88</v>
      </c>
      <c r="D349" s="39"/>
      <c r="E349" s="49">
        <v>0</v>
      </c>
      <c r="F349" s="54">
        <v>0</v>
      </c>
      <c r="G349" s="52"/>
    </row>
    <row r="350" spans="2:7">
      <c r="B350" s="44">
        <v>221</v>
      </c>
      <c r="C350" s="39" t="s">
        <v>89</v>
      </c>
      <c r="D350" s="39"/>
      <c r="E350" s="49">
        <v>0</v>
      </c>
      <c r="F350" s="54">
        <v>0</v>
      </c>
      <c r="G350" s="52"/>
    </row>
    <row r="351" spans="2:7">
      <c r="B351" s="44">
        <v>222</v>
      </c>
      <c r="C351" s="39" t="s">
        <v>90</v>
      </c>
      <c r="D351" s="39"/>
      <c r="E351" s="49">
        <v>0</v>
      </c>
      <c r="F351" s="54">
        <v>0</v>
      </c>
      <c r="G351" s="52"/>
    </row>
    <row r="352" spans="2:7">
      <c r="B352" s="44">
        <v>224</v>
      </c>
      <c r="C352" s="39" t="s">
        <v>91</v>
      </c>
      <c r="D352" s="39"/>
      <c r="E352" s="49">
        <v>0</v>
      </c>
      <c r="F352" s="54">
        <v>0</v>
      </c>
      <c r="G352" s="52"/>
    </row>
    <row r="353" spans="2:7">
      <c r="B353" s="44">
        <v>225</v>
      </c>
      <c r="C353" s="39" t="s">
        <v>92</v>
      </c>
      <c r="D353" s="39"/>
      <c r="E353" s="49">
        <v>0</v>
      </c>
      <c r="F353" s="54">
        <v>0</v>
      </c>
      <c r="G353" s="38"/>
    </row>
    <row r="354" spans="2:7">
      <c r="B354" s="44">
        <v>226</v>
      </c>
      <c r="C354" s="39" t="s">
        <v>93</v>
      </c>
      <c r="D354" s="39"/>
      <c r="E354" s="49">
        <v>0</v>
      </c>
      <c r="F354" s="54">
        <v>0</v>
      </c>
      <c r="G354" s="60"/>
    </row>
    <row r="355" spans="2:7" ht="15.75" thickBot="1">
      <c r="B355" s="61"/>
      <c r="C355" s="62" t="s">
        <v>94</v>
      </c>
      <c r="D355" s="62"/>
      <c r="E355" s="94">
        <v>0</v>
      </c>
      <c r="F355" s="63">
        <v>0</v>
      </c>
      <c r="G355" s="38"/>
    </row>
    <row r="356" spans="2:7">
      <c r="B356" s="64"/>
      <c r="C356" s="65" t="s">
        <v>95</v>
      </c>
      <c r="D356" s="66"/>
      <c r="E356" s="67">
        <v>6783.3425454545359</v>
      </c>
      <c r="F356" s="68">
        <v>6783.3425454545359</v>
      </c>
      <c r="G356" s="69"/>
    </row>
    <row r="357" spans="2:7" ht="15.75" thickBot="1">
      <c r="B357" s="64"/>
      <c r="C357" s="70"/>
      <c r="D357" s="71"/>
      <c r="E357" s="72"/>
      <c r="F357" s="73"/>
      <c r="G357" s="69"/>
    </row>
    <row r="358" spans="2:7" ht="15.75" thickBot="1">
      <c r="B358" s="64"/>
      <c r="C358" s="70" t="s">
        <v>96</v>
      </c>
      <c r="D358" s="71"/>
      <c r="E358" s="74">
        <v>11557.091775867782</v>
      </c>
      <c r="F358" s="75">
        <v>11557.091775867782</v>
      </c>
      <c r="G358" s="76"/>
    </row>
    <row r="359" spans="2:7" ht="8.25" customHeight="1" thickBot="1">
      <c r="B359" s="77"/>
      <c r="C359" s="81"/>
      <c r="D359" s="81"/>
      <c r="E359" s="78"/>
      <c r="F359" s="78"/>
      <c r="G359" s="79"/>
    </row>
    <row r="360" spans="2:7">
      <c r="B360" s="85"/>
      <c r="C360" s="84"/>
      <c r="D360" s="84"/>
      <c r="E360" s="85"/>
      <c r="F360" s="85"/>
      <c r="G360" s="85"/>
    </row>
  </sheetData>
  <mergeCells count="3">
    <mergeCell ref="C8:E8"/>
    <mergeCell ref="C128:E128"/>
    <mergeCell ref="C248:E248"/>
  </mergeCells>
  <dataValidations count="1">
    <dataValidation type="list" allowBlank="1" showInputMessage="1" showErrorMessage="1" sqref="C136 C16 C256" xr:uid="{64192323-7FF5-4E19-A636-2A472DB4A031}">
      <formula1>FacList</formula1>
    </dataValidation>
  </dataValidations>
  <hyperlinks>
    <hyperlink ref="F12" r:id="rId1" xr:uid="{803FC85B-46E6-4109-9EBD-776683AB1ABA}"/>
    <hyperlink ref="F132" r:id="rId2" xr:uid="{B4177C97-F29C-47A3-B335-305D4A4B8980}"/>
    <hyperlink ref="F252" r:id="rId3" xr:uid="{9AEB40CA-D3B3-41BD-810C-F9349C662FF2}"/>
  </hyperlinks>
  <pageMargins left="0.7" right="0.7" top="0.75" bottom="0.75" header="0.3" footer="0.3"/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A6A42-4910-4718-9290-37BA6B7F18ED}">
  <dimension ref="A1:G360"/>
  <sheetViews>
    <sheetView zoomScale="90" zoomScaleNormal="90" workbookViewId="0">
      <selection activeCell="C1" sqref="A1:XFD1048576"/>
    </sheetView>
  </sheetViews>
  <sheetFormatPr defaultColWidth="8.85546875" defaultRowHeight="15"/>
  <cols>
    <col min="1" max="1" width="1.140625" customWidth="1"/>
    <col min="2" max="2" width="27.42578125" customWidth="1"/>
    <col min="3" max="3" width="42.7109375" bestFit="1" customWidth="1"/>
    <col min="4" max="4" width="4" customWidth="1"/>
    <col min="5" max="5" width="25.42578125" customWidth="1"/>
    <col min="6" max="6" width="27.42578125" customWidth="1"/>
    <col min="7" max="7" width="4.7109375" customWidth="1"/>
  </cols>
  <sheetData>
    <row r="1" spans="1:7" ht="6" customHeight="1" thickBot="1"/>
    <row r="2" spans="1:7">
      <c r="B2" s="1"/>
      <c r="C2" s="2"/>
      <c r="D2" s="2"/>
      <c r="E2" s="2"/>
      <c r="F2" s="2"/>
      <c r="G2" s="3"/>
    </row>
    <row r="3" spans="1:7">
      <c r="B3" s="4"/>
      <c r="C3" s="5"/>
      <c r="D3" s="5"/>
      <c r="E3" s="5"/>
      <c r="F3" s="5"/>
      <c r="G3" s="6"/>
    </row>
    <row r="4" spans="1:7">
      <c r="B4" s="4"/>
      <c r="C4" s="5"/>
      <c r="D4" s="5"/>
      <c r="E4" s="5"/>
      <c r="F4" s="5"/>
      <c r="G4" s="6"/>
    </row>
    <row r="5" spans="1:7">
      <c r="B5" s="4"/>
      <c r="C5" s="5"/>
      <c r="D5" s="5"/>
      <c r="E5" s="5"/>
      <c r="F5" s="5"/>
      <c r="G5" s="6"/>
    </row>
    <row r="6" spans="1:7">
      <c r="B6" s="4"/>
      <c r="C6" s="5"/>
      <c r="D6" s="5"/>
      <c r="E6" s="5"/>
      <c r="F6" s="5"/>
      <c r="G6" s="6"/>
    </row>
    <row r="7" spans="1:7" ht="16.5" customHeight="1">
      <c r="B7" s="4"/>
      <c r="C7" s="5"/>
      <c r="D7" s="5"/>
      <c r="E7" s="5"/>
      <c r="F7" s="5"/>
      <c r="G7" s="6"/>
    </row>
    <row r="8" spans="1:7" ht="22.5" customHeight="1" thickBot="1">
      <c r="B8" s="4"/>
      <c r="C8" s="95" t="s">
        <v>0</v>
      </c>
      <c r="D8" s="95"/>
      <c r="E8" s="95"/>
      <c r="F8" s="5"/>
      <c r="G8" s="6"/>
    </row>
    <row r="9" spans="1:7" ht="21" thickTop="1">
      <c r="B9" s="4"/>
      <c r="C9" s="7"/>
      <c r="D9" s="7"/>
      <c r="E9" s="5"/>
      <c r="F9" s="5"/>
      <c r="G9" s="6"/>
    </row>
    <row r="10" spans="1:7">
      <c r="B10" s="8" t="s">
        <v>1</v>
      </c>
      <c r="C10" s="9" t="s">
        <v>97</v>
      </c>
      <c r="D10" s="5"/>
      <c r="E10" s="10" t="s">
        <v>2</v>
      </c>
      <c r="F10" s="9" t="s">
        <v>98</v>
      </c>
      <c r="G10" s="6"/>
    </row>
    <row r="11" spans="1:7" ht="3.75" customHeight="1">
      <c r="A11" s="80"/>
      <c r="B11" s="5"/>
      <c r="C11" s="5"/>
      <c r="D11" s="5"/>
      <c r="E11" s="11"/>
      <c r="F11" s="5"/>
      <c r="G11" s="6"/>
    </row>
    <row r="12" spans="1:7">
      <c r="A12" s="80"/>
      <c r="B12" s="12" t="s">
        <v>3</v>
      </c>
      <c r="C12" s="9" t="s">
        <v>99</v>
      </c>
      <c r="D12" s="5"/>
      <c r="E12" s="10" t="s">
        <v>4</v>
      </c>
      <c r="F12" s="82" t="s">
        <v>100</v>
      </c>
      <c r="G12" s="6"/>
    </row>
    <row r="13" spans="1:7" ht="3.75" customHeight="1">
      <c r="A13" s="80"/>
      <c r="B13" s="5"/>
      <c r="C13" s="5"/>
      <c r="D13" s="5"/>
      <c r="E13" s="11"/>
      <c r="F13" s="5"/>
      <c r="G13" s="6"/>
    </row>
    <row r="14" spans="1:7">
      <c r="A14" s="80"/>
      <c r="B14" s="10" t="s">
        <v>5</v>
      </c>
      <c r="C14" s="9" t="s">
        <v>101</v>
      </c>
      <c r="D14" s="5"/>
      <c r="E14" s="10" t="s">
        <v>6</v>
      </c>
      <c r="F14" s="9" t="s">
        <v>107</v>
      </c>
      <c r="G14" s="6"/>
    </row>
    <row r="15" spans="1:7" ht="4.5" customHeight="1">
      <c r="A15" s="80"/>
      <c r="B15" s="13"/>
      <c r="C15" s="5"/>
      <c r="D15" s="5"/>
      <c r="E15" s="11"/>
      <c r="F15" s="5"/>
      <c r="G15" s="6"/>
    </row>
    <row r="16" spans="1:7">
      <c r="A16" s="80"/>
      <c r="B16" s="10" t="s">
        <v>7</v>
      </c>
      <c r="C16" s="9" t="s">
        <v>121</v>
      </c>
      <c r="D16" s="5"/>
      <c r="E16" s="11"/>
      <c r="F16" s="5"/>
      <c r="G16" s="6"/>
    </row>
    <row r="17" spans="1:7" ht="3.75" customHeight="1">
      <c r="A17" s="80"/>
      <c r="B17" s="5"/>
      <c r="C17" s="5"/>
      <c r="D17" s="5"/>
      <c r="E17" s="11"/>
      <c r="F17" s="5"/>
      <c r="G17" s="6"/>
    </row>
    <row r="18" spans="1:7">
      <c r="B18" s="14" t="s">
        <v>8</v>
      </c>
      <c r="C18" s="15" t="s">
        <v>103</v>
      </c>
      <c r="D18" s="5"/>
      <c r="E18" s="86" t="s">
        <v>109</v>
      </c>
      <c r="F18" s="87">
        <v>45292</v>
      </c>
      <c r="G18" s="6"/>
    </row>
    <row r="19" spans="1:7">
      <c r="B19" s="16" t="s">
        <v>9</v>
      </c>
      <c r="C19" s="17" t="s">
        <v>130</v>
      </c>
      <c r="D19" s="5"/>
      <c r="E19" s="88" t="s">
        <v>110</v>
      </c>
      <c r="F19" s="89">
        <v>45322</v>
      </c>
      <c r="G19" s="18"/>
    </row>
    <row r="20" spans="1:7" ht="15.75" thickBot="1">
      <c r="B20" s="4"/>
      <c r="C20" s="19"/>
      <c r="D20" s="19"/>
      <c r="E20" s="20"/>
      <c r="F20" s="21"/>
      <c r="G20" s="18"/>
    </row>
    <row r="21" spans="1:7" ht="18.75" thickBot="1">
      <c r="B21" s="4"/>
      <c r="C21" s="22" t="s">
        <v>10</v>
      </c>
      <c r="D21" s="23"/>
      <c r="E21" s="24"/>
      <c r="F21" s="25" t="s">
        <v>11</v>
      </c>
      <c r="G21" s="18"/>
    </row>
    <row r="22" spans="1:7">
      <c r="B22" s="4"/>
      <c r="C22" s="26" t="s">
        <v>12</v>
      </c>
      <c r="D22" s="26"/>
      <c r="E22" s="27">
        <v>10709.59024859505</v>
      </c>
      <c r="F22" s="28">
        <v>10709.59024859505</v>
      </c>
      <c r="G22" s="29"/>
    </row>
    <row r="23" spans="1:7">
      <c r="B23" s="30">
        <v>143</v>
      </c>
      <c r="C23" s="31" t="s">
        <v>13</v>
      </c>
      <c r="D23" s="31"/>
      <c r="E23" s="27">
        <v>4578.6174545454505</v>
      </c>
      <c r="F23" s="32">
        <v>4578.6174545454505</v>
      </c>
      <c r="G23" s="33"/>
    </row>
    <row r="24" spans="1:7">
      <c r="B24" s="30"/>
      <c r="C24" s="34" t="s">
        <v>14</v>
      </c>
      <c r="D24" s="34"/>
      <c r="E24" s="27">
        <v>0</v>
      </c>
      <c r="F24" s="32">
        <v>0</v>
      </c>
      <c r="G24" s="33"/>
    </row>
    <row r="25" spans="1:7">
      <c r="B25" s="30"/>
      <c r="C25" s="34" t="s">
        <v>15</v>
      </c>
      <c r="D25" s="34"/>
      <c r="E25" s="27">
        <v>0</v>
      </c>
      <c r="F25" s="32">
        <v>0</v>
      </c>
      <c r="G25" s="33"/>
    </row>
    <row r="26" spans="1:7">
      <c r="B26" s="30"/>
      <c r="C26" s="34" t="s">
        <v>16</v>
      </c>
      <c r="D26" s="34"/>
      <c r="E26" s="27">
        <v>0</v>
      </c>
      <c r="F26" s="32">
        <v>0</v>
      </c>
      <c r="G26" s="33"/>
    </row>
    <row r="27" spans="1:7">
      <c r="B27" s="30"/>
      <c r="C27" s="34" t="s">
        <v>17</v>
      </c>
      <c r="D27" s="34"/>
      <c r="E27" s="27">
        <v>0</v>
      </c>
      <c r="F27" s="32">
        <v>0</v>
      </c>
      <c r="G27" s="33"/>
    </row>
    <row r="28" spans="1:7">
      <c r="B28" s="30"/>
      <c r="C28" s="35" t="s">
        <v>18</v>
      </c>
      <c r="D28" s="35"/>
      <c r="E28" s="36">
        <v>15288.207703140501</v>
      </c>
      <c r="F28" s="37">
        <v>15288.207703140501</v>
      </c>
      <c r="G28" s="38"/>
    </row>
    <row r="29" spans="1:7" ht="15.75" thickBot="1">
      <c r="B29" s="30"/>
      <c r="C29" s="39"/>
      <c r="D29" s="39"/>
      <c r="E29" s="40"/>
      <c r="F29" s="41"/>
      <c r="G29" s="38"/>
    </row>
    <row r="30" spans="1:7" ht="18.75" thickBot="1">
      <c r="B30" s="30"/>
      <c r="C30" s="22" t="s">
        <v>19</v>
      </c>
      <c r="D30" s="23"/>
      <c r="E30" s="42"/>
      <c r="F30" s="43"/>
      <c r="G30" s="38"/>
    </row>
    <row r="31" spans="1:7">
      <c r="B31" s="44">
        <v>121</v>
      </c>
      <c r="C31" s="39" t="s">
        <v>20</v>
      </c>
      <c r="D31" s="39"/>
      <c r="E31" s="45"/>
      <c r="F31" s="46"/>
      <c r="G31" s="47"/>
    </row>
    <row r="32" spans="1:7">
      <c r="B32" s="44"/>
      <c r="C32" s="48" t="s">
        <v>21</v>
      </c>
      <c r="D32" s="48"/>
      <c r="E32" s="49">
        <v>296.77123636363604</v>
      </c>
      <c r="F32" s="50">
        <v>296.77123636363604</v>
      </c>
      <c r="G32" s="47"/>
    </row>
    <row r="33" spans="2:7">
      <c r="B33" s="44"/>
      <c r="C33" s="48" t="s">
        <v>22</v>
      </c>
      <c r="D33" s="48"/>
      <c r="E33" s="49">
        <v>305.25041454545385</v>
      </c>
      <c r="F33" s="50">
        <v>305.25041454545385</v>
      </c>
      <c r="G33" s="47"/>
    </row>
    <row r="34" spans="2:7">
      <c r="B34" s="51"/>
      <c r="C34" s="48" t="s">
        <v>23</v>
      </c>
      <c r="D34" s="48"/>
      <c r="E34" s="49">
        <v>364.60466181818146</v>
      </c>
      <c r="F34" s="50">
        <v>364.60466181818146</v>
      </c>
      <c r="G34" s="52"/>
    </row>
    <row r="35" spans="2:7">
      <c r="B35" s="51"/>
      <c r="C35" s="48" t="s">
        <v>24</v>
      </c>
      <c r="D35" s="48"/>
      <c r="E35" s="49">
        <v>249.75033917355319</v>
      </c>
      <c r="F35" s="50">
        <v>249.75033917355319</v>
      </c>
      <c r="G35" s="52"/>
    </row>
    <row r="36" spans="2:7">
      <c r="B36" s="44"/>
      <c r="C36" s="48" t="s">
        <v>25</v>
      </c>
      <c r="D36" s="48"/>
      <c r="E36" s="49">
        <v>0</v>
      </c>
      <c r="F36" s="50">
        <v>0</v>
      </c>
      <c r="G36" s="52"/>
    </row>
    <row r="37" spans="2:7">
      <c r="B37" s="44"/>
      <c r="C37" s="53" t="s">
        <v>26</v>
      </c>
      <c r="D37" s="53"/>
      <c r="E37" s="36">
        <v>1216.3766519008245</v>
      </c>
      <c r="F37" s="54">
        <v>1216.3766519008245</v>
      </c>
      <c r="G37" s="52"/>
    </row>
    <row r="38" spans="2:7">
      <c r="B38" s="44">
        <v>122</v>
      </c>
      <c r="C38" s="39" t="s">
        <v>27</v>
      </c>
      <c r="D38" s="39"/>
      <c r="E38" s="36"/>
      <c r="F38" s="50"/>
      <c r="G38" s="55"/>
    </row>
    <row r="39" spans="2:7">
      <c r="B39" s="44"/>
      <c r="C39" s="48" t="s">
        <v>28</v>
      </c>
      <c r="D39" s="48"/>
      <c r="E39" s="49">
        <v>144.14602909090897</v>
      </c>
      <c r="F39" s="50">
        <v>144.14602909090897</v>
      </c>
      <c r="G39" s="52"/>
    </row>
    <row r="40" spans="2:7">
      <c r="B40" s="44"/>
      <c r="C40" s="48" t="s">
        <v>29</v>
      </c>
      <c r="D40" s="48"/>
      <c r="E40" s="49">
        <v>0</v>
      </c>
      <c r="F40" s="50">
        <v>0</v>
      </c>
      <c r="G40" s="52"/>
    </row>
    <row r="41" spans="2:7">
      <c r="B41" s="44"/>
      <c r="C41" s="48" t="s">
        <v>30</v>
      </c>
      <c r="D41" s="48"/>
      <c r="E41" s="49">
        <v>191.16692628099148</v>
      </c>
      <c r="F41" s="50">
        <v>191.16692628099148</v>
      </c>
      <c r="G41" s="52"/>
    </row>
    <row r="42" spans="2:7">
      <c r="B42" s="44"/>
      <c r="C42" s="48" t="s">
        <v>31</v>
      </c>
      <c r="D42" s="48"/>
      <c r="E42" s="49">
        <v>33.916712727272696</v>
      </c>
      <c r="F42" s="50">
        <v>33.916712727272696</v>
      </c>
      <c r="G42" s="52"/>
    </row>
    <row r="43" spans="2:7">
      <c r="B43" s="44"/>
      <c r="C43" s="48" t="s">
        <v>32</v>
      </c>
      <c r="D43" s="48"/>
      <c r="E43" s="49">
        <v>135.66685090909078</v>
      </c>
      <c r="F43" s="50">
        <v>135.66685090909078</v>
      </c>
      <c r="G43" s="52"/>
    </row>
    <row r="44" spans="2:7">
      <c r="B44" s="44"/>
      <c r="C44" s="48" t="s">
        <v>33</v>
      </c>
      <c r="D44" s="48"/>
      <c r="E44" s="49">
        <v>0</v>
      </c>
      <c r="F44" s="50">
        <v>0</v>
      </c>
      <c r="G44" s="52"/>
    </row>
    <row r="45" spans="2:7">
      <c r="B45" s="44"/>
      <c r="C45" s="48" t="s">
        <v>34</v>
      </c>
      <c r="D45" s="48"/>
      <c r="E45" s="49">
        <v>0</v>
      </c>
      <c r="F45" s="50">
        <v>0</v>
      </c>
      <c r="G45" s="52"/>
    </row>
    <row r="46" spans="2:7">
      <c r="B46" s="44"/>
      <c r="C46" s="48" t="s">
        <v>35</v>
      </c>
      <c r="D46" s="48"/>
      <c r="E46" s="49">
        <v>0</v>
      </c>
      <c r="F46" s="50">
        <v>0</v>
      </c>
      <c r="G46" s="52"/>
    </row>
    <row r="47" spans="2:7">
      <c r="B47" s="44"/>
      <c r="C47" s="53" t="s">
        <v>26</v>
      </c>
      <c r="D47" s="53"/>
      <c r="E47" s="36">
        <v>504.89651900826391</v>
      </c>
      <c r="F47" s="54">
        <v>504.89651900826391</v>
      </c>
      <c r="G47" s="52"/>
    </row>
    <row r="48" spans="2:7">
      <c r="B48" s="44">
        <v>123</v>
      </c>
      <c r="C48" s="39" t="s">
        <v>36</v>
      </c>
      <c r="D48" s="39"/>
      <c r="E48" s="56"/>
      <c r="F48" s="57"/>
      <c r="G48" s="52"/>
    </row>
    <row r="49" spans="2:7">
      <c r="B49" s="44"/>
      <c r="C49" s="48" t="s">
        <v>37</v>
      </c>
      <c r="D49" s="48"/>
      <c r="E49" s="49">
        <v>123.33350082644611</v>
      </c>
      <c r="F49" s="50">
        <v>123.33350082644611</v>
      </c>
      <c r="G49" s="52"/>
    </row>
    <row r="50" spans="2:7">
      <c r="B50" s="44"/>
      <c r="C50" s="48" t="s">
        <v>38</v>
      </c>
      <c r="D50" s="48"/>
      <c r="E50" s="49">
        <v>0</v>
      </c>
      <c r="F50" s="50">
        <v>0</v>
      </c>
      <c r="G50" s="52"/>
    </row>
    <row r="51" spans="2:7">
      <c r="B51" s="44"/>
      <c r="C51" s="48" t="s">
        <v>39</v>
      </c>
      <c r="D51" s="48"/>
      <c r="E51" s="49">
        <v>144.91686347107415</v>
      </c>
      <c r="F51" s="50">
        <v>144.91686347107415</v>
      </c>
      <c r="G51" s="52"/>
    </row>
    <row r="52" spans="2:7">
      <c r="B52" s="44"/>
      <c r="C52" s="48" t="s">
        <v>40</v>
      </c>
      <c r="D52" s="48"/>
      <c r="E52" s="49">
        <v>111.00015074380143</v>
      </c>
      <c r="F52" s="50">
        <v>111.00015074380143</v>
      </c>
      <c r="G52" s="52"/>
    </row>
    <row r="53" spans="2:7">
      <c r="B53" s="44"/>
      <c r="C53" s="48" t="s">
        <v>41</v>
      </c>
      <c r="D53" s="48"/>
      <c r="E53" s="49">
        <v>0</v>
      </c>
      <c r="F53" s="50">
        <v>0</v>
      </c>
      <c r="G53" s="52"/>
    </row>
    <row r="54" spans="2:7">
      <c r="B54" s="44"/>
      <c r="C54" s="48" t="s">
        <v>42</v>
      </c>
      <c r="D54" s="48"/>
      <c r="E54" s="49">
        <v>195.02109818181799</v>
      </c>
      <c r="F54" s="50">
        <v>195.02109818181799</v>
      </c>
      <c r="G54" s="52"/>
    </row>
    <row r="55" spans="2:7">
      <c r="B55" s="44"/>
      <c r="C55" s="53" t="s">
        <v>26</v>
      </c>
      <c r="D55" s="53"/>
      <c r="E55" s="36">
        <v>574.27161322313964</v>
      </c>
      <c r="F55" s="54">
        <v>574.27161322313964</v>
      </c>
      <c r="G55" s="52"/>
    </row>
    <row r="56" spans="2:7">
      <c r="B56" s="44">
        <v>124</v>
      </c>
      <c r="C56" s="39" t="s">
        <v>43</v>
      </c>
      <c r="D56" s="39"/>
      <c r="E56" s="56"/>
      <c r="F56" s="57"/>
      <c r="G56" s="52"/>
    </row>
    <row r="57" spans="2:7">
      <c r="B57" s="44"/>
      <c r="C57" s="48" t="s">
        <v>44</v>
      </c>
      <c r="D57" s="48"/>
      <c r="E57" s="49">
        <v>366.91716495867701</v>
      </c>
      <c r="F57" s="50">
        <v>366.91716495867701</v>
      </c>
      <c r="G57" s="52"/>
    </row>
    <row r="58" spans="2:7">
      <c r="B58" s="44"/>
      <c r="C58" s="48" t="s">
        <v>45</v>
      </c>
      <c r="D58" s="48"/>
      <c r="E58" s="49">
        <v>0</v>
      </c>
      <c r="F58" s="50">
        <v>0</v>
      </c>
      <c r="G58" s="52"/>
    </row>
    <row r="59" spans="2:7">
      <c r="B59" s="44"/>
      <c r="C59" s="48" t="s">
        <v>46</v>
      </c>
      <c r="D59" s="48"/>
      <c r="E59" s="49">
        <v>0</v>
      </c>
      <c r="F59" s="50">
        <v>0</v>
      </c>
      <c r="G59" s="52"/>
    </row>
    <row r="60" spans="2:7">
      <c r="B60" s="44"/>
      <c r="C60" s="53" t="s">
        <v>26</v>
      </c>
      <c r="D60" s="53"/>
      <c r="E60" s="36">
        <v>366.91716495867701</v>
      </c>
      <c r="F60" s="54">
        <v>366.91716495867701</v>
      </c>
      <c r="G60" s="52"/>
    </row>
    <row r="61" spans="2:7">
      <c r="B61" s="44">
        <v>125</v>
      </c>
      <c r="C61" s="39" t="s">
        <v>47</v>
      </c>
      <c r="D61" s="39"/>
      <c r="E61" s="36"/>
      <c r="F61" s="50"/>
      <c r="G61" s="52"/>
    </row>
    <row r="62" spans="2:7">
      <c r="B62" s="44"/>
      <c r="C62" s="48" t="s">
        <v>48</v>
      </c>
      <c r="D62" s="48"/>
      <c r="E62" s="58">
        <v>0</v>
      </c>
      <c r="F62" s="50">
        <v>0</v>
      </c>
      <c r="G62" s="52"/>
    </row>
    <row r="63" spans="2:7">
      <c r="B63" s="44"/>
      <c r="C63" s="48" t="s">
        <v>49</v>
      </c>
      <c r="D63" s="48"/>
      <c r="E63" s="58">
        <v>0</v>
      </c>
      <c r="F63" s="50">
        <v>0</v>
      </c>
      <c r="G63" s="52"/>
    </row>
    <row r="64" spans="2:7">
      <c r="B64" s="44"/>
      <c r="C64" s="48" t="s">
        <v>50</v>
      </c>
      <c r="D64" s="48"/>
      <c r="E64" s="58">
        <v>593.54247272727218</v>
      </c>
      <c r="F64" s="50">
        <v>593.54247272727218</v>
      </c>
      <c r="G64" s="52"/>
    </row>
    <row r="65" spans="2:7">
      <c r="B65" s="44"/>
      <c r="C65" s="48" t="s">
        <v>51</v>
      </c>
      <c r="D65" s="48"/>
      <c r="E65" s="58">
        <v>135.66685090909078</v>
      </c>
      <c r="F65" s="50">
        <v>135.66685090909078</v>
      </c>
      <c r="G65" s="52"/>
    </row>
    <row r="66" spans="2:7">
      <c r="B66" s="44"/>
      <c r="C66" s="53" t="s">
        <v>26</v>
      </c>
      <c r="D66" s="53"/>
      <c r="E66" s="56">
        <v>729.20932363636302</v>
      </c>
      <c r="F66" s="54">
        <v>729.20932363636302</v>
      </c>
      <c r="G66" s="52"/>
    </row>
    <row r="67" spans="2:7">
      <c r="B67" s="44">
        <v>126</v>
      </c>
      <c r="C67" s="39" t="s">
        <v>52</v>
      </c>
      <c r="D67" s="39"/>
      <c r="E67" s="56"/>
      <c r="F67" s="50"/>
      <c r="G67" s="52"/>
    </row>
    <row r="68" spans="2:7">
      <c r="B68" s="44"/>
      <c r="C68" s="48" t="s">
        <v>53</v>
      </c>
      <c r="D68" s="48"/>
      <c r="E68" s="49">
        <v>0</v>
      </c>
      <c r="F68" s="50">
        <v>0</v>
      </c>
      <c r="G68" s="52"/>
    </row>
    <row r="69" spans="2:7">
      <c r="B69" s="44"/>
      <c r="C69" s="48" t="s">
        <v>54</v>
      </c>
      <c r="D69" s="48"/>
      <c r="E69" s="49">
        <v>0</v>
      </c>
      <c r="F69" s="50"/>
      <c r="G69" s="52"/>
    </row>
    <row r="70" spans="2:7">
      <c r="B70" s="44"/>
      <c r="C70" s="48" t="s">
        <v>55</v>
      </c>
      <c r="D70" s="48"/>
      <c r="E70" s="49">
        <v>0</v>
      </c>
      <c r="F70" s="50"/>
      <c r="G70" s="52"/>
    </row>
    <row r="71" spans="2:7">
      <c r="B71" s="44"/>
      <c r="C71" s="48" t="s">
        <v>56</v>
      </c>
      <c r="D71" s="48"/>
      <c r="E71" s="49">
        <v>0</v>
      </c>
      <c r="F71" s="57"/>
      <c r="G71" s="52"/>
    </row>
    <row r="72" spans="2:7">
      <c r="B72" s="44"/>
      <c r="C72" s="53" t="s">
        <v>26</v>
      </c>
      <c r="D72" s="53"/>
      <c r="E72" s="56">
        <v>0</v>
      </c>
      <c r="F72" s="54">
        <v>0</v>
      </c>
      <c r="G72" s="52"/>
    </row>
    <row r="73" spans="2:7">
      <c r="B73" s="44">
        <v>127</v>
      </c>
      <c r="C73" s="39" t="s">
        <v>57</v>
      </c>
      <c r="D73" s="39"/>
      <c r="E73" s="56"/>
      <c r="F73" s="54"/>
      <c r="G73" s="52"/>
    </row>
    <row r="74" spans="2:7">
      <c r="B74" s="44"/>
      <c r="C74" s="48" t="s">
        <v>58</v>
      </c>
      <c r="D74" s="48"/>
      <c r="E74" s="49">
        <v>0</v>
      </c>
      <c r="F74" s="50">
        <v>0</v>
      </c>
      <c r="G74" s="52"/>
    </row>
    <row r="75" spans="2:7">
      <c r="B75" s="44"/>
      <c r="C75" s="48" t="s">
        <v>59</v>
      </c>
      <c r="D75" s="48"/>
      <c r="E75" s="49">
        <v>0</v>
      </c>
      <c r="F75" s="50">
        <v>0</v>
      </c>
      <c r="G75" s="52"/>
    </row>
    <row r="76" spans="2:7">
      <c r="B76" s="44"/>
      <c r="C76" s="48" t="s">
        <v>60</v>
      </c>
      <c r="D76" s="48"/>
      <c r="E76" s="49">
        <v>0</v>
      </c>
      <c r="F76" s="50">
        <v>0</v>
      </c>
      <c r="G76" s="52"/>
    </row>
    <row r="77" spans="2:7">
      <c r="B77" s="44"/>
      <c r="C77" s="59" t="s">
        <v>61</v>
      </c>
      <c r="D77" s="59"/>
      <c r="E77" s="49">
        <v>0</v>
      </c>
      <c r="F77" s="50">
        <v>0</v>
      </c>
      <c r="G77" s="52"/>
    </row>
    <row r="78" spans="2:7">
      <c r="B78" s="44"/>
      <c r="C78" s="53" t="s">
        <v>26</v>
      </c>
      <c r="D78" s="53"/>
      <c r="E78" s="56">
        <v>0</v>
      </c>
      <c r="F78" s="54">
        <v>0</v>
      </c>
      <c r="G78" s="52"/>
    </row>
    <row r="79" spans="2:7">
      <c r="B79" s="44">
        <v>128</v>
      </c>
      <c r="C79" s="39" t="s">
        <v>62</v>
      </c>
      <c r="D79" s="39"/>
      <c r="E79" s="56"/>
      <c r="F79" s="54"/>
      <c r="G79" s="52"/>
    </row>
    <row r="80" spans="2:7">
      <c r="B80" s="44"/>
      <c r="C80" s="48" t="s">
        <v>63</v>
      </c>
      <c r="D80" s="48"/>
      <c r="E80" s="49">
        <v>0</v>
      </c>
      <c r="F80" s="50">
        <v>0</v>
      </c>
      <c r="G80" s="52"/>
    </row>
    <row r="81" spans="2:7">
      <c r="B81" s="44"/>
      <c r="C81" s="48" t="s">
        <v>64</v>
      </c>
      <c r="D81" s="48"/>
      <c r="E81" s="49">
        <v>0</v>
      </c>
      <c r="F81" s="50">
        <v>0</v>
      </c>
      <c r="G81" s="52"/>
    </row>
    <row r="82" spans="2:7">
      <c r="B82" s="44"/>
      <c r="C82" s="48" t="s">
        <v>65</v>
      </c>
      <c r="D82" s="48"/>
      <c r="E82" s="49">
        <v>0</v>
      </c>
      <c r="F82" s="50">
        <v>0</v>
      </c>
      <c r="G82" s="52"/>
    </row>
    <row r="83" spans="2:7">
      <c r="B83" s="44"/>
      <c r="C83" s="48" t="s">
        <v>66</v>
      </c>
      <c r="D83" s="48"/>
      <c r="E83" s="49">
        <v>0</v>
      </c>
      <c r="F83" s="50">
        <v>0</v>
      </c>
      <c r="G83" s="52"/>
    </row>
    <row r="84" spans="2:7">
      <c r="B84" s="44"/>
      <c r="C84" s="48" t="s">
        <v>67</v>
      </c>
      <c r="D84" s="48"/>
      <c r="E84" s="49">
        <v>0</v>
      </c>
      <c r="F84" s="50">
        <v>0</v>
      </c>
      <c r="G84" s="52"/>
    </row>
    <row r="85" spans="2:7">
      <c r="B85" s="44"/>
      <c r="C85" s="53" t="s">
        <v>26</v>
      </c>
      <c r="D85" s="53"/>
      <c r="E85" s="56">
        <v>0</v>
      </c>
      <c r="F85" s="54">
        <v>0</v>
      </c>
      <c r="G85" s="52"/>
    </row>
    <row r="86" spans="2:7">
      <c r="B86" s="44">
        <v>135</v>
      </c>
      <c r="C86" s="39" t="s">
        <v>68</v>
      </c>
      <c r="D86" s="39"/>
      <c r="E86" s="56"/>
      <c r="F86" s="50"/>
      <c r="G86" s="52"/>
    </row>
    <row r="87" spans="2:7">
      <c r="B87" s="44"/>
      <c r="C87" s="48" t="s">
        <v>69</v>
      </c>
      <c r="D87" s="48"/>
      <c r="E87" s="49">
        <v>0</v>
      </c>
      <c r="F87" s="50">
        <v>0</v>
      </c>
      <c r="G87" s="52"/>
    </row>
    <row r="88" spans="2:7">
      <c r="B88" s="44"/>
      <c r="C88" s="48" t="s">
        <v>70</v>
      </c>
      <c r="D88" s="48"/>
      <c r="E88" s="49">
        <v>0</v>
      </c>
      <c r="F88" s="50">
        <v>0</v>
      </c>
      <c r="G88" s="52"/>
    </row>
    <row r="89" spans="2:7">
      <c r="B89" s="44"/>
      <c r="C89" s="48" t="s">
        <v>71</v>
      </c>
      <c r="D89" s="48"/>
      <c r="E89" s="49">
        <v>0</v>
      </c>
      <c r="F89" s="50">
        <v>0</v>
      </c>
      <c r="G89" s="52"/>
    </row>
    <row r="90" spans="2:7">
      <c r="B90" s="44"/>
      <c r="C90" s="48" t="s">
        <v>72</v>
      </c>
      <c r="D90" s="48"/>
      <c r="E90" s="49">
        <v>0</v>
      </c>
      <c r="F90" s="50">
        <v>0</v>
      </c>
      <c r="G90" s="52"/>
    </row>
    <row r="91" spans="2:7">
      <c r="B91" s="44"/>
      <c r="C91" s="48" t="s">
        <v>73</v>
      </c>
      <c r="D91" s="48"/>
      <c r="E91" s="49">
        <v>0</v>
      </c>
      <c r="F91" s="50">
        <v>0</v>
      </c>
      <c r="G91" s="52"/>
    </row>
    <row r="92" spans="2:7">
      <c r="B92" s="44"/>
      <c r="C92" s="48" t="s">
        <v>74</v>
      </c>
      <c r="D92" s="48"/>
      <c r="E92" s="49">
        <v>0</v>
      </c>
      <c r="F92" s="50">
        <v>0</v>
      </c>
      <c r="G92" s="52"/>
    </row>
    <row r="93" spans="2:7">
      <c r="B93" s="44"/>
      <c r="C93" s="48" t="s">
        <v>75</v>
      </c>
      <c r="D93" s="48"/>
      <c r="E93" s="49">
        <v>0</v>
      </c>
      <c r="F93" s="50">
        <v>0</v>
      </c>
      <c r="G93" s="52"/>
    </row>
    <row r="94" spans="2:7">
      <c r="B94" s="44"/>
      <c r="C94" s="48" t="s">
        <v>76</v>
      </c>
      <c r="D94" s="48"/>
      <c r="E94" s="49">
        <v>0</v>
      </c>
      <c r="F94" s="50">
        <v>0</v>
      </c>
      <c r="G94" s="52"/>
    </row>
    <row r="95" spans="2:7">
      <c r="B95" s="44"/>
      <c r="C95" s="48" t="s">
        <v>77</v>
      </c>
      <c r="D95" s="48"/>
      <c r="E95" s="49">
        <v>0</v>
      </c>
      <c r="F95" s="50">
        <v>0</v>
      </c>
      <c r="G95" s="52"/>
    </row>
    <row r="96" spans="2:7">
      <c r="B96" s="44"/>
      <c r="C96" s="53" t="s">
        <v>26</v>
      </c>
      <c r="D96" s="53"/>
      <c r="E96" s="56">
        <v>0</v>
      </c>
      <c r="F96" s="54">
        <v>0</v>
      </c>
      <c r="G96" s="52"/>
    </row>
    <row r="97" spans="2:7">
      <c r="B97" s="44">
        <v>136</v>
      </c>
      <c r="C97" s="39" t="s">
        <v>78</v>
      </c>
      <c r="D97" s="39"/>
      <c r="E97" s="56"/>
      <c r="F97" s="50"/>
      <c r="G97" s="52"/>
    </row>
    <row r="98" spans="2:7">
      <c r="B98" s="44"/>
      <c r="C98" s="48" t="s">
        <v>79</v>
      </c>
      <c r="D98" s="48"/>
      <c r="E98" s="49">
        <v>0</v>
      </c>
      <c r="F98" s="50">
        <v>0</v>
      </c>
      <c r="G98" s="52"/>
    </row>
    <row r="99" spans="2:7">
      <c r="B99" s="44"/>
      <c r="C99" s="48" t="s">
        <v>80</v>
      </c>
      <c r="D99" s="48"/>
      <c r="E99" s="49">
        <v>0</v>
      </c>
      <c r="F99" s="50">
        <v>0</v>
      </c>
      <c r="G99" s="52"/>
    </row>
    <row r="100" spans="2:7">
      <c r="B100" s="44"/>
      <c r="C100" s="48" t="s">
        <v>81</v>
      </c>
      <c r="D100" s="48"/>
      <c r="E100" s="49">
        <v>0</v>
      </c>
      <c r="F100" s="50">
        <v>0</v>
      </c>
      <c r="G100" s="52"/>
    </row>
    <row r="101" spans="2:7">
      <c r="B101" s="44"/>
      <c r="C101" s="48" t="s">
        <v>82</v>
      </c>
      <c r="D101" s="48"/>
      <c r="E101" s="49">
        <v>0</v>
      </c>
      <c r="F101" s="50">
        <v>0</v>
      </c>
      <c r="G101" s="52"/>
    </row>
    <row r="102" spans="2:7">
      <c r="B102" s="44"/>
      <c r="C102" s="48" t="s">
        <v>83</v>
      </c>
      <c r="D102" s="48"/>
      <c r="E102" s="49">
        <v>0</v>
      </c>
      <c r="F102" s="50">
        <v>0</v>
      </c>
      <c r="G102" s="52"/>
    </row>
    <row r="103" spans="2:7">
      <c r="B103" s="44"/>
      <c r="C103" s="48" t="s">
        <v>84</v>
      </c>
      <c r="D103" s="48"/>
      <c r="E103" s="49">
        <v>0</v>
      </c>
      <c r="F103" s="50">
        <v>0</v>
      </c>
      <c r="G103" s="52"/>
    </row>
    <row r="104" spans="2:7">
      <c r="B104" s="44"/>
      <c r="C104" s="53" t="s">
        <v>26</v>
      </c>
      <c r="D104" s="53"/>
      <c r="E104" s="56">
        <v>0</v>
      </c>
      <c r="F104" s="54">
        <v>0</v>
      </c>
      <c r="G104" s="52"/>
    </row>
    <row r="105" spans="2:7">
      <c r="B105" s="44">
        <v>142</v>
      </c>
      <c r="C105" s="39" t="s">
        <v>85</v>
      </c>
      <c r="D105" s="39"/>
      <c r="E105" s="56"/>
      <c r="F105" s="50"/>
      <c r="G105" s="52"/>
    </row>
    <row r="106" spans="2:7">
      <c r="B106" s="44"/>
      <c r="C106" s="48" t="s">
        <v>86</v>
      </c>
      <c r="D106" s="48"/>
      <c r="E106" s="49">
        <v>0</v>
      </c>
      <c r="F106" s="50">
        <v>0</v>
      </c>
      <c r="G106" s="52"/>
    </row>
    <row r="107" spans="2:7">
      <c r="B107" s="44"/>
      <c r="C107" s="48" t="s">
        <v>87</v>
      </c>
      <c r="D107" s="48"/>
      <c r="E107" s="49">
        <v>0</v>
      </c>
      <c r="F107" s="50">
        <v>0</v>
      </c>
      <c r="G107" s="52"/>
    </row>
    <row r="108" spans="2:7">
      <c r="B108" s="44"/>
      <c r="C108" s="53" t="s">
        <v>26</v>
      </c>
      <c r="D108" s="53"/>
      <c r="E108" s="56">
        <v>0</v>
      </c>
      <c r="F108" s="54">
        <v>0</v>
      </c>
      <c r="G108" s="52"/>
    </row>
    <row r="109" spans="2:7">
      <c r="B109" s="44">
        <v>144</v>
      </c>
      <c r="C109" s="39" t="s">
        <v>88</v>
      </c>
      <c r="D109" s="39"/>
      <c r="E109" s="49">
        <v>0</v>
      </c>
      <c r="F109" s="54">
        <v>0</v>
      </c>
      <c r="G109" s="52"/>
    </row>
    <row r="110" spans="2:7">
      <c r="B110" s="44">
        <v>221</v>
      </c>
      <c r="C110" s="39" t="s">
        <v>89</v>
      </c>
      <c r="D110" s="39"/>
      <c r="E110" s="49">
        <v>0</v>
      </c>
      <c r="F110" s="54">
        <v>0</v>
      </c>
      <c r="G110" s="52"/>
    </row>
    <row r="111" spans="2:7">
      <c r="B111" s="44">
        <v>222</v>
      </c>
      <c r="C111" s="39" t="s">
        <v>90</v>
      </c>
      <c r="D111" s="39"/>
      <c r="E111" s="49">
        <v>0</v>
      </c>
      <c r="F111" s="54">
        <v>0</v>
      </c>
      <c r="G111" s="52"/>
    </row>
    <row r="112" spans="2:7">
      <c r="B112" s="44">
        <v>224</v>
      </c>
      <c r="C112" s="39" t="s">
        <v>91</v>
      </c>
      <c r="D112" s="39"/>
      <c r="E112" s="49">
        <v>0</v>
      </c>
      <c r="F112" s="54">
        <v>0</v>
      </c>
      <c r="G112" s="52"/>
    </row>
    <row r="113" spans="2:7">
      <c r="B113" s="44">
        <v>225</v>
      </c>
      <c r="C113" s="39" t="s">
        <v>92</v>
      </c>
      <c r="D113" s="39"/>
      <c r="E113" s="49">
        <v>0</v>
      </c>
      <c r="F113" s="54">
        <v>0</v>
      </c>
      <c r="G113" s="38"/>
    </row>
    <row r="114" spans="2:7">
      <c r="B114" s="44">
        <v>226</v>
      </c>
      <c r="C114" s="39" t="s">
        <v>93</v>
      </c>
      <c r="D114" s="39"/>
      <c r="E114" s="49">
        <v>0</v>
      </c>
      <c r="F114" s="54">
        <v>0</v>
      </c>
      <c r="G114" s="60"/>
    </row>
    <row r="115" spans="2:7" ht="15.75" thickBot="1">
      <c r="B115" s="61"/>
      <c r="C115" s="62" t="s">
        <v>94</v>
      </c>
      <c r="D115" s="62"/>
      <c r="E115" s="90">
        <v>0</v>
      </c>
      <c r="F115" s="63">
        <v>0</v>
      </c>
      <c r="G115" s="38"/>
    </row>
    <row r="116" spans="2:7">
      <c r="B116" s="64"/>
      <c r="C116" s="65" t="s">
        <v>95</v>
      </c>
      <c r="D116" s="66"/>
      <c r="E116" s="91">
        <v>3391.6712727272684</v>
      </c>
      <c r="F116" s="68">
        <v>3391.6712727272684</v>
      </c>
      <c r="G116" s="69"/>
    </row>
    <row r="117" spans="2:7" ht="15.75" thickBot="1">
      <c r="B117" s="64"/>
      <c r="C117" s="70"/>
      <c r="D117" s="71"/>
      <c r="E117" s="92"/>
      <c r="F117" s="73"/>
      <c r="G117" s="69"/>
    </row>
    <row r="118" spans="2:7" ht="15.75" thickBot="1">
      <c r="B118" s="64"/>
      <c r="C118" s="70" t="s">
        <v>96</v>
      </c>
      <c r="D118" s="71"/>
      <c r="E118" s="93">
        <v>11896.536430413233</v>
      </c>
      <c r="F118" s="75">
        <v>11896.536430413233</v>
      </c>
      <c r="G118" s="76"/>
    </row>
    <row r="119" spans="2:7" ht="8.25" customHeight="1" thickBot="1">
      <c r="B119" s="77"/>
      <c r="C119" s="81"/>
      <c r="D119" s="81"/>
      <c r="E119" s="78"/>
      <c r="F119" s="78"/>
      <c r="G119" s="79"/>
    </row>
    <row r="120" spans="2:7">
      <c r="B120" s="83"/>
      <c r="C120" s="84"/>
      <c r="D120" s="84"/>
      <c r="E120" s="85"/>
      <c r="F120" s="83"/>
      <c r="G120" s="85"/>
    </row>
    <row r="121" spans="2:7" ht="6" customHeight="1" thickBot="1"/>
    <row r="122" spans="2:7">
      <c r="B122" s="1"/>
      <c r="C122" s="2"/>
      <c r="D122" s="2"/>
      <c r="E122" s="2"/>
      <c r="F122" s="2"/>
      <c r="G122" s="3"/>
    </row>
    <row r="123" spans="2:7">
      <c r="B123" s="4"/>
      <c r="C123" s="5"/>
      <c r="D123" s="5"/>
      <c r="E123" s="5"/>
      <c r="F123" s="5"/>
      <c r="G123" s="6"/>
    </row>
    <row r="124" spans="2:7">
      <c r="B124" s="4"/>
      <c r="C124" s="5"/>
      <c r="D124" s="5"/>
      <c r="E124" s="5"/>
      <c r="F124" s="5"/>
      <c r="G124" s="6"/>
    </row>
    <row r="125" spans="2:7">
      <c r="B125" s="4"/>
      <c r="C125" s="5"/>
      <c r="D125" s="5"/>
      <c r="E125" s="5"/>
      <c r="F125" s="5"/>
      <c r="G125" s="6"/>
    </row>
    <row r="126" spans="2:7">
      <c r="B126" s="4"/>
      <c r="C126" s="5"/>
      <c r="D126" s="5"/>
      <c r="E126" s="5"/>
      <c r="F126" s="5"/>
      <c r="G126" s="6"/>
    </row>
    <row r="127" spans="2:7" ht="16.5" customHeight="1">
      <c r="B127" s="4"/>
      <c r="C127" s="5"/>
      <c r="D127" s="5"/>
      <c r="E127" s="5"/>
      <c r="F127" s="5"/>
      <c r="G127" s="6"/>
    </row>
    <row r="128" spans="2:7" ht="22.5" customHeight="1" thickBot="1">
      <c r="B128" s="4"/>
      <c r="C128" s="95" t="s">
        <v>0</v>
      </c>
      <c r="D128" s="95"/>
      <c r="E128" s="95"/>
      <c r="F128" s="5"/>
      <c r="G128" s="6"/>
    </row>
    <row r="129" spans="1:7" ht="21" thickTop="1">
      <c r="B129" s="4"/>
      <c r="C129" s="7"/>
      <c r="D129" s="7"/>
      <c r="E129" s="5"/>
      <c r="F129" s="5"/>
      <c r="G129" s="6"/>
    </row>
    <row r="130" spans="1:7">
      <c r="B130" s="8" t="s">
        <v>1</v>
      </c>
      <c r="C130" s="9" t="s">
        <v>97</v>
      </c>
      <c r="D130" s="5"/>
      <c r="E130" s="10" t="s">
        <v>2</v>
      </c>
      <c r="F130" s="9" t="s">
        <v>98</v>
      </c>
      <c r="G130" s="6"/>
    </row>
    <row r="131" spans="1:7" ht="3.75" customHeight="1">
      <c r="A131" s="80"/>
      <c r="B131" s="5"/>
      <c r="C131" s="5"/>
      <c r="D131" s="5"/>
      <c r="E131" s="11"/>
      <c r="F131" s="5"/>
      <c r="G131" s="6"/>
    </row>
    <row r="132" spans="1:7">
      <c r="A132" s="80"/>
      <c r="B132" s="12" t="s">
        <v>3</v>
      </c>
      <c r="C132" s="9" t="s">
        <v>99</v>
      </c>
      <c r="D132" s="5"/>
      <c r="E132" s="10" t="s">
        <v>4</v>
      </c>
      <c r="F132" s="82" t="s">
        <v>100</v>
      </c>
      <c r="G132" s="6"/>
    </row>
    <row r="133" spans="1:7" ht="3.75" customHeight="1">
      <c r="A133" s="80"/>
      <c r="B133" s="5"/>
      <c r="C133" s="5"/>
      <c r="D133" s="5"/>
      <c r="E133" s="11"/>
      <c r="F133" s="5"/>
      <c r="G133" s="6"/>
    </row>
    <row r="134" spans="1:7">
      <c r="A134" s="80"/>
      <c r="B134" s="10" t="s">
        <v>5</v>
      </c>
      <c r="C134" s="9" t="s">
        <v>101</v>
      </c>
      <c r="D134" s="5"/>
      <c r="E134" s="10" t="s">
        <v>6</v>
      </c>
      <c r="F134" s="9" t="s">
        <v>107</v>
      </c>
      <c r="G134" s="6"/>
    </row>
    <row r="135" spans="1:7" ht="4.5" customHeight="1">
      <c r="A135" s="80"/>
      <c r="B135" s="13"/>
      <c r="C135" s="5"/>
      <c r="D135" s="5"/>
      <c r="E135" s="11"/>
      <c r="F135" s="5"/>
      <c r="G135" s="6"/>
    </row>
    <row r="136" spans="1:7">
      <c r="A136" s="80"/>
      <c r="B136" s="10" t="s">
        <v>7</v>
      </c>
      <c r="C136" s="9" t="s">
        <v>121</v>
      </c>
      <c r="D136" s="5"/>
      <c r="E136" s="11"/>
      <c r="F136" s="5"/>
      <c r="G136" s="6"/>
    </row>
    <row r="137" spans="1:7" ht="3.75" customHeight="1">
      <c r="A137" s="80"/>
      <c r="B137" s="5"/>
      <c r="C137" s="5"/>
      <c r="D137" s="5"/>
      <c r="E137" s="11"/>
      <c r="F137" s="5"/>
      <c r="G137" s="6"/>
    </row>
    <row r="138" spans="1:7">
      <c r="B138" s="14" t="s">
        <v>8</v>
      </c>
      <c r="C138" s="15" t="s">
        <v>104</v>
      </c>
      <c r="D138" s="5"/>
      <c r="E138" s="86" t="s">
        <v>109</v>
      </c>
      <c r="F138" s="87">
        <v>45323</v>
      </c>
      <c r="G138" s="6"/>
    </row>
    <row r="139" spans="1:7">
      <c r="B139" s="16" t="s">
        <v>9</v>
      </c>
      <c r="C139" s="17" t="s">
        <v>130</v>
      </c>
      <c r="D139" s="5"/>
      <c r="E139" s="88" t="s">
        <v>110</v>
      </c>
      <c r="F139" s="89">
        <v>45351</v>
      </c>
      <c r="G139" s="18"/>
    </row>
    <row r="140" spans="1:7" ht="15.75" thickBot="1">
      <c r="B140" s="4"/>
      <c r="C140" s="19"/>
      <c r="D140" s="19"/>
      <c r="E140" s="20"/>
      <c r="F140" s="21"/>
      <c r="G140" s="18"/>
    </row>
    <row r="141" spans="1:7" ht="18.75" thickBot="1">
      <c r="B141" s="4"/>
      <c r="C141" s="22" t="s">
        <v>10</v>
      </c>
      <c r="D141" s="23"/>
      <c r="E141" s="24"/>
      <c r="F141" s="25" t="s">
        <v>11</v>
      </c>
      <c r="G141" s="18"/>
    </row>
    <row r="142" spans="1:7">
      <c r="B142" s="4"/>
      <c r="C142" s="26" t="s">
        <v>12</v>
      </c>
      <c r="D142" s="26"/>
      <c r="E142" s="27">
        <v>11896.536430413233</v>
      </c>
      <c r="F142" s="28">
        <v>11896.536430413233</v>
      </c>
      <c r="G142" s="29"/>
    </row>
    <row r="143" spans="1:7">
      <c r="B143" s="30">
        <v>143</v>
      </c>
      <c r="C143" s="31" t="s">
        <v>13</v>
      </c>
      <c r="D143" s="31"/>
      <c r="E143" s="27">
        <v>4578.6174545454505</v>
      </c>
      <c r="F143" s="32">
        <v>4578.6174545454505</v>
      </c>
      <c r="G143" s="33"/>
    </row>
    <row r="144" spans="1:7">
      <c r="B144" s="30"/>
      <c r="C144" s="34" t="s">
        <v>14</v>
      </c>
      <c r="D144" s="34"/>
      <c r="E144" s="27">
        <v>0</v>
      </c>
      <c r="F144" s="32">
        <v>0</v>
      </c>
      <c r="G144" s="33"/>
    </row>
    <row r="145" spans="2:7">
      <c r="B145" s="30"/>
      <c r="C145" s="34" t="s">
        <v>15</v>
      </c>
      <c r="D145" s="34"/>
      <c r="E145" s="27">
        <v>0</v>
      </c>
      <c r="F145" s="32">
        <v>0</v>
      </c>
      <c r="G145" s="33"/>
    </row>
    <row r="146" spans="2:7">
      <c r="B146" s="30"/>
      <c r="C146" s="34" t="s">
        <v>16</v>
      </c>
      <c r="D146" s="34"/>
      <c r="E146" s="27">
        <v>0</v>
      </c>
      <c r="F146" s="32">
        <v>0</v>
      </c>
      <c r="G146" s="33"/>
    </row>
    <row r="147" spans="2:7">
      <c r="B147" s="30"/>
      <c r="C147" s="34" t="s">
        <v>17</v>
      </c>
      <c r="D147" s="34"/>
      <c r="E147" s="27">
        <v>0</v>
      </c>
      <c r="F147" s="32">
        <v>0</v>
      </c>
      <c r="G147" s="33"/>
    </row>
    <row r="148" spans="2:7">
      <c r="B148" s="30"/>
      <c r="C148" s="35" t="s">
        <v>18</v>
      </c>
      <c r="D148" s="35"/>
      <c r="E148" s="36">
        <v>16475.153884958683</v>
      </c>
      <c r="F148" s="37">
        <v>16475.153884958683</v>
      </c>
      <c r="G148" s="38"/>
    </row>
    <row r="149" spans="2:7" ht="15.75" thickBot="1">
      <c r="B149" s="30"/>
      <c r="C149" s="39"/>
      <c r="D149" s="39"/>
      <c r="E149" s="40"/>
      <c r="F149" s="41"/>
      <c r="G149" s="38"/>
    </row>
    <row r="150" spans="2:7" ht="18.75" thickBot="1">
      <c r="B150" s="30"/>
      <c r="C150" s="22" t="s">
        <v>19</v>
      </c>
      <c r="D150" s="23"/>
      <c r="E150" s="42"/>
      <c r="F150" s="43"/>
      <c r="G150" s="38"/>
    </row>
    <row r="151" spans="2:7">
      <c r="B151" s="44">
        <v>121</v>
      </c>
      <c r="C151" s="39" t="s">
        <v>20</v>
      </c>
      <c r="D151" s="39"/>
      <c r="E151" s="45"/>
      <c r="F151" s="46"/>
      <c r="G151" s="47"/>
    </row>
    <row r="152" spans="2:7">
      <c r="B152" s="44"/>
      <c r="C152" s="48" t="s">
        <v>21</v>
      </c>
      <c r="D152" s="48"/>
      <c r="E152" s="49">
        <v>0</v>
      </c>
      <c r="F152" s="50">
        <v>0</v>
      </c>
      <c r="G152" s="47"/>
    </row>
    <row r="153" spans="2:7">
      <c r="B153" s="44"/>
      <c r="C153" s="48" t="s">
        <v>22</v>
      </c>
      <c r="D153" s="48"/>
      <c r="E153" s="49">
        <v>0</v>
      </c>
      <c r="F153" s="50">
        <v>0</v>
      </c>
      <c r="G153" s="47"/>
    </row>
    <row r="154" spans="2:7">
      <c r="B154" s="51"/>
      <c r="C154" s="48" t="s">
        <v>23</v>
      </c>
      <c r="D154" s="48"/>
      <c r="E154" s="49">
        <v>0</v>
      </c>
      <c r="F154" s="50">
        <v>0</v>
      </c>
      <c r="G154" s="52"/>
    </row>
    <row r="155" spans="2:7">
      <c r="B155" s="51"/>
      <c r="C155" s="48" t="s">
        <v>24</v>
      </c>
      <c r="D155" s="48"/>
      <c r="E155" s="49">
        <v>0</v>
      </c>
      <c r="F155" s="50">
        <v>0</v>
      </c>
      <c r="G155" s="52"/>
    </row>
    <row r="156" spans="2:7">
      <c r="B156" s="44"/>
      <c r="C156" s="48" t="s">
        <v>25</v>
      </c>
      <c r="D156" s="48"/>
      <c r="E156" s="49">
        <v>0</v>
      </c>
      <c r="F156" s="50">
        <v>0</v>
      </c>
      <c r="G156" s="52"/>
    </row>
    <row r="157" spans="2:7">
      <c r="B157" s="44"/>
      <c r="C157" s="53" t="s">
        <v>26</v>
      </c>
      <c r="D157" s="53"/>
      <c r="E157" s="36">
        <v>0</v>
      </c>
      <c r="F157" s="54">
        <v>0</v>
      </c>
      <c r="G157" s="52"/>
    </row>
    <row r="158" spans="2:7">
      <c r="B158" s="44">
        <v>122</v>
      </c>
      <c r="C158" s="39" t="s">
        <v>27</v>
      </c>
      <c r="D158" s="39"/>
      <c r="E158" s="36"/>
      <c r="F158" s="50"/>
      <c r="G158" s="55"/>
    </row>
    <row r="159" spans="2:7">
      <c r="B159" s="44"/>
      <c r="C159" s="48" t="s">
        <v>28</v>
      </c>
      <c r="D159" s="48"/>
      <c r="E159" s="49">
        <v>0</v>
      </c>
      <c r="F159" s="50">
        <v>0</v>
      </c>
      <c r="G159" s="52"/>
    </row>
    <row r="160" spans="2:7">
      <c r="B160" s="44"/>
      <c r="C160" s="48" t="s">
        <v>29</v>
      </c>
      <c r="D160" s="48"/>
      <c r="E160" s="49">
        <v>0</v>
      </c>
      <c r="F160" s="50">
        <v>0</v>
      </c>
      <c r="G160" s="52"/>
    </row>
    <row r="161" spans="2:7">
      <c r="B161" s="44"/>
      <c r="C161" s="48" t="s">
        <v>30</v>
      </c>
      <c r="D161" s="48"/>
      <c r="E161" s="49">
        <v>0</v>
      </c>
      <c r="F161" s="50">
        <v>0</v>
      </c>
      <c r="G161" s="52"/>
    </row>
    <row r="162" spans="2:7">
      <c r="B162" s="44"/>
      <c r="C162" s="48" t="s">
        <v>31</v>
      </c>
      <c r="D162" s="48"/>
      <c r="E162" s="49">
        <v>0</v>
      </c>
      <c r="F162" s="50">
        <v>0</v>
      </c>
      <c r="G162" s="52"/>
    </row>
    <row r="163" spans="2:7">
      <c r="B163" s="44"/>
      <c r="C163" s="48" t="s">
        <v>32</v>
      </c>
      <c r="D163" s="48"/>
      <c r="E163" s="49">
        <v>88.800120595041136</v>
      </c>
      <c r="F163" s="50">
        <v>88.800120595041136</v>
      </c>
      <c r="G163" s="52"/>
    </row>
    <row r="164" spans="2:7">
      <c r="B164" s="44"/>
      <c r="C164" s="48" t="s">
        <v>33</v>
      </c>
      <c r="D164" s="48"/>
      <c r="E164" s="49">
        <v>0</v>
      </c>
      <c r="F164" s="50">
        <v>0</v>
      </c>
      <c r="G164" s="52"/>
    </row>
    <row r="165" spans="2:7">
      <c r="B165" s="44"/>
      <c r="C165" s="48" t="s">
        <v>34</v>
      </c>
      <c r="D165" s="48"/>
      <c r="E165" s="49">
        <v>0</v>
      </c>
      <c r="F165" s="50">
        <v>0</v>
      </c>
      <c r="G165" s="52"/>
    </row>
    <row r="166" spans="2:7">
      <c r="B166" s="44"/>
      <c r="C166" s="48" t="s">
        <v>35</v>
      </c>
      <c r="D166" s="48"/>
      <c r="E166" s="49">
        <v>0</v>
      </c>
      <c r="F166" s="50">
        <v>0</v>
      </c>
      <c r="G166" s="52"/>
    </row>
    <row r="167" spans="2:7">
      <c r="B167" s="44"/>
      <c r="C167" s="53" t="s">
        <v>26</v>
      </c>
      <c r="D167" s="53"/>
      <c r="E167" s="36">
        <v>88.800120595041136</v>
      </c>
      <c r="F167" s="54">
        <v>88.800120595041136</v>
      </c>
      <c r="G167" s="52"/>
    </row>
    <row r="168" spans="2:7">
      <c r="B168" s="44">
        <v>123</v>
      </c>
      <c r="C168" s="39" t="s">
        <v>36</v>
      </c>
      <c r="D168" s="39"/>
      <c r="E168" s="56"/>
      <c r="F168" s="57"/>
      <c r="G168" s="52"/>
    </row>
    <row r="169" spans="2:7">
      <c r="B169" s="44"/>
      <c r="C169" s="48" t="s">
        <v>37</v>
      </c>
      <c r="D169" s="48"/>
      <c r="E169" s="49">
        <v>88.800120595041136</v>
      </c>
      <c r="F169" s="50">
        <v>88.800120595041136</v>
      </c>
      <c r="G169" s="52"/>
    </row>
    <row r="170" spans="2:7">
      <c r="B170" s="44"/>
      <c r="C170" s="48" t="s">
        <v>38</v>
      </c>
      <c r="D170" s="48"/>
      <c r="E170" s="49">
        <v>0</v>
      </c>
      <c r="F170" s="50">
        <v>0</v>
      </c>
      <c r="G170" s="52"/>
    </row>
    <row r="171" spans="2:7">
      <c r="B171" s="44"/>
      <c r="C171" s="48" t="s">
        <v>39</v>
      </c>
      <c r="D171" s="48"/>
      <c r="E171" s="49">
        <v>769.60104515702335</v>
      </c>
      <c r="F171" s="50">
        <v>769.60104515702335</v>
      </c>
      <c r="G171" s="52"/>
    </row>
    <row r="172" spans="2:7">
      <c r="B172" s="44"/>
      <c r="C172" s="48" t="s">
        <v>40</v>
      </c>
      <c r="D172" s="48"/>
      <c r="E172" s="49">
        <v>0</v>
      </c>
      <c r="F172" s="50">
        <v>0</v>
      </c>
      <c r="G172" s="52"/>
    </row>
    <row r="173" spans="2:7">
      <c r="B173" s="44"/>
      <c r="C173" s="48" t="s">
        <v>41</v>
      </c>
      <c r="D173" s="48"/>
      <c r="E173" s="49">
        <v>0</v>
      </c>
      <c r="F173" s="50">
        <v>0</v>
      </c>
      <c r="G173" s="52"/>
    </row>
    <row r="174" spans="2:7">
      <c r="B174" s="44"/>
      <c r="C174" s="48" t="s">
        <v>42</v>
      </c>
      <c r="D174" s="48"/>
      <c r="E174" s="49">
        <v>177.60024119008227</v>
      </c>
      <c r="F174" s="50">
        <v>177.60024119008227</v>
      </c>
      <c r="G174" s="52"/>
    </row>
    <row r="175" spans="2:7">
      <c r="B175" s="44"/>
      <c r="C175" s="53" t="s">
        <v>26</v>
      </c>
      <c r="D175" s="53"/>
      <c r="E175" s="36">
        <v>1036.0014069421468</v>
      </c>
      <c r="F175" s="54">
        <v>1036.0014069421468</v>
      </c>
      <c r="G175" s="52"/>
    </row>
    <row r="176" spans="2:7">
      <c r="B176" s="44">
        <v>124</v>
      </c>
      <c r="C176" s="39" t="s">
        <v>43</v>
      </c>
      <c r="D176" s="39"/>
      <c r="E176" s="56"/>
      <c r="F176" s="57"/>
      <c r="G176" s="52"/>
    </row>
    <row r="177" spans="2:7">
      <c r="B177" s="44"/>
      <c r="C177" s="48" t="s">
        <v>44</v>
      </c>
      <c r="D177" s="48"/>
      <c r="E177" s="49">
        <v>135.66685090909075</v>
      </c>
      <c r="F177" s="50">
        <v>135.66685090909075</v>
      </c>
      <c r="G177" s="52"/>
    </row>
    <row r="178" spans="2:7">
      <c r="B178" s="44"/>
      <c r="C178" s="48" t="s">
        <v>45</v>
      </c>
      <c r="D178" s="48"/>
      <c r="E178" s="49">
        <v>0</v>
      </c>
      <c r="F178" s="50">
        <v>0</v>
      </c>
      <c r="G178" s="52"/>
    </row>
    <row r="179" spans="2:7">
      <c r="B179" s="44"/>
      <c r="C179" s="48" t="s">
        <v>46</v>
      </c>
      <c r="D179" s="48"/>
      <c r="E179" s="49">
        <v>0</v>
      </c>
      <c r="F179" s="50">
        <v>0</v>
      </c>
      <c r="G179" s="52"/>
    </row>
    <row r="180" spans="2:7">
      <c r="B180" s="44"/>
      <c r="C180" s="53" t="s">
        <v>26</v>
      </c>
      <c r="D180" s="53"/>
      <c r="E180" s="36">
        <v>135.66685090909075</v>
      </c>
      <c r="F180" s="54">
        <v>135.66685090909075</v>
      </c>
      <c r="G180" s="52"/>
    </row>
    <row r="181" spans="2:7">
      <c r="B181" s="44">
        <v>125</v>
      </c>
      <c r="C181" s="39" t="s">
        <v>47</v>
      </c>
      <c r="D181" s="39"/>
      <c r="E181" s="36"/>
      <c r="F181" s="50"/>
      <c r="G181" s="52"/>
    </row>
    <row r="182" spans="2:7">
      <c r="B182" s="44"/>
      <c r="C182" s="48" t="s">
        <v>48</v>
      </c>
      <c r="D182" s="48"/>
      <c r="E182" s="58">
        <v>0</v>
      </c>
      <c r="F182" s="50">
        <v>0</v>
      </c>
      <c r="G182" s="52"/>
    </row>
    <row r="183" spans="2:7">
      <c r="B183" s="44"/>
      <c r="C183" s="48" t="s">
        <v>49</v>
      </c>
      <c r="D183" s="48"/>
      <c r="E183" s="58">
        <v>0</v>
      </c>
      <c r="F183" s="50">
        <v>0</v>
      </c>
      <c r="G183" s="52"/>
    </row>
    <row r="184" spans="2:7">
      <c r="B184" s="44"/>
      <c r="C184" s="48" t="s">
        <v>50</v>
      </c>
      <c r="D184" s="48"/>
      <c r="E184" s="58">
        <v>108.5334807272726</v>
      </c>
      <c r="F184" s="50">
        <v>108.5334807272726</v>
      </c>
      <c r="G184" s="52"/>
    </row>
    <row r="185" spans="2:7">
      <c r="B185" s="44"/>
      <c r="C185" s="48" t="s">
        <v>51</v>
      </c>
      <c r="D185" s="48"/>
      <c r="E185" s="58">
        <v>0</v>
      </c>
      <c r="F185" s="50">
        <v>0</v>
      </c>
      <c r="G185" s="52"/>
    </row>
    <row r="186" spans="2:7">
      <c r="B186" s="44"/>
      <c r="C186" s="53" t="s">
        <v>26</v>
      </c>
      <c r="D186" s="53"/>
      <c r="E186" s="56">
        <v>108.5334807272726</v>
      </c>
      <c r="F186" s="54">
        <v>108.5334807272726</v>
      </c>
      <c r="G186" s="52"/>
    </row>
    <row r="187" spans="2:7">
      <c r="B187" s="44">
        <v>126</v>
      </c>
      <c r="C187" s="39" t="s">
        <v>52</v>
      </c>
      <c r="D187" s="39"/>
      <c r="E187" s="56"/>
      <c r="F187" s="50"/>
      <c r="G187" s="52"/>
    </row>
    <row r="188" spans="2:7">
      <c r="B188" s="44"/>
      <c r="C188" s="48" t="s">
        <v>53</v>
      </c>
      <c r="D188" s="48"/>
      <c r="E188" s="49">
        <v>0</v>
      </c>
      <c r="F188" s="50">
        <v>0</v>
      </c>
      <c r="G188" s="52"/>
    </row>
    <row r="189" spans="2:7">
      <c r="B189" s="44"/>
      <c r="C189" s="48" t="s">
        <v>54</v>
      </c>
      <c r="D189" s="48"/>
      <c r="E189" s="49">
        <v>0</v>
      </c>
      <c r="F189" s="50"/>
      <c r="G189" s="52"/>
    </row>
    <row r="190" spans="2:7">
      <c r="B190" s="44"/>
      <c r="C190" s="48" t="s">
        <v>55</v>
      </c>
      <c r="D190" s="48"/>
      <c r="E190" s="49">
        <v>0</v>
      </c>
      <c r="F190" s="50"/>
      <c r="G190" s="52"/>
    </row>
    <row r="191" spans="2:7">
      <c r="B191" s="44"/>
      <c r="C191" s="48" t="s">
        <v>56</v>
      </c>
      <c r="D191" s="48"/>
      <c r="E191" s="49">
        <v>0</v>
      </c>
      <c r="F191" s="57"/>
      <c r="G191" s="52"/>
    </row>
    <row r="192" spans="2:7">
      <c r="B192" s="44"/>
      <c r="C192" s="53" t="s">
        <v>26</v>
      </c>
      <c r="D192" s="53"/>
      <c r="E192" s="56">
        <v>0</v>
      </c>
      <c r="F192" s="54">
        <v>0</v>
      </c>
      <c r="G192" s="52"/>
    </row>
    <row r="193" spans="2:7">
      <c r="B193" s="44">
        <v>127</v>
      </c>
      <c r="C193" s="39" t="s">
        <v>57</v>
      </c>
      <c r="D193" s="39"/>
      <c r="E193" s="56"/>
      <c r="F193" s="54"/>
      <c r="G193" s="52"/>
    </row>
    <row r="194" spans="2:7">
      <c r="B194" s="44"/>
      <c r="C194" s="48" t="s">
        <v>58</v>
      </c>
      <c r="D194" s="48"/>
      <c r="E194" s="49">
        <v>0</v>
      </c>
      <c r="F194" s="50">
        <v>0</v>
      </c>
      <c r="G194" s="52"/>
    </row>
    <row r="195" spans="2:7">
      <c r="B195" s="44"/>
      <c r="C195" s="48" t="s">
        <v>59</v>
      </c>
      <c r="D195" s="48"/>
      <c r="E195" s="49">
        <v>0</v>
      </c>
      <c r="F195" s="50">
        <v>0</v>
      </c>
      <c r="G195" s="52"/>
    </row>
    <row r="196" spans="2:7">
      <c r="B196" s="44"/>
      <c r="C196" s="48" t="s">
        <v>60</v>
      </c>
      <c r="D196" s="48"/>
      <c r="E196" s="49">
        <v>0</v>
      </c>
      <c r="F196" s="50">
        <v>0</v>
      </c>
      <c r="G196" s="52"/>
    </row>
    <row r="197" spans="2:7">
      <c r="B197" s="44"/>
      <c r="C197" s="59" t="s">
        <v>61</v>
      </c>
      <c r="D197" s="59"/>
      <c r="E197" s="49">
        <v>0</v>
      </c>
      <c r="F197" s="50">
        <v>0</v>
      </c>
      <c r="G197" s="52"/>
    </row>
    <row r="198" spans="2:7">
      <c r="B198" s="44"/>
      <c r="C198" s="53" t="s">
        <v>26</v>
      </c>
      <c r="D198" s="53"/>
      <c r="E198" s="56">
        <v>0</v>
      </c>
      <c r="F198" s="54">
        <v>0</v>
      </c>
      <c r="G198" s="52"/>
    </row>
    <row r="199" spans="2:7">
      <c r="B199" s="44">
        <v>128</v>
      </c>
      <c r="C199" s="39" t="s">
        <v>62</v>
      </c>
      <c r="D199" s="39"/>
      <c r="E199" s="56"/>
      <c r="F199" s="54"/>
      <c r="G199" s="52"/>
    </row>
    <row r="200" spans="2:7">
      <c r="B200" s="44"/>
      <c r="C200" s="48" t="s">
        <v>63</v>
      </c>
      <c r="D200" s="48"/>
      <c r="E200" s="49">
        <v>0</v>
      </c>
      <c r="F200" s="50">
        <v>0</v>
      </c>
      <c r="G200" s="52"/>
    </row>
    <row r="201" spans="2:7">
      <c r="B201" s="44"/>
      <c r="C201" s="48" t="s">
        <v>64</v>
      </c>
      <c r="D201" s="48"/>
      <c r="E201" s="49">
        <v>0</v>
      </c>
      <c r="F201" s="50">
        <v>0</v>
      </c>
      <c r="G201" s="52"/>
    </row>
    <row r="202" spans="2:7">
      <c r="B202" s="44"/>
      <c r="C202" s="48" t="s">
        <v>65</v>
      </c>
      <c r="D202" s="48"/>
      <c r="E202" s="49">
        <v>325.60044218181781</v>
      </c>
      <c r="F202" s="50">
        <v>325.60044218181781</v>
      </c>
      <c r="G202" s="52"/>
    </row>
    <row r="203" spans="2:7">
      <c r="B203" s="44"/>
      <c r="C203" s="48" t="s">
        <v>66</v>
      </c>
      <c r="D203" s="48"/>
      <c r="E203" s="49">
        <v>0</v>
      </c>
      <c r="F203" s="50">
        <v>0</v>
      </c>
      <c r="G203" s="52"/>
    </row>
    <row r="204" spans="2:7">
      <c r="B204" s="44"/>
      <c r="C204" s="48" t="s">
        <v>67</v>
      </c>
      <c r="D204" s="48"/>
      <c r="E204" s="49">
        <v>0</v>
      </c>
      <c r="F204" s="50">
        <v>0</v>
      </c>
      <c r="G204" s="52"/>
    </row>
    <row r="205" spans="2:7">
      <c r="B205" s="44"/>
      <c r="C205" s="53" t="s">
        <v>26</v>
      </c>
      <c r="D205" s="53"/>
      <c r="E205" s="56">
        <v>325.60044218181781</v>
      </c>
      <c r="F205" s="54">
        <v>325.60044218181781</v>
      </c>
      <c r="G205" s="52"/>
    </row>
    <row r="206" spans="2:7">
      <c r="B206" s="44">
        <v>135</v>
      </c>
      <c r="C206" s="39" t="s">
        <v>68</v>
      </c>
      <c r="D206" s="39"/>
      <c r="E206" s="56"/>
      <c r="F206" s="50"/>
      <c r="G206" s="52"/>
    </row>
    <row r="207" spans="2:7">
      <c r="B207" s="44"/>
      <c r="C207" s="48" t="s">
        <v>69</v>
      </c>
      <c r="D207" s="48"/>
      <c r="E207" s="49">
        <v>0</v>
      </c>
      <c r="F207" s="50">
        <v>0</v>
      </c>
      <c r="G207" s="52"/>
    </row>
    <row r="208" spans="2:7">
      <c r="B208" s="44"/>
      <c r="C208" s="48" t="s">
        <v>70</v>
      </c>
      <c r="D208" s="48"/>
      <c r="E208" s="49">
        <v>0</v>
      </c>
      <c r="F208" s="50">
        <v>0</v>
      </c>
      <c r="G208" s="52"/>
    </row>
    <row r="209" spans="2:7">
      <c r="B209" s="44"/>
      <c r="C209" s="48" t="s">
        <v>71</v>
      </c>
      <c r="D209" s="48"/>
      <c r="E209" s="49">
        <v>0</v>
      </c>
      <c r="F209" s="50">
        <v>0</v>
      </c>
      <c r="G209" s="52"/>
    </row>
    <row r="210" spans="2:7">
      <c r="B210" s="44"/>
      <c r="C210" s="48" t="s">
        <v>72</v>
      </c>
      <c r="D210" s="48"/>
      <c r="E210" s="49">
        <v>0</v>
      </c>
      <c r="F210" s="50">
        <v>0</v>
      </c>
      <c r="G210" s="52"/>
    </row>
    <row r="211" spans="2:7">
      <c r="B211" s="44"/>
      <c r="C211" s="48" t="s">
        <v>73</v>
      </c>
      <c r="D211" s="48"/>
      <c r="E211" s="49">
        <v>177.60024119008227</v>
      </c>
      <c r="F211" s="50">
        <v>177.60024119008227</v>
      </c>
      <c r="G211" s="52"/>
    </row>
    <row r="212" spans="2:7">
      <c r="B212" s="44"/>
      <c r="C212" s="48" t="s">
        <v>74</v>
      </c>
      <c r="D212" s="48"/>
      <c r="E212" s="49">
        <v>0</v>
      </c>
      <c r="F212" s="50">
        <v>0</v>
      </c>
      <c r="G212" s="52"/>
    </row>
    <row r="213" spans="2:7">
      <c r="B213" s="44"/>
      <c r="C213" s="48" t="s">
        <v>75</v>
      </c>
      <c r="D213" s="48"/>
      <c r="E213" s="49">
        <v>841.13447563636271</v>
      </c>
      <c r="F213" s="50">
        <v>841.13447563636271</v>
      </c>
      <c r="G213" s="52"/>
    </row>
    <row r="214" spans="2:7">
      <c r="B214" s="44"/>
      <c r="C214" s="48" t="s">
        <v>76</v>
      </c>
      <c r="D214" s="48"/>
      <c r="E214" s="49">
        <v>0</v>
      </c>
      <c r="F214" s="50">
        <v>0</v>
      </c>
      <c r="G214" s="52"/>
    </row>
    <row r="215" spans="2:7">
      <c r="B215" s="44"/>
      <c r="C215" s="48" t="s">
        <v>77</v>
      </c>
      <c r="D215" s="48"/>
      <c r="E215" s="49">
        <v>0</v>
      </c>
      <c r="F215" s="50">
        <v>0</v>
      </c>
      <c r="G215" s="52"/>
    </row>
    <row r="216" spans="2:7">
      <c r="B216" s="44"/>
      <c r="C216" s="53" t="s">
        <v>26</v>
      </c>
      <c r="D216" s="53"/>
      <c r="E216" s="56">
        <v>1018.734716826445</v>
      </c>
      <c r="F216" s="54">
        <v>1018.734716826445</v>
      </c>
      <c r="G216" s="52"/>
    </row>
    <row r="217" spans="2:7">
      <c r="B217" s="44">
        <v>136</v>
      </c>
      <c r="C217" s="39" t="s">
        <v>78</v>
      </c>
      <c r="D217" s="39"/>
      <c r="E217" s="56"/>
      <c r="F217" s="50"/>
      <c r="G217" s="52"/>
    </row>
    <row r="218" spans="2:7">
      <c r="B218" s="44"/>
      <c r="C218" s="48" t="s">
        <v>79</v>
      </c>
      <c r="D218" s="48"/>
      <c r="E218" s="49">
        <v>0</v>
      </c>
      <c r="F218" s="50">
        <v>0</v>
      </c>
      <c r="G218" s="52"/>
    </row>
    <row r="219" spans="2:7">
      <c r="B219" s="44"/>
      <c r="C219" s="48" t="s">
        <v>80</v>
      </c>
      <c r="D219" s="48"/>
      <c r="E219" s="49">
        <v>0</v>
      </c>
      <c r="F219" s="50">
        <v>0</v>
      </c>
      <c r="G219" s="52"/>
    </row>
    <row r="220" spans="2:7">
      <c r="B220" s="44"/>
      <c r="C220" s="48" t="s">
        <v>81</v>
      </c>
      <c r="D220" s="48"/>
      <c r="E220" s="49">
        <v>0</v>
      </c>
      <c r="F220" s="50">
        <v>0</v>
      </c>
      <c r="G220" s="52"/>
    </row>
    <row r="221" spans="2:7">
      <c r="B221" s="44"/>
      <c r="C221" s="48" t="s">
        <v>82</v>
      </c>
      <c r="D221" s="48"/>
      <c r="E221" s="49">
        <v>0</v>
      </c>
      <c r="F221" s="50">
        <v>0</v>
      </c>
      <c r="G221" s="52"/>
    </row>
    <row r="222" spans="2:7">
      <c r="B222" s="44"/>
      <c r="C222" s="48" t="s">
        <v>83</v>
      </c>
      <c r="D222" s="48"/>
      <c r="E222" s="49">
        <v>0</v>
      </c>
      <c r="F222" s="50">
        <v>0</v>
      </c>
      <c r="G222" s="52"/>
    </row>
    <row r="223" spans="2:7">
      <c r="B223" s="44"/>
      <c r="C223" s="48" t="s">
        <v>84</v>
      </c>
      <c r="D223" s="48"/>
      <c r="E223" s="49">
        <v>0</v>
      </c>
      <c r="F223" s="50">
        <v>0</v>
      </c>
      <c r="G223" s="52"/>
    </row>
    <row r="224" spans="2:7">
      <c r="B224" s="44"/>
      <c r="C224" s="53" t="s">
        <v>26</v>
      </c>
      <c r="D224" s="53"/>
      <c r="E224" s="56">
        <v>0</v>
      </c>
      <c r="F224" s="54">
        <v>0</v>
      </c>
      <c r="G224" s="52"/>
    </row>
    <row r="225" spans="2:7">
      <c r="B225" s="44">
        <v>142</v>
      </c>
      <c r="C225" s="39" t="s">
        <v>85</v>
      </c>
      <c r="D225" s="39"/>
      <c r="E225" s="56"/>
      <c r="F225" s="50"/>
      <c r="G225" s="52"/>
    </row>
    <row r="226" spans="2:7">
      <c r="B226" s="44"/>
      <c r="C226" s="48" t="s">
        <v>86</v>
      </c>
      <c r="D226" s="48"/>
      <c r="E226" s="49">
        <v>0</v>
      </c>
      <c r="F226" s="50">
        <v>0</v>
      </c>
      <c r="G226" s="52"/>
    </row>
    <row r="227" spans="2:7">
      <c r="B227" s="44"/>
      <c r="C227" s="48" t="s">
        <v>87</v>
      </c>
      <c r="D227" s="48"/>
      <c r="E227" s="49">
        <v>0</v>
      </c>
      <c r="F227" s="50">
        <v>0</v>
      </c>
      <c r="G227" s="52"/>
    </row>
    <row r="228" spans="2:7">
      <c r="B228" s="44"/>
      <c r="C228" s="53" t="s">
        <v>26</v>
      </c>
      <c r="D228" s="53"/>
      <c r="E228" s="56">
        <v>0</v>
      </c>
      <c r="F228" s="54">
        <v>0</v>
      </c>
      <c r="G228" s="52"/>
    </row>
    <row r="229" spans="2:7">
      <c r="B229" s="44">
        <v>144</v>
      </c>
      <c r="C229" s="39" t="s">
        <v>88</v>
      </c>
      <c r="D229" s="39"/>
      <c r="E229" s="49">
        <v>0</v>
      </c>
      <c r="F229" s="54">
        <v>0</v>
      </c>
      <c r="G229" s="52"/>
    </row>
    <row r="230" spans="2:7">
      <c r="B230" s="44">
        <v>221</v>
      </c>
      <c r="C230" s="39" t="s">
        <v>89</v>
      </c>
      <c r="D230" s="39"/>
      <c r="E230" s="49">
        <v>0</v>
      </c>
      <c r="F230" s="54">
        <v>0</v>
      </c>
      <c r="G230" s="52"/>
    </row>
    <row r="231" spans="2:7">
      <c r="B231" s="44">
        <v>222</v>
      </c>
      <c r="C231" s="39" t="s">
        <v>90</v>
      </c>
      <c r="D231" s="39"/>
      <c r="E231" s="49">
        <v>0</v>
      </c>
      <c r="F231" s="54">
        <v>0</v>
      </c>
      <c r="G231" s="52"/>
    </row>
    <row r="232" spans="2:7">
      <c r="B232" s="44">
        <v>224</v>
      </c>
      <c r="C232" s="39" t="s">
        <v>91</v>
      </c>
      <c r="D232" s="39"/>
      <c r="E232" s="49">
        <v>0</v>
      </c>
      <c r="F232" s="54">
        <v>0</v>
      </c>
      <c r="G232" s="52"/>
    </row>
    <row r="233" spans="2:7">
      <c r="B233" s="44">
        <v>225</v>
      </c>
      <c r="C233" s="39" t="s">
        <v>92</v>
      </c>
      <c r="D233" s="39"/>
      <c r="E233" s="49">
        <v>0</v>
      </c>
      <c r="F233" s="54">
        <v>0</v>
      </c>
      <c r="G233" s="38"/>
    </row>
    <row r="234" spans="2:7">
      <c r="B234" s="44">
        <v>226</v>
      </c>
      <c r="C234" s="39" t="s">
        <v>93</v>
      </c>
      <c r="D234" s="39"/>
      <c r="E234" s="49">
        <v>0</v>
      </c>
      <c r="F234" s="54">
        <v>0</v>
      </c>
      <c r="G234" s="60"/>
    </row>
    <row r="235" spans="2:7" ht="15.75" thickBot="1">
      <c r="B235" s="61"/>
      <c r="C235" s="62" t="s">
        <v>94</v>
      </c>
      <c r="D235" s="62"/>
      <c r="E235" s="94">
        <v>0</v>
      </c>
      <c r="F235" s="63">
        <v>0</v>
      </c>
      <c r="G235" s="38"/>
    </row>
    <row r="236" spans="2:7">
      <c r="B236" s="64"/>
      <c r="C236" s="65" t="s">
        <v>95</v>
      </c>
      <c r="D236" s="66"/>
      <c r="E236" s="67">
        <v>2713.3370181818141</v>
      </c>
      <c r="F236" s="68">
        <v>2713.3370181818141</v>
      </c>
      <c r="G236" s="69"/>
    </row>
    <row r="237" spans="2:7" ht="15.75" thickBot="1">
      <c r="B237" s="64"/>
      <c r="C237" s="70"/>
      <c r="D237" s="71"/>
      <c r="E237" s="72"/>
      <c r="F237" s="73"/>
      <c r="G237" s="69"/>
    </row>
    <row r="238" spans="2:7" ht="15.75" thickBot="1">
      <c r="B238" s="64"/>
      <c r="C238" s="70" t="s">
        <v>96</v>
      </c>
      <c r="D238" s="71"/>
      <c r="E238" s="74">
        <v>13761.81686677687</v>
      </c>
      <c r="F238" s="75">
        <v>13761.81686677687</v>
      </c>
      <c r="G238" s="76"/>
    </row>
    <row r="239" spans="2:7" ht="8.25" customHeight="1" thickBot="1">
      <c r="B239" s="77"/>
      <c r="C239" s="81"/>
      <c r="D239" s="81"/>
      <c r="E239" s="78"/>
      <c r="F239" s="78"/>
      <c r="G239" s="79"/>
    </row>
    <row r="240" spans="2:7">
      <c r="B240" s="85"/>
      <c r="C240" s="84"/>
      <c r="D240" s="84"/>
      <c r="E240" s="85"/>
      <c r="F240" s="85"/>
      <c r="G240" s="85"/>
    </row>
    <row r="241" spans="1:7" ht="6" customHeight="1" thickBot="1"/>
    <row r="242" spans="1:7">
      <c r="B242" s="1"/>
      <c r="C242" s="2"/>
      <c r="D242" s="2"/>
      <c r="E242" s="2"/>
      <c r="F242" s="2"/>
      <c r="G242" s="3"/>
    </row>
    <row r="243" spans="1:7">
      <c r="B243" s="4"/>
      <c r="C243" s="5"/>
      <c r="D243" s="5"/>
      <c r="E243" s="5"/>
      <c r="F243" s="5"/>
      <c r="G243" s="6"/>
    </row>
    <row r="244" spans="1:7">
      <c r="B244" s="4"/>
      <c r="C244" s="5"/>
      <c r="D244" s="5"/>
      <c r="E244" s="5"/>
      <c r="F244" s="5"/>
      <c r="G244" s="6"/>
    </row>
    <row r="245" spans="1:7">
      <c r="B245" s="4"/>
      <c r="C245" s="5"/>
      <c r="D245" s="5"/>
      <c r="E245" s="5"/>
      <c r="F245" s="5"/>
      <c r="G245" s="6"/>
    </row>
    <row r="246" spans="1:7">
      <c r="B246" s="4"/>
      <c r="C246" s="5"/>
      <c r="D246" s="5"/>
      <c r="E246" s="5"/>
      <c r="F246" s="5"/>
      <c r="G246" s="6"/>
    </row>
    <row r="247" spans="1:7" ht="16.5" customHeight="1">
      <c r="B247" s="4"/>
      <c r="C247" s="5"/>
      <c r="D247" s="5"/>
      <c r="E247" s="5"/>
      <c r="F247" s="5"/>
      <c r="G247" s="6"/>
    </row>
    <row r="248" spans="1:7" ht="22.5" customHeight="1" thickBot="1">
      <c r="B248" s="4"/>
      <c r="C248" s="95" t="s">
        <v>0</v>
      </c>
      <c r="D248" s="95"/>
      <c r="E248" s="95"/>
      <c r="F248" s="5"/>
      <c r="G248" s="6"/>
    </row>
    <row r="249" spans="1:7" ht="21" thickTop="1">
      <c r="B249" s="4"/>
      <c r="C249" s="7"/>
      <c r="D249" s="7"/>
      <c r="E249" s="5"/>
      <c r="F249" s="5"/>
      <c r="G249" s="6"/>
    </row>
    <row r="250" spans="1:7">
      <c r="B250" s="8" t="s">
        <v>1</v>
      </c>
      <c r="C250" s="9" t="s">
        <v>97</v>
      </c>
      <c r="D250" s="5"/>
      <c r="E250" s="10" t="s">
        <v>2</v>
      </c>
      <c r="F250" s="9" t="s">
        <v>98</v>
      </c>
      <c r="G250" s="6"/>
    </row>
    <row r="251" spans="1:7" ht="3.75" customHeight="1">
      <c r="A251" s="80"/>
      <c r="B251" s="5"/>
      <c r="C251" s="5"/>
      <c r="D251" s="5"/>
      <c r="E251" s="11"/>
      <c r="F251" s="5"/>
      <c r="G251" s="6"/>
    </row>
    <row r="252" spans="1:7">
      <c r="A252" s="80"/>
      <c r="B252" s="12" t="s">
        <v>3</v>
      </c>
      <c r="C252" s="9" t="s">
        <v>99</v>
      </c>
      <c r="D252" s="5"/>
      <c r="E252" s="10" t="s">
        <v>4</v>
      </c>
      <c r="F252" s="82" t="s">
        <v>100</v>
      </c>
      <c r="G252" s="6"/>
    </row>
    <row r="253" spans="1:7" ht="3.75" customHeight="1">
      <c r="A253" s="80"/>
      <c r="B253" s="5"/>
      <c r="C253" s="5"/>
      <c r="D253" s="5"/>
      <c r="E253" s="11"/>
      <c r="F253" s="5"/>
      <c r="G253" s="6"/>
    </row>
    <row r="254" spans="1:7">
      <c r="A254" s="80"/>
      <c r="B254" s="10" t="s">
        <v>5</v>
      </c>
      <c r="C254" s="9" t="s">
        <v>101</v>
      </c>
      <c r="D254" s="5"/>
      <c r="E254" s="10" t="s">
        <v>6</v>
      </c>
      <c r="F254" s="9" t="s">
        <v>107</v>
      </c>
      <c r="G254" s="6"/>
    </row>
    <row r="255" spans="1:7" ht="4.5" customHeight="1">
      <c r="A255" s="80"/>
      <c r="B255" s="13"/>
      <c r="C255" s="5"/>
      <c r="D255" s="5"/>
      <c r="E255" s="11"/>
      <c r="F255" s="5"/>
      <c r="G255" s="6"/>
    </row>
    <row r="256" spans="1:7">
      <c r="A256" s="80"/>
      <c r="B256" s="10" t="s">
        <v>7</v>
      </c>
      <c r="C256" s="9" t="s">
        <v>121</v>
      </c>
      <c r="D256" s="5"/>
      <c r="E256" s="11"/>
      <c r="F256" s="5"/>
      <c r="G256" s="6"/>
    </row>
    <row r="257" spans="1:7" ht="3.75" customHeight="1">
      <c r="A257" s="80"/>
      <c r="B257" s="5"/>
      <c r="C257" s="5"/>
      <c r="D257" s="5"/>
      <c r="E257" s="11"/>
      <c r="F257" s="5"/>
      <c r="G257" s="6"/>
    </row>
    <row r="258" spans="1:7">
      <c r="B258" s="14" t="s">
        <v>8</v>
      </c>
      <c r="C258" s="15" t="s">
        <v>105</v>
      </c>
      <c r="D258" s="5"/>
      <c r="E258" s="86" t="s">
        <v>109</v>
      </c>
      <c r="F258" s="87">
        <v>45352</v>
      </c>
      <c r="G258" s="6"/>
    </row>
    <row r="259" spans="1:7">
      <c r="B259" s="16" t="s">
        <v>9</v>
      </c>
      <c r="C259" s="17" t="s">
        <v>130</v>
      </c>
      <c r="D259" s="5"/>
      <c r="E259" s="88" t="s">
        <v>110</v>
      </c>
      <c r="F259" s="89">
        <v>45382</v>
      </c>
      <c r="G259" s="18"/>
    </row>
    <row r="260" spans="1:7" ht="15.75" thickBot="1">
      <c r="B260" s="4"/>
      <c r="C260" s="19"/>
      <c r="D260" s="19"/>
      <c r="E260" s="20"/>
      <c r="F260" s="21"/>
      <c r="G260" s="18"/>
    </row>
    <row r="261" spans="1:7" ht="18.75" thickBot="1">
      <c r="B261" s="4"/>
      <c r="C261" s="22" t="s">
        <v>10</v>
      </c>
      <c r="D261" s="23"/>
      <c r="E261" s="24"/>
      <c r="F261" s="25" t="s">
        <v>11</v>
      </c>
      <c r="G261" s="18"/>
    </row>
    <row r="262" spans="1:7">
      <c r="B262" s="4"/>
      <c r="C262" s="26" t="s">
        <v>12</v>
      </c>
      <c r="D262" s="26"/>
      <c r="E262" s="27">
        <v>13761.81686677687</v>
      </c>
      <c r="F262" s="28">
        <v>13761.81686677687</v>
      </c>
      <c r="G262" s="29"/>
    </row>
    <row r="263" spans="1:7">
      <c r="B263" s="30">
        <v>143</v>
      </c>
      <c r="C263" s="31" t="s">
        <v>13</v>
      </c>
      <c r="D263" s="31"/>
      <c r="E263" s="27">
        <v>4578.6174545454505</v>
      </c>
      <c r="F263" s="32">
        <v>4578.6174545454505</v>
      </c>
      <c r="G263" s="33"/>
    </row>
    <row r="264" spans="1:7">
      <c r="B264" s="30"/>
      <c r="C264" s="34" t="s">
        <v>14</v>
      </c>
      <c r="D264" s="34"/>
      <c r="E264" s="27">
        <v>0</v>
      </c>
      <c r="F264" s="32">
        <v>0</v>
      </c>
      <c r="G264" s="33"/>
    </row>
    <row r="265" spans="1:7">
      <c r="B265" s="30"/>
      <c r="C265" s="34" t="s">
        <v>15</v>
      </c>
      <c r="D265" s="34"/>
      <c r="E265" s="27">
        <v>0</v>
      </c>
      <c r="F265" s="32">
        <v>0</v>
      </c>
      <c r="G265" s="33"/>
    </row>
    <row r="266" spans="1:7">
      <c r="B266" s="30"/>
      <c r="C266" s="34" t="s">
        <v>16</v>
      </c>
      <c r="D266" s="34"/>
      <c r="E266" s="27">
        <v>0</v>
      </c>
      <c r="F266" s="32">
        <v>0</v>
      </c>
      <c r="G266" s="33"/>
    </row>
    <row r="267" spans="1:7">
      <c r="B267" s="30"/>
      <c r="C267" s="34" t="s">
        <v>17</v>
      </c>
      <c r="D267" s="34"/>
      <c r="E267" s="27">
        <v>0</v>
      </c>
      <c r="F267" s="32">
        <v>0</v>
      </c>
      <c r="G267" s="33"/>
    </row>
    <row r="268" spans="1:7">
      <c r="B268" s="30"/>
      <c r="C268" s="35" t="s">
        <v>18</v>
      </c>
      <c r="D268" s="35"/>
      <c r="E268" s="36">
        <v>18340.434321322318</v>
      </c>
      <c r="F268" s="37">
        <v>18340.434321322318</v>
      </c>
      <c r="G268" s="38"/>
    </row>
    <row r="269" spans="1:7" ht="15.75" thickBot="1">
      <c r="B269" s="30"/>
      <c r="C269" s="39"/>
      <c r="D269" s="39"/>
      <c r="E269" s="40"/>
      <c r="F269" s="41"/>
      <c r="G269" s="38"/>
    </row>
    <row r="270" spans="1:7" ht="18.75" thickBot="1">
      <c r="B270" s="30"/>
      <c r="C270" s="22" t="s">
        <v>19</v>
      </c>
      <c r="D270" s="23"/>
      <c r="E270" s="42"/>
      <c r="F270" s="43"/>
      <c r="G270" s="38"/>
    </row>
    <row r="271" spans="1:7">
      <c r="B271" s="44">
        <v>121</v>
      </c>
      <c r="C271" s="39" t="s">
        <v>20</v>
      </c>
      <c r="D271" s="39"/>
      <c r="E271" s="45"/>
      <c r="F271" s="46"/>
      <c r="G271" s="47"/>
    </row>
    <row r="272" spans="1:7">
      <c r="B272" s="44"/>
      <c r="C272" s="48" t="s">
        <v>21</v>
      </c>
      <c r="D272" s="48"/>
      <c r="E272" s="49">
        <v>0</v>
      </c>
      <c r="F272" s="50">
        <v>0</v>
      </c>
      <c r="G272" s="47"/>
    </row>
    <row r="273" spans="2:7">
      <c r="B273" s="44"/>
      <c r="C273" s="48" t="s">
        <v>22</v>
      </c>
      <c r="D273" s="48"/>
      <c r="E273" s="49">
        <v>0</v>
      </c>
      <c r="F273" s="50">
        <v>0</v>
      </c>
      <c r="G273" s="47"/>
    </row>
    <row r="274" spans="2:7">
      <c r="B274" s="51"/>
      <c r="C274" s="48" t="s">
        <v>23</v>
      </c>
      <c r="D274" s="48"/>
      <c r="E274" s="49">
        <v>0</v>
      </c>
      <c r="F274" s="50">
        <v>0</v>
      </c>
      <c r="G274" s="52"/>
    </row>
    <row r="275" spans="2:7">
      <c r="B275" s="51"/>
      <c r="C275" s="48" t="s">
        <v>24</v>
      </c>
      <c r="D275" s="48"/>
      <c r="E275" s="49">
        <v>814.0011054545447</v>
      </c>
      <c r="F275" s="50">
        <v>814.0011054545447</v>
      </c>
      <c r="G275" s="52"/>
    </row>
    <row r="276" spans="2:7">
      <c r="B276" s="44"/>
      <c r="C276" s="48" t="s">
        <v>25</v>
      </c>
      <c r="D276" s="48"/>
      <c r="E276" s="49">
        <v>0</v>
      </c>
      <c r="F276" s="50">
        <v>0</v>
      </c>
      <c r="G276" s="52"/>
    </row>
    <row r="277" spans="2:7">
      <c r="B277" s="44"/>
      <c r="C277" s="53" t="s">
        <v>26</v>
      </c>
      <c r="D277" s="53"/>
      <c r="E277" s="36">
        <v>814.0011054545447</v>
      </c>
      <c r="F277" s="54">
        <v>814.0011054545447</v>
      </c>
      <c r="G277" s="52"/>
    </row>
    <row r="278" spans="2:7">
      <c r="B278" s="44">
        <v>122</v>
      </c>
      <c r="C278" s="39" t="s">
        <v>27</v>
      </c>
      <c r="D278" s="39"/>
      <c r="E278" s="36"/>
      <c r="F278" s="50"/>
      <c r="G278" s="55"/>
    </row>
    <row r="279" spans="2:7">
      <c r="B279" s="44"/>
      <c r="C279" s="48" t="s">
        <v>28</v>
      </c>
      <c r="D279" s="48"/>
      <c r="E279" s="49">
        <v>0</v>
      </c>
      <c r="F279" s="50">
        <v>0</v>
      </c>
      <c r="G279" s="52"/>
    </row>
    <row r="280" spans="2:7">
      <c r="B280" s="44"/>
      <c r="C280" s="48" t="s">
        <v>29</v>
      </c>
      <c r="D280" s="48"/>
      <c r="E280" s="49">
        <v>0</v>
      </c>
      <c r="F280" s="50">
        <v>0</v>
      </c>
      <c r="G280" s="52"/>
    </row>
    <row r="281" spans="2:7">
      <c r="B281" s="44"/>
      <c r="C281" s="48" t="s">
        <v>30</v>
      </c>
      <c r="D281" s="48"/>
      <c r="E281" s="49">
        <v>0</v>
      </c>
      <c r="F281" s="50">
        <v>0</v>
      </c>
      <c r="G281" s="52"/>
    </row>
    <row r="282" spans="2:7">
      <c r="B282" s="44"/>
      <c r="C282" s="48" t="s">
        <v>31</v>
      </c>
      <c r="D282" s="48"/>
      <c r="E282" s="49">
        <v>0</v>
      </c>
      <c r="F282" s="50">
        <v>0</v>
      </c>
      <c r="G282" s="52"/>
    </row>
    <row r="283" spans="2:7">
      <c r="B283" s="44"/>
      <c r="C283" s="48" t="s">
        <v>32</v>
      </c>
      <c r="D283" s="48"/>
      <c r="E283" s="49">
        <v>271.33370181818157</v>
      </c>
      <c r="F283" s="50">
        <v>271.33370181818157</v>
      </c>
      <c r="G283" s="52"/>
    </row>
    <row r="284" spans="2:7">
      <c r="B284" s="44"/>
      <c r="C284" s="48" t="s">
        <v>33</v>
      </c>
      <c r="D284" s="48"/>
      <c r="E284" s="49">
        <v>0</v>
      </c>
      <c r="F284" s="50">
        <v>0</v>
      </c>
      <c r="G284" s="52"/>
    </row>
    <row r="285" spans="2:7">
      <c r="B285" s="44"/>
      <c r="C285" s="48" t="s">
        <v>34</v>
      </c>
      <c r="D285" s="48"/>
      <c r="E285" s="49">
        <v>0</v>
      </c>
      <c r="F285" s="50">
        <v>0</v>
      </c>
      <c r="G285" s="52"/>
    </row>
    <row r="286" spans="2:7">
      <c r="B286" s="44"/>
      <c r="C286" s="48" t="s">
        <v>35</v>
      </c>
      <c r="D286" s="48"/>
      <c r="E286" s="49">
        <v>0</v>
      </c>
      <c r="F286" s="50">
        <v>0</v>
      </c>
      <c r="G286" s="52"/>
    </row>
    <row r="287" spans="2:7">
      <c r="B287" s="44"/>
      <c r="C287" s="53" t="s">
        <v>26</v>
      </c>
      <c r="D287" s="53"/>
      <c r="E287" s="36">
        <v>271.33370181818157</v>
      </c>
      <c r="F287" s="54">
        <v>271.33370181818157</v>
      </c>
      <c r="G287" s="52"/>
    </row>
    <row r="288" spans="2:7">
      <c r="B288" s="44">
        <v>123</v>
      </c>
      <c r="C288" s="39" t="s">
        <v>36</v>
      </c>
      <c r="D288" s="39"/>
      <c r="E288" s="56"/>
      <c r="F288" s="57"/>
      <c r="G288" s="52"/>
    </row>
    <row r="289" spans="2:7">
      <c r="B289" s="44"/>
      <c r="C289" s="48" t="s">
        <v>37</v>
      </c>
      <c r="D289" s="48"/>
      <c r="E289" s="49">
        <v>222.00030148760285</v>
      </c>
      <c r="F289" s="50">
        <v>222.00030148760285</v>
      </c>
      <c r="G289" s="52"/>
    </row>
    <row r="290" spans="2:7">
      <c r="B290" s="44"/>
      <c r="C290" s="48" t="s">
        <v>38</v>
      </c>
      <c r="D290" s="48"/>
      <c r="E290" s="49">
        <v>1825.3358122314014</v>
      </c>
      <c r="F290" s="50">
        <v>1825.3358122314014</v>
      </c>
      <c r="G290" s="52"/>
    </row>
    <row r="291" spans="2:7">
      <c r="B291" s="44"/>
      <c r="C291" s="48" t="s">
        <v>39</v>
      </c>
      <c r="D291" s="48"/>
      <c r="E291" s="49">
        <v>222.00030148760285</v>
      </c>
      <c r="F291" s="50">
        <v>222.00030148760285</v>
      </c>
      <c r="G291" s="52"/>
    </row>
    <row r="292" spans="2:7">
      <c r="B292" s="44"/>
      <c r="C292" s="48" t="s">
        <v>40</v>
      </c>
      <c r="D292" s="48"/>
      <c r="E292" s="49">
        <v>0</v>
      </c>
      <c r="F292" s="50">
        <v>0</v>
      </c>
      <c r="G292" s="52"/>
    </row>
    <row r="293" spans="2:7">
      <c r="B293" s="44"/>
      <c r="C293" s="48" t="s">
        <v>41</v>
      </c>
      <c r="D293" s="48"/>
      <c r="E293" s="49">
        <v>0</v>
      </c>
      <c r="F293" s="50">
        <v>0</v>
      </c>
      <c r="G293" s="52"/>
    </row>
    <row r="294" spans="2:7">
      <c r="B294" s="44"/>
      <c r="C294" s="48" t="s">
        <v>42</v>
      </c>
      <c r="D294" s="48"/>
      <c r="E294" s="49">
        <v>444.00060297520571</v>
      </c>
      <c r="F294" s="50">
        <v>444.00060297520571</v>
      </c>
      <c r="G294" s="52"/>
    </row>
    <row r="295" spans="2:7">
      <c r="B295" s="44"/>
      <c r="C295" s="53" t="s">
        <v>26</v>
      </c>
      <c r="D295" s="53"/>
      <c r="E295" s="36">
        <v>2713.3370181818127</v>
      </c>
      <c r="F295" s="54">
        <v>2713.3370181818127</v>
      </c>
      <c r="G295" s="52"/>
    </row>
    <row r="296" spans="2:7">
      <c r="B296" s="44">
        <v>124</v>
      </c>
      <c r="C296" s="39" t="s">
        <v>43</v>
      </c>
      <c r="D296" s="39"/>
      <c r="E296" s="56"/>
      <c r="F296" s="57"/>
      <c r="G296" s="52"/>
    </row>
    <row r="297" spans="2:7">
      <c r="B297" s="44"/>
      <c r="C297" s="48" t="s">
        <v>44</v>
      </c>
      <c r="D297" s="48"/>
      <c r="E297" s="49">
        <v>0</v>
      </c>
      <c r="F297" s="50">
        <v>0</v>
      </c>
      <c r="G297" s="52"/>
    </row>
    <row r="298" spans="2:7">
      <c r="B298" s="44"/>
      <c r="C298" s="48" t="s">
        <v>45</v>
      </c>
      <c r="D298" s="48"/>
      <c r="E298" s="49">
        <v>2102.8361890909068</v>
      </c>
      <c r="F298" s="50">
        <v>2102.8361890909068</v>
      </c>
      <c r="G298" s="52"/>
    </row>
    <row r="299" spans="2:7">
      <c r="B299" s="44"/>
      <c r="C299" s="48" t="s">
        <v>46</v>
      </c>
      <c r="D299" s="48"/>
      <c r="E299" s="49">
        <v>0</v>
      </c>
      <c r="F299" s="50">
        <v>0</v>
      </c>
      <c r="G299" s="52"/>
    </row>
    <row r="300" spans="2:7">
      <c r="B300" s="44"/>
      <c r="C300" s="53" t="s">
        <v>26</v>
      </c>
      <c r="D300" s="53"/>
      <c r="E300" s="36">
        <v>2102.8361890909068</v>
      </c>
      <c r="F300" s="54">
        <v>2102.8361890909068</v>
      </c>
      <c r="G300" s="52"/>
    </row>
    <row r="301" spans="2:7">
      <c r="B301" s="44">
        <v>125</v>
      </c>
      <c r="C301" s="39" t="s">
        <v>47</v>
      </c>
      <c r="D301" s="39"/>
      <c r="E301" s="36"/>
      <c r="F301" s="50"/>
      <c r="G301" s="52"/>
    </row>
    <row r="302" spans="2:7">
      <c r="B302" s="44"/>
      <c r="C302" s="48" t="s">
        <v>48</v>
      </c>
      <c r="D302" s="48"/>
      <c r="E302" s="58">
        <v>0</v>
      </c>
      <c r="F302" s="50">
        <v>0</v>
      </c>
      <c r="G302" s="52"/>
    </row>
    <row r="303" spans="2:7">
      <c r="B303" s="44"/>
      <c r="C303" s="48" t="s">
        <v>49</v>
      </c>
      <c r="D303" s="48"/>
      <c r="E303" s="58">
        <v>0</v>
      </c>
      <c r="F303" s="50">
        <v>0</v>
      </c>
      <c r="G303" s="52"/>
    </row>
    <row r="304" spans="2:7">
      <c r="B304" s="44"/>
      <c r="C304" s="48" t="s">
        <v>50</v>
      </c>
      <c r="D304" s="48"/>
      <c r="E304" s="58">
        <v>881.83453090909018</v>
      </c>
      <c r="F304" s="50">
        <v>881.83453090909018</v>
      </c>
      <c r="G304" s="52"/>
    </row>
    <row r="305" spans="2:7">
      <c r="B305" s="44"/>
      <c r="C305" s="48" t="s">
        <v>51</v>
      </c>
      <c r="D305" s="48"/>
      <c r="E305" s="58">
        <v>0</v>
      </c>
      <c r="F305" s="50">
        <v>0</v>
      </c>
      <c r="G305" s="52"/>
    </row>
    <row r="306" spans="2:7">
      <c r="B306" s="44"/>
      <c r="C306" s="53" t="s">
        <v>26</v>
      </c>
      <c r="D306" s="53"/>
      <c r="E306" s="56">
        <v>881.83453090909018</v>
      </c>
      <c r="F306" s="54">
        <v>881.83453090909018</v>
      </c>
      <c r="G306" s="52"/>
    </row>
    <row r="307" spans="2:7">
      <c r="B307" s="44">
        <v>126</v>
      </c>
      <c r="C307" s="39" t="s">
        <v>52</v>
      </c>
      <c r="D307" s="39"/>
      <c r="E307" s="56"/>
      <c r="F307" s="50"/>
      <c r="G307" s="52"/>
    </row>
    <row r="308" spans="2:7">
      <c r="B308" s="44"/>
      <c r="C308" s="48" t="s">
        <v>53</v>
      </c>
      <c r="D308" s="48"/>
      <c r="E308" s="49">
        <v>0</v>
      </c>
      <c r="F308" s="50">
        <v>0</v>
      </c>
      <c r="G308" s="52"/>
    </row>
    <row r="309" spans="2:7">
      <c r="B309" s="44"/>
      <c r="C309" s="48" t="s">
        <v>54</v>
      </c>
      <c r="D309" s="48"/>
      <c r="E309" s="49">
        <v>0</v>
      </c>
      <c r="F309" s="50"/>
      <c r="G309" s="52"/>
    </row>
    <row r="310" spans="2:7">
      <c r="B310" s="44"/>
      <c r="C310" s="48" t="s">
        <v>55</v>
      </c>
      <c r="D310" s="48"/>
      <c r="E310" s="49">
        <v>0</v>
      </c>
      <c r="F310" s="50"/>
      <c r="G310" s="52"/>
    </row>
    <row r="311" spans="2:7">
      <c r="B311" s="44"/>
      <c r="C311" s="48" t="s">
        <v>56</v>
      </c>
      <c r="D311" s="48"/>
      <c r="E311" s="49">
        <v>0</v>
      </c>
      <c r="F311" s="57"/>
      <c r="G311" s="52"/>
    </row>
    <row r="312" spans="2:7">
      <c r="B312" s="44"/>
      <c r="C312" s="53" t="s">
        <v>26</v>
      </c>
      <c r="D312" s="53"/>
      <c r="E312" s="56">
        <v>0</v>
      </c>
      <c r="F312" s="54">
        <v>0</v>
      </c>
      <c r="G312" s="52"/>
    </row>
    <row r="313" spans="2:7">
      <c r="B313" s="44">
        <v>127</v>
      </c>
      <c r="C313" s="39" t="s">
        <v>57</v>
      </c>
      <c r="D313" s="39"/>
      <c r="E313" s="56"/>
      <c r="F313" s="54"/>
      <c r="G313" s="52"/>
    </row>
    <row r="314" spans="2:7">
      <c r="B314" s="44"/>
      <c r="C314" s="48" t="s">
        <v>58</v>
      </c>
      <c r="D314" s="48"/>
      <c r="E314" s="49">
        <v>0</v>
      </c>
      <c r="F314" s="50">
        <v>0</v>
      </c>
      <c r="G314" s="52"/>
    </row>
    <row r="315" spans="2:7">
      <c r="B315" s="44"/>
      <c r="C315" s="48" t="s">
        <v>59</v>
      </c>
      <c r="D315" s="48"/>
      <c r="E315" s="49">
        <v>0</v>
      </c>
      <c r="F315" s="50">
        <v>0</v>
      </c>
      <c r="G315" s="52"/>
    </row>
    <row r="316" spans="2:7">
      <c r="B316" s="44"/>
      <c r="C316" s="48" t="s">
        <v>60</v>
      </c>
      <c r="D316" s="48"/>
      <c r="E316" s="49">
        <v>0</v>
      </c>
      <c r="F316" s="50">
        <v>0</v>
      </c>
      <c r="G316" s="52"/>
    </row>
    <row r="317" spans="2:7">
      <c r="B317" s="44"/>
      <c r="C317" s="59" t="s">
        <v>61</v>
      </c>
      <c r="D317" s="59"/>
      <c r="E317" s="49">
        <v>0</v>
      </c>
      <c r="F317" s="50">
        <v>0</v>
      </c>
      <c r="G317" s="52"/>
    </row>
    <row r="318" spans="2:7">
      <c r="B318" s="44"/>
      <c r="C318" s="53" t="s">
        <v>26</v>
      </c>
      <c r="D318" s="53"/>
      <c r="E318" s="56">
        <v>0</v>
      </c>
      <c r="F318" s="54">
        <v>0</v>
      </c>
      <c r="G318" s="52"/>
    </row>
    <row r="319" spans="2:7">
      <c r="B319" s="44">
        <v>128</v>
      </c>
      <c r="C319" s="39" t="s">
        <v>62</v>
      </c>
      <c r="D319" s="39"/>
      <c r="E319" s="56"/>
      <c r="F319" s="54"/>
      <c r="G319" s="52"/>
    </row>
    <row r="320" spans="2:7">
      <c r="B320" s="44"/>
      <c r="C320" s="48" t="s">
        <v>63</v>
      </c>
      <c r="D320" s="48"/>
      <c r="E320" s="49">
        <v>0</v>
      </c>
      <c r="F320" s="50">
        <v>0</v>
      </c>
      <c r="G320" s="52"/>
    </row>
    <row r="321" spans="2:7">
      <c r="B321" s="44"/>
      <c r="C321" s="48" t="s">
        <v>64</v>
      </c>
      <c r="D321" s="48"/>
      <c r="E321" s="49">
        <v>0</v>
      </c>
      <c r="F321" s="50">
        <v>0</v>
      </c>
      <c r="G321" s="52"/>
    </row>
    <row r="322" spans="2:7">
      <c r="B322" s="44"/>
      <c r="C322" s="48" t="s">
        <v>65</v>
      </c>
      <c r="D322" s="48"/>
      <c r="E322" s="49">
        <v>0</v>
      </c>
      <c r="F322" s="50">
        <v>0</v>
      </c>
      <c r="G322" s="52"/>
    </row>
    <row r="323" spans="2:7">
      <c r="B323" s="44"/>
      <c r="C323" s="48" t="s">
        <v>66</v>
      </c>
      <c r="D323" s="48"/>
      <c r="E323" s="49">
        <v>0</v>
      </c>
      <c r="F323" s="50">
        <v>0</v>
      </c>
      <c r="G323" s="52"/>
    </row>
    <row r="324" spans="2:7">
      <c r="B324" s="44"/>
      <c r="C324" s="48" t="s">
        <v>67</v>
      </c>
      <c r="D324" s="48"/>
      <c r="E324" s="49">
        <v>0</v>
      </c>
      <c r="F324" s="50">
        <v>0</v>
      </c>
      <c r="G324" s="52"/>
    </row>
    <row r="325" spans="2:7">
      <c r="B325" s="44"/>
      <c r="C325" s="53" t="s">
        <v>26</v>
      </c>
      <c r="D325" s="53"/>
      <c r="E325" s="56">
        <v>0</v>
      </c>
      <c r="F325" s="54">
        <v>0</v>
      </c>
      <c r="G325" s="52"/>
    </row>
    <row r="326" spans="2:7">
      <c r="B326" s="44">
        <v>135</v>
      </c>
      <c r="C326" s="39" t="s">
        <v>68</v>
      </c>
      <c r="D326" s="39"/>
      <c r="E326" s="56"/>
      <c r="F326" s="50"/>
      <c r="G326" s="52"/>
    </row>
    <row r="327" spans="2:7">
      <c r="B327" s="44"/>
      <c r="C327" s="48" t="s">
        <v>69</v>
      </c>
      <c r="D327" s="48"/>
      <c r="E327" s="49">
        <v>0</v>
      </c>
      <c r="F327" s="50">
        <v>0</v>
      </c>
      <c r="G327" s="52"/>
    </row>
    <row r="328" spans="2:7">
      <c r="B328" s="44"/>
      <c r="C328" s="48" t="s">
        <v>70</v>
      </c>
      <c r="D328" s="48"/>
      <c r="E328" s="49">
        <v>0</v>
      </c>
      <c r="F328" s="50">
        <v>0</v>
      </c>
      <c r="G328" s="52"/>
    </row>
    <row r="329" spans="2:7">
      <c r="B329" s="44"/>
      <c r="C329" s="48" t="s">
        <v>71</v>
      </c>
      <c r="D329" s="48"/>
      <c r="E329" s="49">
        <v>0</v>
      </c>
      <c r="F329" s="50">
        <v>0</v>
      </c>
      <c r="G329" s="52"/>
    </row>
    <row r="330" spans="2:7">
      <c r="B330" s="44"/>
      <c r="C330" s="48" t="s">
        <v>72</v>
      </c>
      <c r="D330" s="48"/>
      <c r="E330" s="49">
        <v>0</v>
      </c>
      <c r="F330" s="50">
        <v>0</v>
      </c>
      <c r="G330" s="52"/>
    </row>
    <row r="331" spans="2:7">
      <c r="B331" s="44"/>
      <c r="C331" s="48" t="s">
        <v>73</v>
      </c>
      <c r="D331" s="48"/>
      <c r="E331" s="49">
        <v>0</v>
      </c>
      <c r="F331" s="50">
        <v>0</v>
      </c>
      <c r="G331" s="52"/>
    </row>
    <row r="332" spans="2:7">
      <c r="B332" s="44"/>
      <c r="C332" s="48" t="s">
        <v>74</v>
      </c>
      <c r="D332" s="48"/>
      <c r="E332" s="49">
        <v>0</v>
      </c>
      <c r="F332" s="50">
        <v>0</v>
      </c>
      <c r="G332" s="52"/>
    </row>
    <row r="333" spans="2:7">
      <c r="B333" s="44"/>
      <c r="C333" s="48" t="s">
        <v>75</v>
      </c>
      <c r="D333" s="48"/>
      <c r="E333" s="49">
        <v>0</v>
      </c>
      <c r="F333" s="50">
        <v>0</v>
      </c>
      <c r="G333" s="52"/>
    </row>
    <row r="334" spans="2:7">
      <c r="B334" s="44"/>
      <c r="C334" s="48" t="s">
        <v>76</v>
      </c>
      <c r="D334" s="48"/>
      <c r="E334" s="49">
        <v>0</v>
      </c>
      <c r="F334" s="50">
        <v>0</v>
      </c>
      <c r="G334" s="52"/>
    </row>
    <row r="335" spans="2:7">
      <c r="B335" s="44"/>
      <c r="C335" s="48" t="s">
        <v>77</v>
      </c>
      <c r="D335" s="48"/>
      <c r="E335" s="49">
        <v>0</v>
      </c>
      <c r="F335" s="50">
        <v>0</v>
      </c>
      <c r="G335" s="52"/>
    </row>
    <row r="336" spans="2:7">
      <c r="B336" s="44"/>
      <c r="C336" s="53" t="s">
        <v>26</v>
      </c>
      <c r="D336" s="53"/>
      <c r="E336" s="56">
        <v>0</v>
      </c>
      <c r="F336" s="54">
        <v>0</v>
      </c>
      <c r="G336" s="52"/>
    </row>
    <row r="337" spans="2:7">
      <c r="B337" s="44">
        <v>136</v>
      </c>
      <c r="C337" s="39" t="s">
        <v>78</v>
      </c>
      <c r="D337" s="39"/>
      <c r="E337" s="56"/>
      <c r="F337" s="50"/>
      <c r="G337" s="52"/>
    </row>
    <row r="338" spans="2:7">
      <c r="B338" s="44"/>
      <c r="C338" s="48" t="s">
        <v>79</v>
      </c>
      <c r="D338" s="48"/>
      <c r="E338" s="49">
        <v>0</v>
      </c>
      <c r="F338" s="50">
        <v>0</v>
      </c>
      <c r="G338" s="52"/>
    </row>
    <row r="339" spans="2:7">
      <c r="B339" s="44"/>
      <c r="C339" s="48" t="s">
        <v>80</v>
      </c>
      <c r="D339" s="48"/>
      <c r="E339" s="49">
        <v>0</v>
      </c>
      <c r="F339" s="50">
        <v>0</v>
      </c>
      <c r="G339" s="52"/>
    </row>
    <row r="340" spans="2:7">
      <c r="B340" s="44"/>
      <c r="C340" s="48" t="s">
        <v>81</v>
      </c>
      <c r="D340" s="48"/>
      <c r="E340" s="49">
        <v>0</v>
      </c>
      <c r="F340" s="50">
        <v>0</v>
      </c>
      <c r="G340" s="52"/>
    </row>
    <row r="341" spans="2:7">
      <c r="B341" s="44"/>
      <c r="C341" s="48" t="s">
        <v>82</v>
      </c>
      <c r="D341" s="48"/>
      <c r="E341" s="49">
        <v>0</v>
      </c>
      <c r="F341" s="50">
        <v>0</v>
      </c>
      <c r="G341" s="52"/>
    </row>
    <row r="342" spans="2:7">
      <c r="B342" s="44"/>
      <c r="C342" s="48" t="s">
        <v>83</v>
      </c>
      <c r="D342" s="48"/>
      <c r="E342" s="49">
        <v>0</v>
      </c>
      <c r="F342" s="50">
        <v>0</v>
      </c>
      <c r="G342" s="52"/>
    </row>
    <row r="343" spans="2:7">
      <c r="B343" s="44"/>
      <c r="C343" s="48" t="s">
        <v>84</v>
      </c>
      <c r="D343" s="48"/>
      <c r="E343" s="49">
        <v>0</v>
      </c>
      <c r="F343" s="50">
        <v>0</v>
      </c>
      <c r="G343" s="52"/>
    </row>
    <row r="344" spans="2:7">
      <c r="B344" s="44"/>
      <c r="C344" s="53" t="s">
        <v>26</v>
      </c>
      <c r="D344" s="53"/>
      <c r="E344" s="56">
        <v>0</v>
      </c>
      <c r="F344" s="54">
        <v>0</v>
      </c>
      <c r="G344" s="52"/>
    </row>
    <row r="345" spans="2:7">
      <c r="B345" s="44">
        <v>142</v>
      </c>
      <c r="C345" s="39" t="s">
        <v>85</v>
      </c>
      <c r="D345" s="39"/>
      <c r="E345" s="56"/>
      <c r="F345" s="50"/>
      <c r="G345" s="52"/>
    </row>
    <row r="346" spans="2:7">
      <c r="B346" s="44"/>
      <c r="C346" s="48" t="s">
        <v>86</v>
      </c>
      <c r="D346" s="48"/>
      <c r="E346" s="49">
        <v>0</v>
      </c>
      <c r="F346" s="50">
        <v>0</v>
      </c>
      <c r="G346" s="52"/>
    </row>
    <row r="347" spans="2:7">
      <c r="B347" s="44"/>
      <c r="C347" s="48" t="s">
        <v>87</v>
      </c>
      <c r="D347" s="48"/>
      <c r="E347" s="49">
        <v>0</v>
      </c>
      <c r="F347" s="50">
        <v>0</v>
      </c>
      <c r="G347" s="52"/>
    </row>
    <row r="348" spans="2:7">
      <c r="B348" s="44"/>
      <c r="C348" s="53" t="s">
        <v>26</v>
      </c>
      <c r="D348" s="53"/>
      <c r="E348" s="56">
        <v>0</v>
      </c>
      <c r="F348" s="54">
        <v>0</v>
      </c>
      <c r="G348" s="52"/>
    </row>
    <row r="349" spans="2:7">
      <c r="B349" s="44">
        <v>144</v>
      </c>
      <c r="C349" s="39" t="s">
        <v>88</v>
      </c>
      <c r="D349" s="39"/>
      <c r="E349" s="49">
        <v>0</v>
      </c>
      <c r="F349" s="54">
        <v>0</v>
      </c>
      <c r="G349" s="52"/>
    </row>
    <row r="350" spans="2:7">
      <c r="B350" s="44">
        <v>221</v>
      </c>
      <c r="C350" s="39" t="s">
        <v>89</v>
      </c>
      <c r="D350" s="39"/>
      <c r="E350" s="49">
        <v>0</v>
      </c>
      <c r="F350" s="54">
        <v>0</v>
      </c>
      <c r="G350" s="52"/>
    </row>
    <row r="351" spans="2:7">
      <c r="B351" s="44">
        <v>222</v>
      </c>
      <c r="C351" s="39" t="s">
        <v>90</v>
      </c>
      <c r="D351" s="39"/>
      <c r="E351" s="49">
        <v>0</v>
      </c>
      <c r="F351" s="54">
        <v>0</v>
      </c>
      <c r="G351" s="52"/>
    </row>
    <row r="352" spans="2:7">
      <c r="B352" s="44">
        <v>224</v>
      </c>
      <c r="C352" s="39" t="s">
        <v>91</v>
      </c>
      <c r="D352" s="39"/>
      <c r="E352" s="49">
        <v>0</v>
      </c>
      <c r="F352" s="54">
        <v>0</v>
      </c>
      <c r="G352" s="52"/>
    </row>
    <row r="353" spans="2:7">
      <c r="B353" s="44">
        <v>225</v>
      </c>
      <c r="C353" s="39" t="s">
        <v>92</v>
      </c>
      <c r="D353" s="39"/>
      <c r="E353" s="49">
        <v>0</v>
      </c>
      <c r="F353" s="54">
        <v>0</v>
      </c>
      <c r="G353" s="38"/>
    </row>
    <row r="354" spans="2:7">
      <c r="B354" s="44">
        <v>226</v>
      </c>
      <c r="C354" s="39" t="s">
        <v>93</v>
      </c>
      <c r="D354" s="39"/>
      <c r="E354" s="49">
        <v>0</v>
      </c>
      <c r="F354" s="54">
        <v>0</v>
      </c>
      <c r="G354" s="60"/>
    </row>
    <row r="355" spans="2:7" ht="15.75" thickBot="1">
      <c r="B355" s="61"/>
      <c r="C355" s="62" t="s">
        <v>94</v>
      </c>
      <c r="D355" s="62"/>
      <c r="E355" s="94">
        <v>0</v>
      </c>
      <c r="F355" s="63">
        <v>0</v>
      </c>
      <c r="G355" s="38"/>
    </row>
    <row r="356" spans="2:7">
      <c r="B356" s="64"/>
      <c r="C356" s="65" t="s">
        <v>95</v>
      </c>
      <c r="D356" s="66"/>
      <c r="E356" s="67">
        <v>6783.3425454545359</v>
      </c>
      <c r="F356" s="68">
        <v>6783.3425454545359</v>
      </c>
      <c r="G356" s="69"/>
    </row>
    <row r="357" spans="2:7" ht="15.75" thickBot="1">
      <c r="B357" s="64"/>
      <c r="C357" s="70"/>
      <c r="D357" s="71"/>
      <c r="E357" s="72"/>
      <c r="F357" s="73"/>
      <c r="G357" s="69"/>
    </row>
    <row r="358" spans="2:7" ht="15.75" thickBot="1">
      <c r="B358" s="64"/>
      <c r="C358" s="70" t="s">
        <v>96</v>
      </c>
      <c r="D358" s="71"/>
      <c r="E358" s="74">
        <v>11557.091775867782</v>
      </c>
      <c r="F358" s="75">
        <v>11557.091775867782</v>
      </c>
      <c r="G358" s="76"/>
    </row>
    <row r="359" spans="2:7" ht="8.25" customHeight="1" thickBot="1">
      <c r="B359" s="77"/>
      <c r="C359" s="81"/>
      <c r="D359" s="81"/>
      <c r="E359" s="78"/>
      <c r="F359" s="78"/>
      <c r="G359" s="79"/>
    </row>
    <row r="360" spans="2:7">
      <c r="B360" s="85"/>
      <c r="C360" s="84"/>
      <c r="D360" s="84"/>
      <c r="E360" s="85"/>
      <c r="F360" s="85"/>
      <c r="G360" s="85"/>
    </row>
  </sheetData>
  <mergeCells count="3">
    <mergeCell ref="C8:E8"/>
    <mergeCell ref="C128:E128"/>
    <mergeCell ref="C248:E248"/>
  </mergeCells>
  <dataValidations count="1">
    <dataValidation type="list" allowBlank="1" showInputMessage="1" showErrorMessage="1" sqref="C136 C16 C256" xr:uid="{59D1D3C5-99C9-4A89-A6F0-F32AF90470E9}">
      <formula1>FacList</formula1>
    </dataValidation>
  </dataValidations>
  <hyperlinks>
    <hyperlink ref="F12" r:id="rId1" xr:uid="{BF1B2943-CBB8-476D-BF38-DBE0D62C4D05}"/>
    <hyperlink ref="F132" r:id="rId2" xr:uid="{C25FFBBD-C5B7-4920-8A90-98A8F45DC151}"/>
    <hyperlink ref="F252" r:id="rId3" xr:uid="{3E0D21D4-6BFD-4906-A7BE-711B9C025FED}"/>
  </hyperlinks>
  <pageMargins left="0.7" right="0.7" top="0.75" bottom="0.75" header="0.3" footer="0.3"/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1EE26-8C87-40E4-8A27-20CD8F4CF9D7}">
  <dimension ref="A1:G360"/>
  <sheetViews>
    <sheetView zoomScale="90" zoomScaleNormal="90" workbookViewId="0">
      <selection sqref="A1:XFD1048576"/>
    </sheetView>
  </sheetViews>
  <sheetFormatPr defaultColWidth="8.85546875" defaultRowHeight="15"/>
  <cols>
    <col min="1" max="1" width="1.140625" customWidth="1"/>
    <col min="2" max="2" width="27.42578125" customWidth="1"/>
    <col min="3" max="3" width="42.7109375" bestFit="1" customWidth="1"/>
    <col min="4" max="4" width="4" customWidth="1"/>
    <col min="5" max="5" width="25.42578125" customWidth="1"/>
    <col min="6" max="6" width="27.42578125" customWidth="1"/>
    <col min="7" max="7" width="4.7109375" customWidth="1"/>
  </cols>
  <sheetData>
    <row r="1" spans="1:7" ht="6" customHeight="1" thickBot="1"/>
    <row r="2" spans="1:7">
      <c r="B2" s="1"/>
      <c r="C2" s="2"/>
      <c r="D2" s="2"/>
      <c r="E2" s="2"/>
      <c r="F2" s="2"/>
      <c r="G2" s="3"/>
    </row>
    <row r="3" spans="1:7">
      <c r="B3" s="4"/>
      <c r="C3" s="5"/>
      <c r="D3" s="5"/>
      <c r="E3" s="5"/>
      <c r="F3" s="5"/>
      <c r="G3" s="6"/>
    </row>
    <row r="4" spans="1:7">
      <c r="B4" s="4"/>
      <c r="C4" s="5"/>
      <c r="D4" s="5"/>
      <c r="E4" s="5"/>
      <c r="F4" s="5"/>
      <c r="G4" s="6"/>
    </row>
    <row r="5" spans="1:7">
      <c r="B5" s="4"/>
      <c r="C5" s="5"/>
      <c r="D5" s="5"/>
      <c r="E5" s="5"/>
      <c r="F5" s="5"/>
      <c r="G5" s="6"/>
    </row>
    <row r="6" spans="1:7">
      <c r="B6" s="4"/>
      <c r="C6" s="5"/>
      <c r="D6" s="5"/>
      <c r="E6" s="5"/>
      <c r="F6" s="5"/>
      <c r="G6" s="6"/>
    </row>
    <row r="7" spans="1:7" ht="16.5" customHeight="1">
      <c r="B7" s="4"/>
      <c r="C7" s="5"/>
      <c r="D7" s="5"/>
      <c r="E7" s="5"/>
      <c r="F7" s="5"/>
      <c r="G7" s="6"/>
    </row>
    <row r="8" spans="1:7" ht="22.5" customHeight="1" thickBot="1">
      <c r="B8" s="4"/>
      <c r="C8" s="95" t="s">
        <v>0</v>
      </c>
      <c r="D8" s="95"/>
      <c r="E8" s="95"/>
      <c r="F8" s="5"/>
      <c r="G8" s="6"/>
    </row>
    <row r="9" spans="1:7" ht="21" thickTop="1">
      <c r="B9" s="4"/>
      <c r="C9" s="7"/>
      <c r="D9" s="7"/>
      <c r="E9" s="5"/>
      <c r="F9" s="5"/>
      <c r="G9" s="6"/>
    </row>
    <row r="10" spans="1:7">
      <c r="B10" s="8" t="s">
        <v>1</v>
      </c>
      <c r="C10" s="9" t="s">
        <v>97</v>
      </c>
      <c r="D10" s="5"/>
      <c r="E10" s="10" t="s">
        <v>2</v>
      </c>
      <c r="F10" s="9" t="s">
        <v>98</v>
      </c>
      <c r="G10" s="6"/>
    </row>
    <row r="11" spans="1:7" ht="3.75" customHeight="1">
      <c r="A11" s="80"/>
      <c r="B11" s="5"/>
      <c r="C11" s="5"/>
      <c r="D11" s="5"/>
      <c r="E11" s="11"/>
      <c r="F11" s="5"/>
      <c r="G11" s="6"/>
    </row>
    <row r="12" spans="1:7">
      <c r="A12" s="80"/>
      <c r="B12" s="12" t="s">
        <v>3</v>
      </c>
      <c r="C12" s="9" t="s">
        <v>99</v>
      </c>
      <c r="D12" s="5"/>
      <c r="E12" s="10" t="s">
        <v>4</v>
      </c>
      <c r="F12" s="82" t="s">
        <v>100</v>
      </c>
      <c r="G12" s="6"/>
    </row>
    <row r="13" spans="1:7" ht="3.75" customHeight="1">
      <c r="A13" s="80"/>
      <c r="B13" s="5"/>
      <c r="C13" s="5"/>
      <c r="D13" s="5"/>
      <c r="E13" s="11"/>
      <c r="F13" s="5"/>
      <c r="G13" s="6"/>
    </row>
    <row r="14" spans="1:7">
      <c r="A14" s="80"/>
      <c r="B14" s="10" t="s">
        <v>5</v>
      </c>
      <c r="C14" s="9" t="s">
        <v>101</v>
      </c>
      <c r="D14" s="5"/>
      <c r="E14" s="10" t="s">
        <v>6</v>
      </c>
      <c r="F14" s="9" t="s">
        <v>107</v>
      </c>
      <c r="G14" s="6"/>
    </row>
    <row r="15" spans="1:7" ht="4.5" customHeight="1">
      <c r="A15" s="80"/>
      <c r="B15" s="13"/>
      <c r="C15" s="5"/>
      <c r="D15" s="5"/>
      <c r="E15" s="11"/>
      <c r="F15" s="5"/>
      <c r="G15" s="6"/>
    </row>
    <row r="16" spans="1:7">
      <c r="A16" s="80"/>
      <c r="B16" s="10" t="s">
        <v>7</v>
      </c>
      <c r="C16" s="9" t="s">
        <v>122</v>
      </c>
      <c r="D16" s="5"/>
      <c r="E16" s="11"/>
      <c r="F16" s="5"/>
      <c r="G16" s="6"/>
    </row>
    <row r="17" spans="1:7" ht="3.75" customHeight="1">
      <c r="A17" s="80"/>
      <c r="B17" s="5"/>
      <c r="C17" s="5"/>
      <c r="D17" s="5"/>
      <c r="E17" s="11"/>
      <c r="F17" s="5"/>
      <c r="G17" s="6"/>
    </row>
    <row r="18" spans="1:7">
      <c r="B18" s="14" t="s">
        <v>8</v>
      </c>
      <c r="C18" s="15" t="s">
        <v>103</v>
      </c>
      <c r="D18" s="5"/>
      <c r="E18" s="86" t="s">
        <v>109</v>
      </c>
      <c r="F18" s="87">
        <v>45292</v>
      </c>
      <c r="G18" s="6"/>
    </row>
    <row r="19" spans="1:7">
      <c r="B19" s="16" t="s">
        <v>9</v>
      </c>
      <c r="C19" s="17" t="s">
        <v>130</v>
      </c>
      <c r="D19" s="5"/>
      <c r="E19" s="88" t="s">
        <v>110</v>
      </c>
      <c r="F19" s="89">
        <v>45322</v>
      </c>
      <c r="G19" s="18"/>
    </row>
    <row r="20" spans="1:7" ht="15.75" thickBot="1">
      <c r="B20" s="4"/>
      <c r="C20" s="19"/>
      <c r="D20" s="19"/>
      <c r="E20" s="20"/>
      <c r="F20" s="21"/>
      <c r="G20" s="18"/>
    </row>
    <row r="21" spans="1:7" ht="18.75" thickBot="1">
      <c r="B21" s="4"/>
      <c r="C21" s="22" t="s">
        <v>10</v>
      </c>
      <c r="D21" s="23"/>
      <c r="E21" s="24"/>
      <c r="F21" s="25" t="s">
        <v>11</v>
      </c>
      <c r="G21" s="18"/>
    </row>
    <row r="22" spans="1:7">
      <c r="B22" s="4"/>
      <c r="C22" s="26" t="s">
        <v>12</v>
      </c>
      <c r="D22" s="26"/>
      <c r="E22" s="27">
        <v>10709.59024859505</v>
      </c>
      <c r="F22" s="28">
        <v>10709.59024859505</v>
      </c>
      <c r="G22" s="29"/>
    </row>
    <row r="23" spans="1:7">
      <c r="B23" s="30">
        <v>143</v>
      </c>
      <c r="C23" s="31" t="s">
        <v>13</v>
      </c>
      <c r="D23" s="31"/>
      <c r="E23" s="27">
        <v>4578.6174545454505</v>
      </c>
      <c r="F23" s="32">
        <v>4578.6174545454505</v>
      </c>
      <c r="G23" s="33"/>
    </row>
    <row r="24" spans="1:7">
      <c r="B24" s="30"/>
      <c r="C24" s="34" t="s">
        <v>14</v>
      </c>
      <c r="D24" s="34"/>
      <c r="E24" s="27">
        <v>0</v>
      </c>
      <c r="F24" s="32">
        <v>0</v>
      </c>
      <c r="G24" s="33"/>
    </row>
    <row r="25" spans="1:7">
      <c r="B25" s="30"/>
      <c r="C25" s="34" t="s">
        <v>15</v>
      </c>
      <c r="D25" s="34"/>
      <c r="E25" s="27">
        <v>0</v>
      </c>
      <c r="F25" s="32">
        <v>0</v>
      </c>
      <c r="G25" s="33"/>
    </row>
    <row r="26" spans="1:7">
      <c r="B26" s="30"/>
      <c r="C26" s="34" t="s">
        <v>16</v>
      </c>
      <c r="D26" s="34"/>
      <c r="E26" s="27">
        <v>0</v>
      </c>
      <c r="F26" s="32">
        <v>0</v>
      </c>
      <c r="G26" s="33"/>
    </row>
    <row r="27" spans="1:7">
      <c r="B27" s="30"/>
      <c r="C27" s="34" t="s">
        <v>17</v>
      </c>
      <c r="D27" s="34"/>
      <c r="E27" s="27">
        <v>0</v>
      </c>
      <c r="F27" s="32">
        <v>0</v>
      </c>
      <c r="G27" s="33"/>
    </row>
    <row r="28" spans="1:7">
      <c r="B28" s="30"/>
      <c r="C28" s="35" t="s">
        <v>18</v>
      </c>
      <c r="D28" s="35"/>
      <c r="E28" s="36">
        <v>15288.207703140501</v>
      </c>
      <c r="F28" s="37">
        <v>15288.207703140501</v>
      </c>
      <c r="G28" s="38"/>
    </row>
    <row r="29" spans="1:7" ht="15.75" thickBot="1">
      <c r="B29" s="30"/>
      <c r="C29" s="39"/>
      <c r="D29" s="39"/>
      <c r="E29" s="40"/>
      <c r="F29" s="41"/>
      <c r="G29" s="38"/>
    </row>
    <row r="30" spans="1:7" ht="18.75" thickBot="1">
      <c r="B30" s="30"/>
      <c r="C30" s="22" t="s">
        <v>19</v>
      </c>
      <c r="D30" s="23"/>
      <c r="E30" s="42"/>
      <c r="F30" s="43"/>
      <c r="G30" s="38"/>
    </row>
    <row r="31" spans="1:7">
      <c r="B31" s="44">
        <v>121</v>
      </c>
      <c r="C31" s="39" t="s">
        <v>20</v>
      </c>
      <c r="D31" s="39"/>
      <c r="E31" s="45"/>
      <c r="F31" s="46"/>
      <c r="G31" s="47"/>
    </row>
    <row r="32" spans="1:7">
      <c r="B32" s="44"/>
      <c r="C32" s="48" t="s">
        <v>21</v>
      </c>
      <c r="D32" s="48"/>
      <c r="E32" s="49">
        <v>296.77123636363604</v>
      </c>
      <c r="F32" s="50">
        <v>296.77123636363604</v>
      </c>
      <c r="G32" s="47"/>
    </row>
    <row r="33" spans="2:7">
      <c r="B33" s="44"/>
      <c r="C33" s="48" t="s">
        <v>22</v>
      </c>
      <c r="D33" s="48"/>
      <c r="E33" s="49">
        <v>305.25041454545385</v>
      </c>
      <c r="F33" s="50">
        <v>305.25041454545385</v>
      </c>
      <c r="G33" s="47"/>
    </row>
    <row r="34" spans="2:7">
      <c r="B34" s="51"/>
      <c r="C34" s="48" t="s">
        <v>23</v>
      </c>
      <c r="D34" s="48"/>
      <c r="E34" s="49">
        <v>364.60466181818146</v>
      </c>
      <c r="F34" s="50">
        <v>364.60466181818146</v>
      </c>
      <c r="G34" s="52"/>
    </row>
    <row r="35" spans="2:7">
      <c r="B35" s="51"/>
      <c r="C35" s="48" t="s">
        <v>24</v>
      </c>
      <c r="D35" s="48"/>
      <c r="E35" s="49">
        <v>249.75033917355319</v>
      </c>
      <c r="F35" s="50">
        <v>249.75033917355319</v>
      </c>
      <c r="G35" s="52"/>
    </row>
    <row r="36" spans="2:7">
      <c r="B36" s="44"/>
      <c r="C36" s="48" t="s">
        <v>25</v>
      </c>
      <c r="D36" s="48"/>
      <c r="E36" s="49">
        <v>0</v>
      </c>
      <c r="F36" s="50">
        <v>0</v>
      </c>
      <c r="G36" s="52"/>
    </row>
    <row r="37" spans="2:7">
      <c r="B37" s="44"/>
      <c r="C37" s="53" t="s">
        <v>26</v>
      </c>
      <c r="D37" s="53"/>
      <c r="E37" s="36">
        <v>1216.3766519008245</v>
      </c>
      <c r="F37" s="54">
        <v>1216.3766519008245</v>
      </c>
      <c r="G37" s="52"/>
    </row>
    <row r="38" spans="2:7">
      <c r="B38" s="44">
        <v>122</v>
      </c>
      <c r="C38" s="39" t="s">
        <v>27</v>
      </c>
      <c r="D38" s="39"/>
      <c r="E38" s="36"/>
      <c r="F38" s="50"/>
      <c r="G38" s="55"/>
    </row>
    <row r="39" spans="2:7">
      <c r="B39" s="44"/>
      <c r="C39" s="48" t="s">
        <v>28</v>
      </c>
      <c r="D39" s="48"/>
      <c r="E39" s="49">
        <v>144.14602909090897</v>
      </c>
      <c r="F39" s="50">
        <v>144.14602909090897</v>
      </c>
      <c r="G39" s="52"/>
    </row>
    <row r="40" spans="2:7">
      <c r="B40" s="44"/>
      <c r="C40" s="48" t="s">
        <v>29</v>
      </c>
      <c r="D40" s="48"/>
      <c r="E40" s="49">
        <v>0</v>
      </c>
      <c r="F40" s="50">
        <v>0</v>
      </c>
      <c r="G40" s="52"/>
    </row>
    <row r="41" spans="2:7">
      <c r="B41" s="44"/>
      <c r="C41" s="48" t="s">
        <v>30</v>
      </c>
      <c r="D41" s="48"/>
      <c r="E41" s="49">
        <v>191.16692628099148</v>
      </c>
      <c r="F41" s="50">
        <v>191.16692628099148</v>
      </c>
      <c r="G41" s="52"/>
    </row>
    <row r="42" spans="2:7">
      <c r="B42" s="44"/>
      <c r="C42" s="48" t="s">
        <v>31</v>
      </c>
      <c r="D42" s="48"/>
      <c r="E42" s="49">
        <v>33.916712727272696</v>
      </c>
      <c r="F42" s="50">
        <v>33.916712727272696</v>
      </c>
      <c r="G42" s="52"/>
    </row>
    <row r="43" spans="2:7">
      <c r="B43" s="44"/>
      <c r="C43" s="48" t="s">
        <v>32</v>
      </c>
      <c r="D43" s="48"/>
      <c r="E43" s="49">
        <v>135.66685090909078</v>
      </c>
      <c r="F43" s="50">
        <v>135.66685090909078</v>
      </c>
      <c r="G43" s="52"/>
    </row>
    <row r="44" spans="2:7">
      <c r="B44" s="44"/>
      <c r="C44" s="48" t="s">
        <v>33</v>
      </c>
      <c r="D44" s="48"/>
      <c r="E44" s="49">
        <v>0</v>
      </c>
      <c r="F44" s="50">
        <v>0</v>
      </c>
      <c r="G44" s="52"/>
    </row>
    <row r="45" spans="2:7">
      <c r="B45" s="44"/>
      <c r="C45" s="48" t="s">
        <v>34</v>
      </c>
      <c r="D45" s="48"/>
      <c r="E45" s="49">
        <v>0</v>
      </c>
      <c r="F45" s="50">
        <v>0</v>
      </c>
      <c r="G45" s="52"/>
    </row>
    <row r="46" spans="2:7">
      <c r="B46" s="44"/>
      <c r="C46" s="48" t="s">
        <v>35</v>
      </c>
      <c r="D46" s="48"/>
      <c r="E46" s="49">
        <v>0</v>
      </c>
      <c r="F46" s="50">
        <v>0</v>
      </c>
      <c r="G46" s="52"/>
    </row>
    <row r="47" spans="2:7">
      <c r="B47" s="44"/>
      <c r="C47" s="53" t="s">
        <v>26</v>
      </c>
      <c r="D47" s="53"/>
      <c r="E47" s="36">
        <v>504.89651900826391</v>
      </c>
      <c r="F47" s="54">
        <v>504.89651900826391</v>
      </c>
      <c r="G47" s="52"/>
    </row>
    <row r="48" spans="2:7">
      <c r="B48" s="44">
        <v>123</v>
      </c>
      <c r="C48" s="39" t="s">
        <v>36</v>
      </c>
      <c r="D48" s="39"/>
      <c r="E48" s="56"/>
      <c r="F48" s="57"/>
      <c r="G48" s="52"/>
    </row>
    <row r="49" spans="2:7">
      <c r="B49" s="44"/>
      <c r="C49" s="48" t="s">
        <v>37</v>
      </c>
      <c r="D49" s="48"/>
      <c r="E49" s="49">
        <v>123.33350082644611</v>
      </c>
      <c r="F49" s="50">
        <v>123.33350082644611</v>
      </c>
      <c r="G49" s="52"/>
    </row>
    <row r="50" spans="2:7">
      <c r="B50" s="44"/>
      <c r="C50" s="48" t="s">
        <v>38</v>
      </c>
      <c r="D50" s="48"/>
      <c r="E50" s="49">
        <v>0</v>
      </c>
      <c r="F50" s="50">
        <v>0</v>
      </c>
      <c r="G50" s="52"/>
    </row>
    <row r="51" spans="2:7">
      <c r="B51" s="44"/>
      <c r="C51" s="48" t="s">
        <v>39</v>
      </c>
      <c r="D51" s="48"/>
      <c r="E51" s="49">
        <v>144.91686347107415</v>
      </c>
      <c r="F51" s="50">
        <v>144.91686347107415</v>
      </c>
      <c r="G51" s="52"/>
    </row>
    <row r="52" spans="2:7">
      <c r="B52" s="44"/>
      <c r="C52" s="48" t="s">
        <v>40</v>
      </c>
      <c r="D52" s="48"/>
      <c r="E52" s="49">
        <v>111.00015074380143</v>
      </c>
      <c r="F52" s="50">
        <v>111.00015074380143</v>
      </c>
      <c r="G52" s="52"/>
    </row>
    <row r="53" spans="2:7">
      <c r="B53" s="44"/>
      <c r="C53" s="48" t="s">
        <v>41</v>
      </c>
      <c r="D53" s="48"/>
      <c r="E53" s="49">
        <v>0</v>
      </c>
      <c r="F53" s="50">
        <v>0</v>
      </c>
      <c r="G53" s="52"/>
    </row>
    <row r="54" spans="2:7">
      <c r="B54" s="44"/>
      <c r="C54" s="48" t="s">
        <v>42</v>
      </c>
      <c r="D54" s="48"/>
      <c r="E54" s="49">
        <v>195.02109818181799</v>
      </c>
      <c r="F54" s="50">
        <v>195.02109818181799</v>
      </c>
      <c r="G54" s="52"/>
    </row>
    <row r="55" spans="2:7">
      <c r="B55" s="44"/>
      <c r="C55" s="53" t="s">
        <v>26</v>
      </c>
      <c r="D55" s="53"/>
      <c r="E55" s="36">
        <v>574.27161322313964</v>
      </c>
      <c r="F55" s="54">
        <v>574.27161322313964</v>
      </c>
      <c r="G55" s="52"/>
    </row>
    <row r="56" spans="2:7">
      <c r="B56" s="44">
        <v>124</v>
      </c>
      <c r="C56" s="39" t="s">
        <v>43</v>
      </c>
      <c r="D56" s="39"/>
      <c r="E56" s="56"/>
      <c r="F56" s="57"/>
      <c r="G56" s="52"/>
    </row>
    <row r="57" spans="2:7">
      <c r="B57" s="44"/>
      <c r="C57" s="48" t="s">
        <v>44</v>
      </c>
      <c r="D57" s="48"/>
      <c r="E57" s="49">
        <v>366.91716495867701</v>
      </c>
      <c r="F57" s="50">
        <v>366.91716495867701</v>
      </c>
      <c r="G57" s="52"/>
    </row>
    <row r="58" spans="2:7">
      <c r="B58" s="44"/>
      <c r="C58" s="48" t="s">
        <v>45</v>
      </c>
      <c r="D58" s="48"/>
      <c r="E58" s="49">
        <v>0</v>
      </c>
      <c r="F58" s="50">
        <v>0</v>
      </c>
      <c r="G58" s="52"/>
    </row>
    <row r="59" spans="2:7">
      <c r="B59" s="44"/>
      <c r="C59" s="48" t="s">
        <v>46</v>
      </c>
      <c r="D59" s="48"/>
      <c r="E59" s="49">
        <v>0</v>
      </c>
      <c r="F59" s="50">
        <v>0</v>
      </c>
      <c r="G59" s="52"/>
    </row>
    <row r="60" spans="2:7">
      <c r="B60" s="44"/>
      <c r="C60" s="53" t="s">
        <v>26</v>
      </c>
      <c r="D60" s="53"/>
      <c r="E60" s="36">
        <v>366.91716495867701</v>
      </c>
      <c r="F60" s="54">
        <v>366.91716495867701</v>
      </c>
      <c r="G60" s="52"/>
    </row>
    <row r="61" spans="2:7">
      <c r="B61" s="44">
        <v>125</v>
      </c>
      <c r="C61" s="39" t="s">
        <v>47</v>
      </c>
      <c r="D61" s="39"/>
      <c r="E61" s="36"/>
      <c r="F61" s="50"/>
      <c r="G61" s="52"/>
    </row>
    <row r="62" spans="2:7">
      <c r="B62" s="44"/>
      <c r="C62" s="48" t="s">
        <v>48</v>
      </c>
      <c r="D62" s="48"/>
      <c r="E62" s="58">
        <v>0</v>
      </c>
      <c r="F62" s="50">
        <v>0</v>
      </c>
      <c r="G62" s="52"/>
    </row>
    <row r="63" spans="2:7">
      <c r="B63" s="44"/>
      <c r="C63" s="48" t="s">
        <v>49</v>
      </c>
      <c r="D63" s="48"/>
      <c r="E63" s="58">
        <v>0</v>
      </c>
      <c r="F63" s="50">
        <v>0</v>
      </c>
      <c r="G63" s="52"/>
    </row>
    <row r="64" spans="2:7">
      <c r="B64" s="44"/>
      <c r="C64" s="48" t="s">
        <v>50</v>
      </c>
      <c r="D64" s="48"/>
      <c r="E64" s="58">
        <v>593.54247272727218</v>
      </c>
      <c r="F64" s="50">
        <v>593.54247272727218</v>
      </c>
      <c r="G64" s="52"/>
    </row>
    <row r="65" spans="2:7">
      <c r="B65" s="44"/>
      <c r="C65" s="48" t="s">
        <v>51</v>
      </c>
      <c r="D65" s="48"/>
      <c r="E65" s="58">
        <v>135.66685090909078</v>
      </c>
      <c r="F65" s="50">
        <v>135.66685090909078</v>
      </c>
      <c r="G65" s="52"/>
    </row>
    <row r="66" spans="2:7">
      <c r="B66" s="44"/>
      <c r="C66" s="53" t="s">
        <v>26</v>
      </c>
      <c r="D66" s="53"/>
      <c r="E66" s="56">
        <v>729.20932363636302</v>
      </c>
      <c r="F66" s="54">
        <v>729.20932363636302</v>
      </c>
      <c r="G66" s="52"/>
    </row>
    <row r="67" spans="2:7">
      <c r="B67" s="44">
        <v>126</v>
      </c>
      <c r="C67" s="39" t="s">
        <v>52</v>
      </c>
      <c r="D67" s="39"/>
      <c r="E67" s="56"/>
      <c r="F67" s="50"/>
      <c r="G67" s="52"/>
    </row>
    <row r="68" spans="2:7">
      <c r="B68" s="44"/>
      <c r="C68" s="48" t="s">
        <v>53</v>
      </c>
      <c r="D68" s="48"/>
      <c r="E68" s="49">
        <v>0</v>
      </c>
      <c r="F68" s="50">
        <v>0</v>
      </c>
      <c r="G68" s="52"/>
    </row>
    <row r="69" spans="2:7">
      <c r="B69" s="44"/>
      <c r="C69" s="48" t="s">
        <v>54</v>
      </c>
      <c r="D69" s="48"/>
      <c r="E69" s="49">
        <v>0</v>
      </c>
      <c r="F69" s="50"/>
      <c r="G69" s="52"/>
    </row>
    <row r="70" spans="2:7">
      <c r="B70" s="44"/>
      <c r="C70" s="48" t="s">
        <v>55</v>
      </c>
      <c r="D70" s="48"/>
      <c r="E70" s="49">
        <v>0</v>
      </c>
      <c r="F70" s="50"/>
      <c r="G70" s="52"/>
    </row>
    <row r="71" spans="2:7">
      <c r="B71" s="44"/>
      <c r="C71" s="48" t="s">
        <v>56</v>
      </c>
      <c r="D71" s="48"/>
      <c r="E71" s="49">
        <v>0</v>
      </c>
      <c r="F71" s="57"/>
      <c r="G71" s="52"/>
    </row>
    <row r="72" spans="2:7">
      <c r="B72" s="44"/>
      <c r="C72" s="53" t="s">
        <v>26</v>
      </c>
      <c r="D72" s="53"/>
      <c r="E72" s="56">
        <v>0</v>
      </c>
      <c r="F72" s="54">
        <v>0</v>
      </c>
      <c r="G72" s="52"/>
    </row>
    <row r="73" spans="2:7">
      <c r="B73" s="44">
        <v>127</v>
      </c>
      <c r="C73" s="39" t="s">
        <v>57</v>
      </c>
      <c r="D73" s="39"/>
      <c r="E73" s="56"/>
      <c r="F73" s="54"/>
      <c r="G73" s="52"/>
    </row>
    <row r="74" spans="2:7">
      <c r="B74" s="44"/>
      <c r="C74" s="48" t="s">
        <v>58</v>
      </c>
      <c r="D74" s="48"/>
      <c r="E74" s="49">
        <v>0</v>
      </c>
      <c r="F74" s="50">
        <v>0</v>
      </c>
      <c r="G74" s="52"/>
    </row>
    <row r="75" spans="2:7">
      <c r="B75" s="44"/>
      <c r="C75" s="48" t="s">
        <v>59</v>
      </c>
      <c r="D75" s="48"/>
      <c r="E75" s="49">
        <v>0</v>
      </c>
      <c r="F75" s="50">
        <v>0</v>
      </c>
      <c r="G75" s="52"/>
    </row>
    <row r="76" spans="2:7">
      <c r="B76" s="44"/>
      <c r="C76" s="48" t="s">
        <v>60</v>
      </c>
      <c r="D76" s="48"/>
      <c r="E76" s="49">
        <v>0</v>
      </c>
      <c r="F76" s="50">
        <v>0</v>
      </c>
      <c r="G76" s="52"/>
    </row>
    <row r="77" spans="2:7">
      <c r="B77" s="44"/>
      <c r="C77" s="59" t="s">
        <v>61</v>
      </c>
      <c r="D77" s="59"/>
      <c r="E77" s="49">
        <v>0</v>
      </c>
      <c r="F77" s="50">
        <v>0</v>
      </c>
      <c r="G77" s="52"/>
    </row>
    <row r="78" spans="2:7">
      <c r="B78" s="44"/>
      <c r="C78" s="53" t="s">
        <v>26</v>
      </c>
      <c r="D78" s="53"/>
      <c r="E78" s="56">
        <v>0</v>
      </c>
      <c r="F78" s="54">
        <v>0</v>
      </c>
      <c r="G78" s="52"/>
    </row>
    <row r="79" spans="2:7">
      <c r="B79" s="44">
        <v>128</v>
      </c>
      <c r="C79" s="39" t="s">
        <v>62</v>
      </c>
      <c r="D79" s="39"/>
      <c r="E79" s="56"/>
      <c r="F79" s="54"/>
      <c r="G79" s="52"/>
    </row>
    <row r="80" spans="2:7">
      <c r="B80" s="44"/>
      <c r="C80" s="48" t="s">
        <v>63</v>
      </c>
      <c r="D80" s="48"/>
      <c r="E80" s="49">
        <v>0</v>
      </c>
      <c r="F80" s="50">
        <v>0</v>
      </c>
      <c r="G80" s="52"/>
    </row>
    <row r="81" spans="2:7">
      <c r="B81" s="44"/>
      <c r="C81" s="48" t="s">
        <v>64</v>
      </c>
      <c r="D81" s="48"/>
      <c r="E81" s="49">
        <v>0</v>
      </c>
      <c r="F81" s="50">
        <v>0</v>
      </c>
      <c r="G81" s="52"/>
    </row>
    <row r="82" spans="2:7">
      <c r="B82" s="44"/>
      <c r="C82" s="48" t="s">
        <v>65</v>
      </c>
      <c r="D82" s="48"/>
      <c r="E82" s="49">
        <v>0</v>
      </c>
      <c r="F82" s="50">
        <v>0</v>
      </c>
      <c r="G82" s="52"/>
    </row>
    <row r="83" spans="2:7">
      <c r="B83" s="44"/>
      <c r="C83" s="48" t="s">
        <v>66</v>
      </c>
      <c r="D83" s="48"/>
      <c r="E83" s="49">
        <v>0</v>
      </c>
      <c r="F83" s="50">
        <v>0</v>
      </c>
      <c r="G83" s="52"/>
    </row>
    <row r="84" spans="2:7">
      <c r="B84" s="44"/>
      <c r="C84" s="48" t="s">
        <v>67</v>
      </c>
      <c r="D84" s="48"/>
      <c r="E84" s="49">
        <v>0</v>
      </c>
      <c r="F84" s="50">
        <v>0</v>
      </c>
      <c r="G84" s="52"/>
    </row>
    <row r="85" spans="2:7">
      <c r="B85" s="44"/>
      <c r="C85" s="53" t="s">
        <v>26</v>
      </c>
      <c r="D85" s="53"/>
      <c r="E85" s="56">
        <v>0</v>
      </c>
      <c r="F85" s="54">
        <v>0</v>
      </c>
      <c r="G85" s="52"/>
    </row>
    <row r="86" spans="2:7">
      <c r="B86" s="44">
        <v>135</v>
      </c>
      <c r="C86" s="39" t="s">
        <v>68</v>
      </c>
      <c r="D86" s="39"/>
      <c r="E86" s="56"/>
      <c r="F86" s="50"/>
      <c r="G86" s="52"/>
    </row>
    <row r="87" spans="2:7">
      <c r="B87" s="44"/>
      <c r="C87" s="48" t="s">
        <v>69</v>
      </c>
      <c r="D87" s="48"/>
      <c r="E87" s="49">
        <v>0</v>
      </c>
      <c r="F87" s="50">
        <v>0</v>
      </c>
      <c r="G87" s="52"/>
    </row>
    <row r="88" spans="2:7">
      <c r="B88" s="44"/>
      <c r="C88" s="48" t="s">
        <v>70</v>
      </c>
      <c r="D88" s="48"/>
      <c r="E88" s="49">
        <v>0</v>
      </c>
      <c r="F88" s="50">
        <v>0</v>
      </c>
      <c r="G88" s="52"/>
    </row>
    <row r="89" spans="2:7">
      <c r="B89" s="44"/>
      <c r="C89" s="48" t="s">
        <v>71</v>
      </c>
      <c r="D89" s="48"/>
      <c r="E89" s="49">
        <v>0</v>
      </c>
      <c r="F89" s="50">
        <v>0</v>
      </c>
      <c r="G89" s="52"/>
    </row>
    <row r="90" spans="2:7">
      <c r="B90" s="44"/>
      <c r="C90" s="48" t="s">
        <v>72</v>
      </c>
      <c r="D90" s="48"/>
      <c r="E90" s="49">
        <v>0</v>
      </c>
      <c r="F90" s="50">
        <v>0</v>
      </c>
      <c r="G90" s="52"/>
    </row>
    <row r="91" spans="2:7">
      <c r="B91" s="44"/>
      <c r="C91" s="48" t="s">
        <v>73</v>
      </c>
      <c r="D91" s="48"/>
      <c r="E91" s="49">
        <v>0</v>
      </c>
      <c r="F91" s="50">
        <v>0</v>
      </c>
      <c r="G91" s="52"/>
    </row>
    <row r="92" spans="2:7">
      <c r="B92" s="44"/>
      <c r="C92" s="48" t="s">
        <v>74</v>
      </c>
      <c r="D92" s="48"/>
      <c r="E92" s="49">
        <v>0</v>
      </c>
      <c r="F92" s="50">
        <v>0</v>
      </c>
      <c r="G92" s="52"/>
    </row>
    <row r="93" spans="2:7">
      <c r="B93" s="44"/>
      <c r="C93" s="48" t="s">
        <v>75</v>
      </c>
      <c r="D93" s="48"/>
      <c r="E93" s="49">
        <v>0</v>
      </c>
      <c r="F93" s="50">
        <v>0</v>
      </c>
      <c r="G93" s="52"/>
    </row>
    <row r="94" spans="2:7">
      <c r="B94" s="44"/>
      <c r="C94" s="48" t="s">
        <v>76</v>
      </c>
      <c r="D94" s="48"/>
      <c r="E94" s="49">
        <v>0</v>
      </c>
      <c r="F94" s="50">
        <v>0</v>
      </c>
      <c r="G94" s="52"/>
    </row>
    <row r="95" spans="2:7">
      <c r="B95" s="44"/>
      <c r="C95" s="48" t="s">
        <v>77</v>
      </c>
      <c r="D95" s="48"/>
      <c r="E95" s="49">
        <v>0</v>
      </c>
      <c r="F95" s="50">
        <v>0</v>
      </c>
      <c r="G95" s="52"/>
    </row>
    <row r="96" spans="2:7">
      <c r="B96" s="44"/>
      <c r="C96" s="53" t="s">
        <v>26</v>
      </c>
      <c r="D96" s="53"/>
      <c r="E96" s="56">
        <v>0</v>
      </c>
      <c r="F96" s="54">
        <v>0</v>
      </c>
      <c r="G96" s="52"/>
    </row>
    <row r="97" spans="2:7">
      <c r="B97" s="44">
        <v>136</v>
      </c>
      <c r="C97" s="39" t="s">
        <v>78</v>
      </c>
      <c r="D97" s="39"/>
      <c r="E97" s="56"/>
      <c r="F97" s="50"/>
      <c r="G97" s="52"/>
    </row>
    <row r="98" spans="2:7">
      <c r="B98" s="44"/>
      <c r="C98" s="48" t="s">
        <v>79</v>
      </c>
      <c r="D98" s="48"/>
      <c r="E98" s="49">
        <v>0</v>
      </c>
      <c r="F98" s="50">
        <v>0</v>
      </c>
      <c r="G98" s="52"/>
    </row>
    <row r="99" spans="2:7">
      <c r="B99" s="44"/>
      <c r="C99" s="48" t="s">
        <v>80</v>
      </c>
      <c r="D99" s="48"/>
      <c r="E99" s="49">
        <v>0</v>
      </c>
      <c r="F99" s="50">
        <v>0</v>
      </c>
      <c r="G99" s="52"/>
    </row>
    <row r="100" spans="2:7">
      <c r="B100" s="44"/>
      <c r="C100" s="48" t="s">
        <v>81</v>
      </c>
      <c r="D100" s="48"/>
      <c r="E100" s="49">
        <v>0</v>
      </c>
      <c r="F100" s="50">
        <v>0</v>
      </c>
      <c r="G100" s="52"/>
    </row>
    <row r="101" spans="2:7">
      <c r="B101" s="44"/>
      <c r="C101" s="48" t="s">
        <v>82</v>
      </c>
      <c r="D101" s="48"/>
      <c r="E101" s="49">
        <v>0</v>
      </c>
      <c r="F101" s="50">
        <v>0</v>
      </c>
      <c r="G101" s="52"/>
    </row>
    <row r="102" spans="2:7">
      <c r="B102" s="44"/>
      <c r="C102" s="48" t="s">
        <v>83</v>
      </c>
      <c r="D102" s="48"/>
      <c r="E102" s="49">
        <v>0</v>
      </c>
      <c r="F102" s="50">
        <v>0</v>
      </c>
      <c r="G102" s="52"/>
    </row>
    <row r="103" spans="2:7">
      <c r="B103" s="44"/>
      <c r="C103" s="48" t="s">
        <v>84</v>
      </c>
      <c r="D103" s="48"/>
      <c r="E103" s="49">
        <v>0</v>
      </c>
      <c r="F103" s="50">
        <v>0</v>
      </c>
      <c r="G103" s="52"/>
    </row>
    <row r="104" spans="2:7">
      <c r="B104" s="44"/>
      <c r="C104" s="53" t="s">
        <v>26</v>
      </c>
      <c r="D104" s="53"/>
      <c r="E104" s="56">
        <v>0</v>
      </c>
      <c r="F104" s="54">
        <v>0</v>
      </c>
      <c r="G104" s="52"/>
    </row>
    <row r="105" spans="2:7">
      <c r="B105" s="44">
        <v>142</v>
      </c>
      <c r="C105" s="39" t="s">
        <v>85</v>
      </c>
      <c r="D105" s="39"/>
      <c r="E105" s="56"/>
      <c r="F105" s="50"/>
      <c r="G105" s="52"/>
    </row>
    <row r="106" spans="2:7">
      <c r="B106" s="44"/>
      <c r="C106" s="48" t="s">
        <v>86</v>
      </c>
      <c r="D106" s="48"/>
      <c r="E106" s="49">
        <v>0</v>
      </c>
      <c r="F106" s="50">
        <v>0</v>
      </c>
      <c r="G106" s="52"/>
    </row>
    <row r="107" spans="2:7">
      <c r="B107" s="44"/>
      <c r="C107" s="48" t="s">
        <v>87</v>
      </c>
      <c r="D107" s="48"/>
      <c r="E107" s="49">
        <v>0</v>
      </c>
      <c r="F107" s="50">
        <v>0</v>
      </c>
      <c r="G107" s="52"/>
    </row>
    <row r="108" spans="2:7">
      <c r="B108" s="44"/>
      <c r="C108" s="53" t="s">
        <v>26</v>
      </c>
      <c r="D108" s="53"/>
      <c r="E108" s="56">
        <v>0</v>
      </c>
      <c r="F108" s="54">
        <v>0</v>
      </c>
      <c r="G108" s="52"/>
    </row>
    <row r="109" spans="2:7">
      <c r="B109" s="44">
        <v>144</v>
      </c>
      <c r="C109" s="39" t="s">
        <v>88</v>
      </c>
      <c r="D109" s="39"/>
      <c r="E109" s="49">
        <v>0</v>
      </c>
      <c r="F109" s="54">
        <v>0</v>
      </c>
      <c r="G109" s="52"/>
    </row>
    <row r="110" spans="2:7">
      <c r="B110" s="44">
        <v>221</v>
      </c>
      <c r="C110" s="39" t="s">
        <v>89</v>
      </c>
      <c r="D110" s="39"/>
      <c r="E110" s="49">
        <v>0</v>
      </c>
      <c r="F110" s="54">
        <v>0</v>
      </c>
      <c r="G110" s="52"/>
    </row>
    <row r="111" spans="2:7">
      <c r="B111" s="44">
        <v>222</v>
      </c>
      <c r="C111" s="39" t="s">
        <v>90</v>
      </c>
      <c r="D111" s="39"/>
      <c r="E111" s="49">
        <v>0</v>
      </c>
      <c r="F111" s="54">
        <v>0</v>
      </c>
      <c r="G111" s="52"/>
    </row>
    <row r="112" spans="2:7">
      <c r="B112" s="44">
        <v>224</v>
      </c>
      <c r="C112" s="39" t="s">
        <v>91</v>
      </c>
      <c r="D112" s="39"/>
      <c r="E112" s="49">
        <v>0</v>
      </c>
      <c r="F112" s="54">
        <v>0</v>
      </c>
      <c r="G112" s="52"/>
    </row>
    <row r="113" spans="2:7">
      <c r="B113" s="44">
        <v>225</v>
      </c>
      <c r="C113" s="39" t="s">
        <v>92</v>
      </c>
      <c r="D113" s="39"/>
      <c r="E113" s="49">
        <v>0</v>
      </c>
      <c r="F113" s="54">
        <v>0</v>
      </c>
      <c r="G113" s="38"/>
    </row>
    <row r="114" spans="2:7">
      <c r="B114" s="44">
        <v>226</v>
      </c>
      <c r="C114" s="39" t="s">
        <v>93</v>
      </c>
      <c r="D114" s="39"/>
      <c r="E114" s="49">
        <v>0</v>
      </c>
      <c r="F114" s="54">
        <v>0</v>
      </c>
      <c r="G114" s="60"/>
    </row>
    <row r="115" spans="2:7" ht="15.75" thickBot="1">
      <c r="B115" s="61"/>
      <c r="C115" s="62" t="s">
        <v>94</v>
      </c>
      <c r="D115" s="62"/>
      <c r="E115" s="90">
        <v>0</v>
      </c>
      <c r="F115" s="63">
        <v>0</v>
      </c>
      <c r="G115" s="38"/>
    </row>
    <row r="116" spans="2:7">
      <c r="B116" s="64"/>
      <c r="C116" s="65" t="s">
        <v>95</v>
      </c>
      <c r="D116" s="66"/>
      <c r="E116" s="91">
        <v>3391.6712727272684</v>
      </c>
      <c r="F116" s="68">
        <v>3391.6712727272684</v>
      </c>
      <c r="G116" s="69"/>
    </row>
    <row r="117" spans="2:7" ht="15.75" thickBot="1">
      <c r="B117" s="64"/>
      <c r="C117" s="70"/>
      <c r="D117" s="71"/>
      <c r="E117" s="92"/>
      <c r="F117" s="73"/>
      <c r="G117" s="69"/>
    </row>
    <row r="118" spans="2:7" ht="15.75" thickBot="1">
      <c r="B118" s="64"/>
      <c r="C118" s="70" t="s">
        <v>96</v>
      </c>
      <c r="D118" s="71"/>
      <c r="E118" s="93">
        <v>11896.536430413233</v>
      </c>
      <c r="F118" s="75">
        <v>11896.536430413233</v>
      </c>
      <c r="G118" s="76"/>
    </row>
    <row r="119" spans="2:7" ht="8.25" customHeight="1" thickBot="1">
      <c r="B119" s="77"/>
      <c r="C119" s="81"/>
      <c r="D119" s="81"/>
      <c r="E119" s="78"/>
      <c r="F119" s="78"/>
      <c r="G119" s="79"/>
    </row>
    <row r="120" spans="2:7">
      <c r="B120" s="83"/>
      <c r="C120" s="84"/>
      <c r="D120" s="84"/>
      <c r="E120" s="85"/>
      <c r="F120" s="83"/>
      <c r="G120" s="85"/>
    </row>
    <row r="121" spans="2:7" ht="6" customHeight="1" thickBot="1"/>
    <row r="122" spans="2:7">
      <c r="B122" s="1"/>
      <c r="C122" s="2"/>
      <c r="D122" s="2"/>
      <c r="E122" s="2"/>
      <c r="F122" s="2"/>
      <c r="G122" s="3"/>
    </row>
    <row r="123" spans="2:7">
      <c r="B123" s="4"/>
      <c r="C123" s="5"/>
      <c r="D123" s="5"/>
      <c r="E123" s="5"/>
      <c r="F123" s="5"/>
      <c r="G123" s="6"/>
    </row>
    <row r="124" spans="2:7">
      <c r="B124" s="4"/>
      <c r="C124" s="5"/>
      <c r="D124" s="5"/>
      <c r="E124" s="5"/>
      <c r="F124" s="5"/>
      <c r="G124" s="6"/>
    </row>
    <row r="125" spans="2:7">
      <c r="B125" s="4"/>
      <c r="C125" s="5"/>
      <c r="D125" s="5"/>
      <c r="E125" s="5"/>
      <c r="F125" s="5"/>
      <c r="G125" s="6"/>
    </row>
    <row r="126" spans="2:7">
      <c r="B126" s="4"/>
      <c r="C126" s="5"/>
      <c r="D126" s="5"/>
      <c r="E126" s="5"/>
      <c r="F126" s="5"/>
      <c r="G126" s="6"/>
    </row>
    <row r="127" spans="2:7" ht="16.5" customHeight="1">
      <c r="B127" s="4"/>
      <c r="C127" s="5"/>
      <c r="D127" s="5"/>
      <c r="E127" s="5"/>
      <c r="F127" s="5"/>
      <c r="G127" s="6"/>
    </row>
    <row r="128" spans="2:7" ht="22.5" customHeight="1" thickBot="1">
      <c r="B128" s="4"/>
      <c r="C128" s="95" t="s">
        <v>0</v>
      </c>
      <c r="D128" s="95"/>
      <c r="E128" s="95"/>
      <c r="F128" s="5"/>
      <c r="G128" s="6"/>
    </row>
    <row r="129" spans="1:7" ht="21" thickTop="1">
      <c r="B129" s="4"/>
      <c r="C129" s="7"/>
      <c r="D129" s="7"/>
      <c r="E129" s="5"/>
      <c r="F129" s="5"/>
      <c r="G129" s="6"/>
    </row>
    <row r="130" spans="1:7">
      <c r="B130" s="8" t="s">
        <v>1</v>
      </c>
      <c r="C130" s="9" t="s">
        <v>97</v>
      </c>
      <c r="D130" s="5"/>
      <c r="E130" s="10" t="s">
        <v>2</v>
      </c>
      <c r="F130" s="9" t="s">
        <v>98</v>
      </c>
      <c r="G130" s="6"/>
    </row>
    <row r="131" spans="1:7" ht="3.75" customHeight="1">
      <c r="A131" s="80"/>
      <c r="B131" s="5"/>
      <c r="C131" s="5"/>
      <c r="D131" s="5"/>
      <c r="E131" s="11"/>
      <c r="F131" s="5"/>
      <c r="G131" s="6"/>
    </row>
    <row r="132" spans="1:7">
      <c r="A132" s="80"/>
      <c r="B132" s="12" t="s">
        <v>3</v>
      </c>
      <c r="C132" s="9" t="s">
        <v>99</v>
      </c>
      <c r="D132" s="5"/>
      <c r="E132" s="10" t="s">
        <v>4</v>
      </c>
      <c r="F132" s="82" t="s">
        <v>100</v>
      </c>
      <c r="G132" s="6"/>
    </row>
    <row r="133" spans="1:7" ht="3.75" customHeight="1">
      <c r="A133" s="80"/>
      <c r="B133" s="5"/>
      <c r="C133" s="5"/>
      <c r="D133" s="5"/>
      <c r="E133" s="11"/>
      <c r="F133" s="5"/>
      <c r="G133" s="6"/>
    </row>
    <row r="134" spans="1:7">
      <c r="A134" s="80"/>
      <c r="B134" s="10" t="s">
        <v>5</v>
      </c>
      <c r="C134" s="9" t="s">
        <v>101</v>
      </c>
      <c r="D134" s="5"/>
      <c r="E134" s="10" t="s">
        <v>6</v>
      </c>
      <c r="F134" s="9" t="s">
        <v>107</v>
      </c>
      <c r="G134" s="6"/>
    </row>
    <row r="135" spans="1:7" ht="4.5" customHeight="1">
      <c r="A135" s="80"/>
      <c r="B135" s="13"/>
      <c r="C135" s="5"/>
      <c r="D135" s="5"/>
      <c r="E135" s="11"/>
      <c r="F135" s="5"/>
      <c r="G135" s="6"/>
    </row>
    <row r="136" spans="1:7">
      <c r="A136" s="80"/>
      <c r="B136" s="10" t="s">
        <v>7</v>
      </c>
      <c r="C136" s="9" t="s">
        <v>122</v>
      </c>
      <c r="D136" s="5"/>
      <c r="E136" s="11"/>
      <c r="F136" s="5"/>
      <c r="G136" s="6"/>
    </row>
    <row r="137" spans="1:7" ht="3.75" customHeight="1">
      <c r="A137" s="80"/>
      <c r="B137" s="5"/>
      <c r="C137" s="5"/>
      <c r="D137" s="5"/>
      <c r="E137" s="11"/>
      <c r="F137" s="5"/>
      <c r="G137" s="6"/>
    </row>
    <row r="138" spans="1:7">
      <c r="B138" s="14" t="s">
        <v>8</v>
      </c>
      <c r="C138" s="15" t="s">
        <v>104</v>
      </c>
      <c r="D138" s="5"/>
      <c r="E138" s="86" t="s">
        <v>109</v>
      </c>
      <c r="F138" s="87">
        <v>45323</v>
      </c>
      <c r="G138" s="6"/>
    </row>
    <row r="139" spans="1:7">
      <c r="B139" s="16" t="s">
        <v>9</v>
      </c>
      <c r="C139" s="17" t="s">
        <v>130</v>
      </c>
      <c r="D139" s="5"/>
      <c r="E139" s="88" t="s">
        <v>110</v>
      </c>
      <c r="F139" s="89">
        <v>45351</v>
      </c>
      <c r="G139" s="18"/>
    </row>
    <row r="140" spans="1:7" ht="15.75" thickBot="1">
      <c r="B140" s="4"/>
      <c r="C140" s="19"/>
      <c r="D140" s="19"/>
      <c r="E140" s="20"/>
      <c r="F140" s="21"/>
      <c r="G140" s="18"/>
    </row>
    <row r="141" spans="1:7" ht="18.75" thickBot="1">
      <c r="B141" s="4"/>
      <c r="C141" s="22" t="s">
        <v>10</v>
      </c>
      <c r="D141" s="23"/>
      <c r="E141" s="24"/>
      <c r="F141" s="25" t="s">
        <v>11</v>
      </c>
      <c r="G141" s="18"/>
    </row>
    <row r="142" spans="1:7">
      <c r="B142" s="4"/>
      <c r="C142" s="26" t="s">
        <v>12</v>
      </c>
      <c r="D142" s="26"/>
      <c r="E142" s="27">
        <v>11896.536430413233</v>
      </c>
      <c r="F142" s="28">
        <v>11896.536430413233</v>
      </c>
      <c r="G142" s="29"/>
    </row>
    <row r="143" spans="1:7">
      <c r="B143" s="30">
        <v>143</v>
      </c>
      <c r="C143" s="31" t="s">
        <v>13</v>
      </c>
      <c r="D143" s="31"/>
      <c r="E143" s="27">
        <v>4578.6174545454505</v>
      </c>
      <c r="F143" s="32">
        <v>4578.6174545454505</v>
      </c>
      <c r="G143" s="33"/>
    </row>
    <row r="144" spans="1:7">
      <c r="B144" s="30"/>
      <c r="C144" s="34" t="s">
        <v>14</v>
      </c>
      <c r="D144" s="34"/>
      <c r="E144" s="27">
        <v>0</v>
      </c>
      <c r="F144" s="32">
        <v>0</v>
      </c>
      <c r="G144" s="33"/>
    </row>
    <row r="145" spans="2:7">
      <c r="B145" s="30"/>
      <c r="C145" s="34" t="s">
        <v>15</v>
      </c>
      <c r="D145" s="34"/>
      <c r="E145" s="27">
        <v>0</v>
      </c>
      <c r="F145" s="32">
        <v>0</v>
      </c>
      <c r="G145" s="33"/>
    </row>
    <row r="146" spans="2:7">
      <c r="B146" s="30"/>
      <c r="C146" s="34" t="s">
        <v>16</v>
      </c>
      <c r="D146" s="34"/>
      <c r="E146" s="27">
        <v>0</v>
      </c>
      <c r="F146" s="32">
        <v>0</v>
      </c>
      <c r="G146" s="33"/>
    </row>
    <row r="147" spans="2:7">
      <c r="B147" s="30"/>
      <c r="C147" s="34" t="s">
        <v>17</v>
      </c>
      <c r="D147" s="34"/>
      <c r="E147" s="27">
        <v>0</v>
      </c>
      <c r="F147" s="32">
        <v>0</v>
      </c>
      <c r="G147" s="33"/>
    </row>
    <row r="148" spans="2:7">
      <c r="B148" s="30"/>
      <c r="C148" s="35" t="s">
        <v>18</v>
      </c>
      <c r="D148" s="35"/>
      <c r="E148" s="36">
        <v>16475.153884958683</v>
      </c>
      <c r="F148" s="37">
        <v>16475.153884958683</v>
      </c>
      <c r="G148" s="38"/>
    </row>
    <row r="149" spans="2:7" ht="15.75" thickBot="1">
      <c r="B149" s="30"/>
      <c r="C149" s="39"/>
      <c r="D149" s="39"/>
      <c r="E149" s="40"/>
      <c r="F149" s="41"/>
      <c r="G149" s="38"/>
    </row>
    <row r="150" spans="2:7" ht="18.75" thickBot="1">
      <c r="B150" s="30"/>
      <c r="C150" s="22" t="s">
        <v>19</v>
      </c>
      <c r="D150" s="23"/>
      <c r="E150" s="42"/>
      <c r="F150" s="43"/>
      <c r="G150" s="38"/>
    </row>
    <row r="151" spans="2:7">
      <c r="B151" s="44">
        <v>121</v>
      </c>
      <c r="C151" s="39" t="s">
        <v>20</v>
      </c>
      <c r="D151" s="39"/>
      <c r="E151" s="45"/>
      <c r="F151" s="46"/>
      <c r="G151" s="47"/>
    </row>
    <row r="152" spans="2:7">
      <c r="B152" s="44"/>
      <c r="C152" s="48" t="s">
        <v>21</v>
      </c>
      <c r="D152" s="48"/>
      <c r="E152" s="49">
        <v>0</v>
      </c>
      <c r="F152" s="50">
        <v>0</v>
      </c>
      <c r="G152" s="47"/>
    </row>
    <row r="153" spans="2:7">
      <c r="B153" s="44"/>
      <c r="C153" s="48" t="s">
        <v>22</v>
      </c>
      <c r="D153" s="48"/>
      <c r="E153" s="49">
        <v>0</v>
      </c>
      <c r="F153" s="50">
        <v>0</v>
      </c>
      <c r="G153" s="47"/>
    </row>
    <row r="154" spans="2:7">
      <c r="B154" s="51"/>
      <c r="C154" s="48" t="s">
        <v>23</v>
      </c>
      <c r="D154" s="48"/>
      <c r="E154" s="49">
        <v>0</v>
      </c>
      <c r="F154" s="50">
        <v>0</v>
      </c>
      <c r="G154" s="52"/>
    </row>
    <row r="155" spans="2:7">
      <c r="B155" s="51"/>
      <c r="C155" s="48" t="s">
        <v>24</v>
      </c>
      <c r="D155" s="48"/>
      <c r="E155" s="49">
        <v>0</v>
      </c>
      <c r="F155" s="50">
        <v>0</v>
      </c>
      <c r="G155" s="52"/>
    </row>
    <row r="156" spans="2:7">
      <c r="B156" s="44"/>
      <c r="C156" s="48" t="s">
        <v>25</v>
      </c>
      <c r="D156" s="48"/>
      <c r="E156" s="49">
        <v>0</v>
      </c>
      <c r="F156" s="50">
        <v>0</v>
      </c>
      <c r="G156" s="52"/>
    </row>
    <row r="157" spans="2:7">
      <c r="B157" s="44"/>
      <c r="C157" s="53" t="s">
        <v>26</v>
      </c>
      <c r="D157" s="53"/>
      <c r="E157" s="36">
        <v>0</v>
      </c>
      <c r="F157" s="54">
        <v>0</v>
      </c>
      <c r="G157" s="52"/>
    </row>
    <row r="158" spans="2:7">
      <c r="B158" s="44">
        <v>122</v>
      </c>
      <c r="C158" s="39" t="s">
        <v>27</v>
      </c>
      <c r="D158" s="39"/>
      <c r="E158" s="36"/>
      <c r="F158" s="50"/>
      <c r="G158" s="55"/>
    </row>
    <row r="159" spans="2:7">
      <c r="B159" s="44"/>
      <c r="C159" s="48" t="s">
        <v>28</v>
      </c>
      <c r="D159" s="48"/>
      <c r="E159" s="49">
        <v>0</v>
      </c>
      <c r="F159" s="50">
        <v>0</v>
      </c>
      <c r="G159" s="52"/>
    </row>
    <row r="160" spans="2:7">
      <c r="B160" s="44"/>
      <c r="C160" s="48" t="s">
        <v>29</v>
      </c>
      <c r="D160" s="48"/>
      <c r="E160" s="49">
        <v>0</v>
      </c>
      <c r="F160" s="50">
        <v>0</v>
      </c>
      <c r="G160" s="52"/>
    </row>
    <row r="161" spans="2:7">
      <c r="B161" s="44"/>
      <c r="C161" s="48" t="s">
        <v>30</v>
      </c>
      <c r="D161" s="48"/>
      <c r="E161" s="49">
        <v>0</v>
      </c>
      <c r="F161" s="50">
        <v>0</v>
      </c>
      <c r="G161" s="52"/>
    </row>
    <row r="162" spans="2:7">
      <c r="B162" s="44"/>
      <c r="C162" s="48" t="s">
        <v>31</v>
      </c>
      <c r="D162" s="48"/>
      <c r="E162" s="49">
        <v>0</v>
      </c>
      <c r="F162" s="50">
        <v>0</v>
      </c>
      <c r="G162" s="52"/>
    </row>
    <row r="163" spans="2:7">
      <c r="B163" s="44"/>
      <c r="C163" s="48" t="s">
        <v>32</v>
      </c>
      <c r="D163" s="48"/>
      <c r="E163" s="49">
        <v>88.800120595041136</v>
      </c>
      <c r="F163" s="50">
        <v>88.800120595041136</v>
      </c>
      <c r="G163" s="52"/>
    </row>
    <row r="164" spans="2:7">
      <c r="B164" s="44"/>
      <c r="C164" s="48" t="s">
        <v>33</v>
      </c>
      <c r="D164" s="48"/>
      <c r="E164" s="49">
        <v>0</v>
      </c>
      <c r="F164" s="50">
        <v>0</v>
      </c>
      <c r="G164" s="52"/>
    </row>
    <row r="165" spans="2:7">
      <c r="B165" s="44"/>
      <c r="C165" s="48" t="s">
        <v>34</v>
      </c>
      <c r="D165" s="48"/>
      <c r="E165" s="49">
        <v>0</v>
      </c>
      <c r="F165" s="50">
        <v>0</v>
      </c>
      <c r="G165" s="52"/>
    </row>
    <row r="166" spans="2:7">
      <c r="B166" s="44"/>
      <c r="C166" s="48" t="s">
        <v>35</v>
      </c>
      <c r="D166" s="48"/>
      <c r="E166" s="49">
        <v>0</v>
      </c>
      <c r="F166" s="50">
        <v>0</v>
      </c>
      <c r="G166" s="52"/>
    </row>
    <row r="167" spans="2:7">
      <c r="B167" s="44"/>
      <c r="C167" s="53" t="s">
        <v>26</v>
      </c>
      <c r="D167" s="53"/>
      <c r="E167" s="36">
        <v>88.800120595041136</v>
      </c>
      <c r="F167" s="54">
        <v>88.800120595041136</v>
      </c>
      <c r="G167" s="52"/>
    </row>
    <row r="168" spans="2:7">
      <c r="B168" s="44">
        <v>123</v>
      </c>
      <c r="C168" s="39" t="s">
        <v>36</v>
      </c>
      <c r="D168" s="39"/>
      <c r="E168" s="56"/>
      <c r="F168" s="57"/>
      <c r="G168" s="52"/>
    </row>
    <row r="169" spans="2:7">
      <c r="B169" s="44"/>
      <c r="C169" s="48" t="s">
        <v>37</v>
      </c>
      <c r="D169" s="48"/>
      <c r="E169" s="49">
        <v>88.800120595041136</v>
      </c>
      <c r="F169" s="50">
        <v>88.800120595041136</v>
      </c>
      <c r="G169" s="52"/>
    </row>
    <row r="170" spans="2:7">
      <c r="B170" s="44"/>
      <c r="C170" s="48" t="s">
        <v>38</v>
      </c>
      <c r="D170" s="48"/>
      <c r="E170" s="49">
        <v>0</v>
      </c>
      <c r="F170" s="50">
        <v>0</v>
      </c>
      <c r="G170" s="52"/>
    </row>
    <row r="171" spans="2:7">
      <c r="B171" s="44"/>
      <c r="C171" s="48" t="s">
        <v>39</v>
      </c>
      <c r="D171" s="48"/>
      <c r="E171" s="49">
        <v>769.60104515702335</v>
      </c>
      <c r="F171" s="50">
        <v>769.60104515702335</v>
      </c>
      <c r="G171" s="52"/>
    </row>
    <row r="172" spans="2:7">
      <c r="B172" s="44"/>
      <c r="C172" s="48" t="s">
        <v>40</v>
      </c>
      <c r="D172" s="48"/>
      <c r="E172" s="49">
        <v>0</v>
      </c>
      <c r="F172" s="50">
        <v>0</v>
      </c>
      <c r="G172" s="52"/>
    </row>
    <row r="173" spans="2:7">
      <c r="B173" s="44"/>
      <c r="C173" s="48" t="s">
        <v>41</v>
      </c>
      <c r="D173" s="48"/>
      <c r="E173" s="49">
        <v>0</v>
      </c>
      <c r="F173" s="50">
        <v>0</v>
      </c>
      <c r="G173" s="52"/>
    </row>
    <row r="174" spans="2:7">
      <c r="B174" s="44"/>
      <c r="C174" s="48" t="s">
        <v>42</v>
      </c>
      <c r="D174" s="48"/>
      <c r="E174" s="49">
        <v>177.60024119008227</v>
      </c>
      <c r="F174" s="50">
        <v>177.60024119008227</v>
      </c>
      <c r="G174" s="52"/>
    </row>
    <row r="175" spans="2:7">
      <c r="B175" s="44"/>
      <c r="C175" s="53" t="s">
        <v>26</v>
      </c>
      <c r="D175" s="53"/>
      <c r="E175" s="36">
        <v>1036.0014069421468</v>
      </c>
      <c r="F175" s="54">
        <v>1036.0014069421468</v>
      </c>
      <c r="G175" s="52"/>
    </row>
    <row r="176" spans="2:7">
      <c r="B176" s="44">
        <v>124</v>
      </c>
      <c r="C176" s="39" t="s">
        <v>43</v>
      </c>
      <c r="D176" s="39"/>
      <c r="E176" s="56"/>
      <c r="F176" s="57"/>
      <c r="G176" s="52"/>
    </row>
    <row r="177" spans="2:7">
      <c r="B177" s="44"/>
      <c r="C177" s="48" t="s">
        <v>44</v>
      </c>
      <c r="D177" s="48"/>
      <c r="E177" s="49">
        <v>135.66685090909075</v>
      </c>
      <c r="F177" s="50">
        <v>135.66685090909075</v>
      </c>
      <c r="G177" s="52"/>
    </row>
    <row r="178" spans="2:7">
      <c r="B178" s="44"/>
      <c r="C178" s="48" t="s">
        <v>45</v>
      </c>
      <c r="D178" s="48"/>
      <c r="E178" s="49">
        <v>0</v>
      </c>
      <c r="F178" s="50">
        <v>0</v>
      </c>
      <c r="G178" s="52"/>
    </row>
    <row r="179" spans="2:7">
      <c r="B179" s="44"/>
      <c r="C179" s="48" t="s">
        <v>46</v>
      </c>
      <c r="D179" s="48"/>
      <c r="E179" s="49">
        <v>0</v>
      </c>
      <c r="F179" s="50">
        <v>0</v>
      </c>
      <c r="G179" s="52"/>
    </row>
    <row r="180" spans="2:7">
      <c r="B180" s="44"/>
      <c r="C180" s="53" t="s">
        <v>26</v>
      </c>
      <c r="D180" s="53"/>
      <c r="E180" s="36">
        <v>135.66685090909075</v>
      </c>
      <c r="F180" s="54">
        <v>135.66685090909075</v>
      </c>
      <c r="G180" s="52"/>
    </row>
    <row r="181" spans="2:7">
      <c r="B181" s="44">
        <v>125</v>
      </c>
      <c r="C181" s="39" t="s">
        <v>47</v>
      </c>
      <c r="D181" s="39"/>
      <c r="E181" s="36"/>
      <c r="F181" s="50"/>
      <c r="G181" s="52"/>
    </row>
    <row r="182" spans="2:7">
      <c r="B182" s="44"/>
      <c r="C182" s="48" t="s">
        <v>48</v>
      </c>
      <c r="D182" s="48"/>
      <c r="E182" s="58">
        <v>0</v>
      </c>
      <c r="F182" s="50">
        <v>0</v>
      </c>
      <c r="G182" s="52"/>
    </row>
    <row r="183" spans="2:7">
      <c r="B183" s="44"/>
      <c r="C183" s="48" t="s">
        <v>49</v>
      </c>
      <c r="D183" s="48"/>
      <c r="E183" s="58">
        <v>0</v>
      </c>
      <c r="F183" s="50">
        <v>0</v>
      </c>
      <c r="G183" s="52"/>
    </row>
    <row r="184" spans="2:7">
      <c r="B184" s="44"/>
      <c r="C184" s="48" t="s">
        <v>50</v>
      </c>
      <c r="D184" s="48"/>
      <c r="E184" s="58">
        <v>108.5334807272726</v>
      </c>
      <c r="F184" s="50">
        <v>108.5334807272726</v>
      </c>
      <c r="G184" s="52"/>
    </row>
    <row r="185" spans="2:7">
      <c r="B185" s="44"/>
      <c r="C185" s="48" t="s">
        <v>51</v>
      </c>
      <c r="D185" s="48"/>
      <c r="E185" s="58">
        <v>0</v>
      </c>
      <c r="F185" s="50">
        <v>0</v>
      </c>
      <c r="G185" s="52"/>
    </row>
    <row r="186" spans="2:7">
      <c r="B186" s="44"/>
      <c r="C186" s="53" t="s">
        <v>26</v>
      </c>
      <c r="D186" s="53"/>
      <c r="E186" s="56">
        <v>108.5334807272726</v>
      </c>
      <c r="F186" s="54">
        <v>108.5334807272726</v>
      </c>
      <c r="G186" s="52"/>
    </row>
    <row r="187" spans="2:7">
      <c r="B187" s="44">
        <v>126</v>
      </c>
      <c r="C187" s="39" t="s">
        <v>52</v>
      </c>
      <c r="D187" s="39"/>
      <c r="E187" s="56"/>
      <c r="F187" s="50"/>
      <c r="G187" s="52"/>
    </row>
    <row r="188" spans="2:7">
      <c r="B188" s="44"/>
      <c r="C188" s="48" t="s">
        <v>53</v>
      </c>
      <c r="D188" s="48"/>
      <c r="E188" s="49">
        <v>0</v>
      </c>
      <c r="F188" s="50">
        <v>0</v>
      </c>
      <c r="G188" s="52"/>
    </row>
    <row r="189" spans="2:7">
      <c r="B189" s="44"/>
      <c r="C189" s="48" t="s">
        <v>54</v>
      </c>
      <c r="D189" s="48"/>
      <c r="E189" s="49">
        <v>0</v>
      </c>
      <c r="F189" s="50"/>
      <c r="G189" s="52"/>
    </row>
    <row r="190" spans="2:7">
      <c r="B190" s="44"/>
      <c r="C190" s="48" t="s">
        <v>55</v>
      </c>
      <c r="D190" s="48"/>
      <c r="E190" s="49">
        <v>0</v>
      </c>
      <c r="F190" s="50"/>
      <c r="G190" s="52"/>
    </row>
    <row r="191" spans="2:7">
      <c r="B191" s="44"/>
      <c r="C191" s="48" t="s">
        <v>56</v>
      </c>
      <c r="D191" s="48"/>
      <c r="E191" s="49">
        <v>0</v>
      </c>
      <c r="F191" s="57"/>
      <c r="G191" s="52"/>
    </row>
    <row r="192" spans="2:7">
      <c r="B192" s="44"/>
      <c r="C192" s="53" t="s">
        <v>26</v>
      </c>
      <c r="D192" s="53"/>
      <c r="E192" s="56">
        <v>0</v>
      </c>
      <c r="F192" s="54">
        <v>0</v>
      </c>
      <c r="G192" s="52"/>
    </row>
    <row r="193" spans="2:7">
      <c r="B193" s="44">
        <v>127</v>
      </c>
      <c r="C193" s="39" t="s">
        <v>57</v>
      </c>
      <c r="D193" s="39"/>
      <c r="E193" s="56"/>
      <c r="F193" s="54"/>
      <c r="G193" s="52"/>
    </row>
    <row r="194" spans="2:7">
      <c r="B194" s="44"/>
      <c r="C194" s="48" t="s">
        <v>58</v>
      </c>
      <c r="D194" s="48"/>
      <c r="E194" s="49">
        <v>0</v>
      </c>
      <c r="F194" s="50">
        <v>0</v>
      </c>
      <c r="G194" s="52"/>
    </row>
    <row r="195" spans="2:7">
      <c r="B195" s="44"/>
      <c r="C195" s="48" t="s">
        <v>59</v>
      </c>
      <c r="D195" s="48"/>
      <c r="E195" s="49">
        <v>0</v>
      </c>
      <c r="F195" s="50">
        <v>0</v>
      </c>
      <c r="G195" s="52"/>
    </row>
    <row r="196" spans="2:7">
      <c r="B196" s="44"/>
      <c r="C196" s="48" t="s">
        <v>60</v>
      </c>
      <c r="D196" s="48"/>
      <c r="E196" s="49">
        <v>0</v>
      </c>
      <c r="F196" s="50">
        <v>0</v>
      </c>
      <c r="G196" s="52"/>
    </row>
    <row r="197" spans="2:7">
      <c r="B197" s="44"/>
      <c r="C197" s="59" t="s">
        <v>61</v>
      </c>
      <c r="D197" s="59"/>
      <c r="E197" s="49">
        <v>0</v>
      </c>
      <c r="F197" s="50">
        <v>0</v>
      </c>
      <c r="G197" s="52"/>
    </row>
    <row r="198" spans="2:7">
      <c r="B198" s="44"/>
      <c r="C198" s="53" t="s">
        <v>26</v>
      </c>
      <c r="D198" s="53"/>
      <c r="E198" s="56">
        <v>0</v>
      </c>
      <c r="F198" s="54">
        <v>0</v>
      </c>
      <c r="G198" s="52"/>
    </row>
    <row r="199" spans="2:7">
      <c r="B199" s="44">
        <v>128</v>
      </c>
      <c r="C199" s="39" t="s">
        <v>62</v>
      </c>
      <c r="D199" s="39"/>
      <c r="E199" s="56"/>
      <c r="F199" s="54"/>
      <c r="G199" s="52"/>
    </row>
    <row r="200" spans="2:7">
      <c r="B200" s="44"/>
      <c r="C200" s="48" t="s">
        <v>63</v>
      </c>
      <c r="D200" s="48"/>
      <c r="E200" s="49">
        <v>0</v>
      </c>
      <c r="F200" s="50">
        <v>0</v>
      </c>
      <c r="G200" s="52"/>
    </row>
    <row r="201" spans="2:7">
      <c r="B201" s="44"/>
      <c r="C201" s="48" t="s">
        <v>64</v>
      </c>
      <c r="D201" s="48"/>
      <c r="E201" s="49">
        <v>0</v>
      </c>
      <c r="F201" s="50">
        <v>0</v>
      </c>
      <c r="G201" s="52"/>
    </row>
    <row r="202" spans="2:7">
      <c r="B202" s="44"/>
      <c r="C202" s="48" t="s">
        <v>65</v>
      </c>
      <c r="D202" s="48"/>
      <c r="E202" s="49">
        <v>325.60044218181781</v>
      </c>
      <c r="F202" s="50">
        <v>325.60044218181781</v>
      </c>
      <c r="G202" s="52"/>
    </row>
    <row r="203" spans="2:7">
      <c r="B203" s="44"/>
      <c r="C203" s="48" t="s">
        <v>66</v>
      </c>
      <c r="D203" s="48"/>
      <c r="E203" s="49">
        <v>0</v>
      </c>
      <c r="F203" s="50">
        <v>0</v>
      </c>
      <c r="G203" s="52"/>
    </row>
    <row r="204" spans="2:7">
      <c r="B204" s="44"/>
      <c r="C204" s="48" t="s">
        <v>67</v>
      </c>
      <c r="D204" s="48"/>
      <c r="E204" s="49">
        <v>0</v>
      </c>
      <c r="F204" s="50">
        <v>0</v>
      </c>
      <c r="G204" s="52"/>
    </row>
    <row r="205" spans="2:7">
      <c r="B205" s="44"/>
      <c r="C205" s="53" t="s">
        <v>26</v>
      </c>
      <c r="D205" s="53"/>
      <c r="E205" s="56">
        <v>325.60044218181781</v>
      </c>
      <c r="F205" s="54">
        <v>325.60044218181781</v>
      </c>
      <c r="G205" s="52"/>
    </row>
    <row r="206" spans="2:7">
      <c r="B206" s="44">
        <v>135</v>
      </c>
      <c r="C206" s="39" t="s">
        <v>68</v>
      </c>
      <c r="D206" s="39"/>
      <c r="E206" s="56"/>
      <c r="F206" s="50"/>
      <c r="G206" s="52"/>
    </row>
    <row r="207" spans="2:7">
      <c r="B207" s="44"/>
      <c r="C207" s="48" t="s">
        <v>69</v>
      </c>
      <c r="D207" s="48"/>
      <c r="E207" s="49">
        <v>0</v>
      </c>
      <c r="F207" s="50">
        <v>0</v>
      </c>
      <c r="G207" s="52"/>
    </row>
    <row r="208" spans="2:7">
      <c r="B208" s="44"/>
      <c r="C208" s="48" t="s">
        <v>70</v>
      </c>
      <c r="D208" s="48"/>
      <c r="E208" s="49">
        <v>0</v>
      </c>
      <c r="F208" s="50">
        <v>0</v>
      </c>
      <c r="G208" s="52"/>
    </row>
    <row r="209" spans="2:7">
      <c r="B209" s="44"/>
      <c r="C209" s="48" t="s">
        <v>71</v>
      </c>
      <c r="D209" s="48"/>
      <c r="E209" s="49">
        <v>0</v>
      </c>
      <c r="F209" s="50">
        <v>0</v>
      </c>
      <c r="G209" s="52"/>
    </row>
    <row r="210" spans="2:7">
      <c r="B210" s="44"/>
      <c r="C210" s="48" t="s">
        <v>72</v>
      </c>
      <c r="D210" s="48"/>
      <c r="E210" s="49">
        <v>0</v>
      </c>
      <c r="F210" s="50">
        <v>0</v>
      </c>
      <c r="G210" s="52"/>
    </row>
    <row r="211" spans="2:7">
      <c r="B211" s="44"/>
      <c r="C211" s="48" t="s">
        <v>73</v>
      </c>
      <c r="D211" s="48"/>
      <c r="E211" s="49">
        <v>177.60024119008227</v>
      </c>
      <c r="F211" s="50">
        <v>177.60024119008227</v>
      </c>
      <c r="G211" s="52"/>
    </row>
    <row r="212" spans="2:7">
      <c r="B212" s="44"/>
      <c r="C212" s="48" t="s">
        <v>74</v>
      </c>
      <c r="D212" s="48"/>
      <c r="E212" s="49">
        <v>0</v>
      </c>
      <c r="F212" s="50">
        <v>0</v>
      </c>
      <c r="G212" s="52"/>
    </row>
    <row r="213" spans="2:7">
      <c r="B213" s="44"/>
      <c r="C213" s="48" t="s">
        <v>75</v>
      </c>
      <c r="D213" s="48"/>
      <c r="E213" s="49">
        <v>841.13447563636271</v>
      </c>
      <c r="F213" s="50">
        <v>841.13447563636271</v>
      </c>
      <c r="G213" s="52"/>
    </row>
    <row r="214" spans="2:7">
      <c r="B214" s="44"/>
      <c r="C214" s="48" t="s">
        <v>76</v>
      </c>
      <c r="D214" s="48"/>
      <c r="E214" s="49">
        <v>0</v>
      </c>
      <c r="F214" s="50">
        <v>0</v>
      </c>
      <c r="G214" s="52"/>
    </row>
    <row r="215" spans="2:7">
      <c r="B215" s="44"/>
      <c r="C215" s="48" t="s">
        <v>77</v>
      </c>
      <c r="D215" s="48"/>
      <c r="E215" s="49">
        <v>0</v>
      </c>
      <c r="F215" s="50">
        <v>0</v>
      </c>
      <c r="G215" s="52"/>
    </row>
    <row r="216" spans="2:7">
      <c r="B216" s="44"/>
      <c r="C216" s="53" t="s">
        <v>26</v>
      </c>
      <c r="D216" s="53"/>
      <c r="E216" s="56">
        <v>1018.734716826445</v>
      </c>
      <c r="F216" s="54">
        <v>1018.734716826445</v>
      </c>
      <c r="G216" s="52"/>
    </row>
    <row r="217" spans="2:7">
      <c r="B217" s="44">
        <v>136</v>
      </c>
      <c r="C217" s="39" t="s">
        <v>78</v>
      </c>
      <c r="D217" s="39"/>
      <c r="E217" s="56"/>
      <c r="F217" s="50"/>
      <c r="G217" s="52"/>
    </row>
    <row r="218" spans="2:7">
      <c r="B218" s="44"/>
      <c r="C218" s="48" t="s">
        <v>79</v>
      </c>
      <c r="D218" s="48"/>
      <c r="E218" s="49">
        <v>0</v>
      </c>
      <c r="F218" s="50">
        <v>0</v>
      </c>
      <c r="G218" s="52"/>
    </row>
    <row r="219" spans="2:7">
      <c r="B219" s="44"/>
      <c r="C219" s="48" t="s">
        <v>80</v>
      </c>
      <c r="D219" s="48"/>
      <c r="E219" s="49">
        <v>0</v>
      </c>
      <c r="F219" s="50">
        <v>0</v>
      </c>
      <c r="G219" s="52"/>
    </row>
    <row r="220" spans="2:7">
      <c r="B220" s="44"/>
      <c r="C220" s="48" t="s">
        <v>81</v>
      </c>
      <c r="D220" s="48"/>
      <c r="E220" s="49">
        <v>0</v>
      </c>
      <c r="F220" s="50">
        <v>0</v>
      </c>
      <c r="G220" s="52"/>
    </row>
    <row r="221" spans="2:7">
      <c r="B221" s="44"/>
      <c r="C221" s="48" t="s">
        <v>82</v>
      </c>
      <c r="D221" s="48"/>
      <c r="E221" s="49">
        <v>0</v>
      </c>
      <c r="F221" s="50">
        <v>0</v>
      </c>
      <c r="G221" s="52"/>
    </row>
    <row r="222" spans="2:7">
      <c r="B222" s="44"/>
      <c r="C222" s="48" t="s">
        <v>83</v>
      </c>
      <c r="D222" s="48"/>
      <c r="E222" s="49">
        <v>0</v>
      </c>
      <c r="F222" s="50">
        <v>0</v>
      </c>
      <c r="G222" s="52"/>
    </row>
    <row r="223" spans="2:7">
      <c r="B223" s="44"/>
      <c r="C223" s="48" t="s">
        <v>84</v>
      </c>
      <c r="D223" s="48"/>
      <c r="E223" s="49">
        <v>0</v>
      </c>
      <c r="F223" s="50">
        <v>0</v>
      </c>
      <c r="G223" s="52"/>
    </row>
    <row r="224" spans="2:7">
      <c r="B224" s="44"/>
      <c r="C224" s="53" t="s">
        <v>26</v>
      </c>
      <c r="D224" s="53"/>
      <c r="E224" s="56">
        <v>0</v>
      </c>
      <c r="F224" s="54">
        <v>0</v>
      </c>
      <c r="G224" s="52"/>
    </row>
    <row r="225" spans="2:7">
      <c r="B225" s="44">
        <v>142</v>
      </c>
      <c r="C225" s="39" t="s">
        <v>85</v>
      </c>
      <c r="D225" s="39"/>
      <c r="E225" s="56"/>
      <c r="F225" s="50"/>
      <c r="G225" s="52"/>
    </row>
    <row r="226" spans="2:7">
      <c r="B226" s="44"/>
      <c r="C226" s="48" t="s">
        <v>86</v>
      </c>
      <c r="D226" s="48"/>
      <c r="E226" s="49">
        <v>0</v>
      </c>
      <c r="F226" s="50">
        <v>0</v>
      </c>
      <c r="G226" s="52"/>
    </row>
    <row r="227" spans="2:7">
      <c r="B227" s="44"/>
      <c r="C227" s="48" t="s">
        <v>87</v>
      </c>
      <c r="D227" s="48"/>
      <c r="E227" s="49">
        <v>0</v>
      </c>
      <c r="F227" s="50">
        <v>0</v>
      </c>
      <c r="G227" s="52"/>
    </row>
    <row r="228" spans="2:7">
      <c r="B228" s="44"/>
      <c r="C228" s="53" t="s">
        <v>26</v>
      </c>
      <c r="D228" s="53"/>
      <c r="E228" s="56">
        <v>0</v>
      </c>
      <c r="F228" s="54">
        <v>0</v>
      </c>
      <c r="G228" s="52"/>
    </row>
    <row r="229" spans="2:7">
      <c r="B229" s="44">
        <v>144</v>
      </c>
      <c r="C229" s="39" t="s">
        <v>88</v>
      </c>
      <c r="D229" s="39"/>
      <c r="E229" s="49">
        <v>0</v>
      </c>
      <c r="F229" s="54">
        <v>0</v>
      </c>
      <c r="G229" s="52"/>
    </row>
    <row r="230" spans="2:7">
      <c r="B230" s="44">
        <v>221</v>
      </c>
      <c r="C230" s="39" t="s">
        <v>89</v>
      </c>
      <c r="D230" s="39"/>
      <c r="E230" s="49">
        <v>0</v>
      </c>
      <c r="F230" s="54">
        <v>0</v>
      </c>
      <c r="G230" s="52"/>
    </row>
    <row r="231" spans="2:7">
      <c r="B231" s="44">
        <v>222</v>
      </c>
      <c r="C231" s="39" t="s">
        <v>90</v>
      </c>
      <c r="D231" s="39"/>
      <c r="E231" s="49">
        <v>0</v>
      </c>
      <c r="F231" s="54">
        <v>0</v>
      </c>
      <c r="G231" s="52"/>
    </row>
    <row r="232" spans="2:7">
      <c r="B232" s="44">
        <v>224</v>
      </c>
      <c r="C232" s="39" t="s">
        <v>91</v>
      </c>
      <c r="D232" s="39"/>
      <c r="E232" s="49">
        <v>0</v>
      </c>
      <c r="F232" s="54">
        <v>0</v>
      </c>
      <c r="G232" s="52"/>
    </row>
    <row r="233" spans="2:7">
      <c r="B233" s="44">
        <v>225</v>
      </c>
      <c r="C233" s="39" t="s">
        <v>92</v>
      </c>
      <c r="D233" s="39"/>
      <c r="E233" s="49">
        <v>0</v>
      </c>
      <c r="F233" s="54">
        <v>0</v>
      </c>
      <c r="G233" s="38"/>
    </row>
    <row r="234" spans="2:7">
      <c r="B234" s="44">
        <v>226</v>
      </c>
      <c r="C234" s="39" t="s">
        <v>93</v>
      </c>
      <c r="D234" s="39"/>
      <c r="E234" s="49">
        <v>0</v>
      </c>
      <c r="F234" s="54">
        <v>0</v>
      </c>
      <c r="G234" s="60"/>
    </row>
    <row r="235" spans="2:7" ht="15.75" thickBot="1">
      <c r="B235" s="61"/>
      <c r="C235" s="62" t="s">
        <v>94</v>
      </c>
      <c r="D235" s="62"/>
      <c r="E235" s="94">
        <v>0</v>
      </c>
      <c r="F235" s="63">
        <v>0</v>
      </c>
      <c r="G235" s="38"/>
    </row>
    <row r="236" spans="2:7">
      <c r="B236" s="64"/>
      <c r="C236" s="65" t="s">
        <v>95</v>
      </c>
      <c r="D236" s="66"/>
      <c r="E236" s="67">
        <v>2713.3370181818141</v>
      </c>
      <c r="F236" s="68">
        <v>2713.3370181818141</v>
      </c>
      <c r="G236" s="69"/>
    </row>
    <row r="237" spans="2:7" ht="15.75" thickBot="1">
      <c r="B237" s="64"/>
      <c r="C237" s="70"/>
      <c r="D237" s="71"/>
      <c r="E237" s="72"/>
      <c r="F237" s="73"/>
      <c r="G237" s="69"/>
    </row>
    <row r="238" spans="2:7" ht="15.75" thickBot="1">
      <c r="B238" s="64"/>
      <c r="C238" s="70" t="s">
        <v>96</v>
      </c>
      <c r="D238" s="71"/>
      <c r="E238" s="74">
        <v>13761.81686677687</v>
      </c>
      <c r="F238" s="75">
        <v>13761.81686677687</v>
      </c>
      <c r="G238" s="76"/>
    </row>
    <row r="239" spans="2:7" ht="8.25" customHeight="1" thickBot="1">
      <c r="B239" s="77"/>
      <c r="C239" s="81"/>
      <c r="D239" s="81"/>
      <c r="E239" s="78"/>
      <c r="F239" s="78"/>
      <c r="G239" s="79"/>
    </row>
    <row r="240" spans="2:7">
      <c r="B240" s="85"/>
      <c r="C240" s="84"/>
      <c r="D240" s="84"/>
      <c r="E240" s="85"/>
      <c r="F240" s="85"/>
      <c r="G240" s="85"/>
    </row>
    <row r="241" spans="1:7" ht="6" customHeight="1" thickBot="1"/>
    <row r="242" spans="1:7">
      <c r="B242" s="1"/>
      <c r="C242" s="2"/>
      <c r="D242" s="2"/>
      <c r="E242" s="2"/>
      <c r="F242" s="2"/>
      <c r="G242" s="3"/>
    </row>
    <row r="243" spans="1:7">
      <c r="B243" s="4"/>
      <c r="C243" s="5"/>
      <c r="D243" s="5"/>
      <c r="E243" s="5"/>
      <c r="F243" s="5"/>
      <c r="G243" s="6"/>
    </row>
    <row r="244" spans="1:7">
      <c r="B244" s="4"/>
      <c r="C244" s="5"/>
      <c r="D244" s="5"/>
      <c r="E244" s="5"/>
      <c r="F244" s="5"/>
      <c r="G244" s="6"/>
    </row>
    <row r="245" spans="1:7">
      <c r="B245" s="4"/>
      <c r="C245" s="5"/>
      <c r="D245" s="5"/>
      <c r="E245" s="5"/>
      <c r="F245" s="5"/>
      <c r="G245" s="6"/>
    </row>
    <row r="246" spans="1:7">
      <c r="B246" s="4"/>
      <c r="C246" s="5"/>
      <c r="D246" s="5"/>
      <c r="E246" s="5"/>
      <c r="F246" s="5"/>
      <c r="G246" s="6"/>
    </row>
    <row r="247" spans="1:7" ht="16.5" customHeight="1">
      <c r="B247" s="4"/>
      <c r="C247" s="5"/>
      <c r="D247" s="5"/>
      <c r="E247" s="5"/>
      <c r="F247" s="5"/>
      <c r="G247" s="6"/>
    </row>
    <row r="248" spans="1:7" ht="22.5" customHeight="1" thickBot="1">
      <c r="B248" s="4"/>
      <c r="C248" s="95" t="s">
        <v>0</v>
      </c>
      <c r="D248" s="95"/>
      <c r="E248" s="95"/>
      <c r="F248" s="5"/>
      <c r="G248" s="6"/>
    </row>
    <row r="249" spans="1:7" ht="21" thickTop="1">
      <c r="B249" s="4"/>
      <c r="C249" s="7"/>
      <c r="D249" s="7"/>
      <c r="E249" s="5"/>
      <c r="F249" s="5"/>
      <c r="G249" s="6"/>
    </row>
    <row r="250" spans="1:7">
      <c r="B250" s="8" t="s">
        <v>1</v>
      </c>
      <c r="C250" s="9" t="s">
        <v>97</v>
      </c>
      <c r="D250" s="5"/>
      <c r="E250" s="10" t="s">
        <v>2</v>
      </c>
      <c r="F250" s="9" t="s">
        <v>98</v>
      </c>
      <c r="G250" s="6"/>
    </row>
    <row r="251" spans="1:7" ht="3.75" customHeight="1">
      <c r="A251" s="80"/>
      <c r="B251" s="5"/>
      <c r="C251" s="5"/>
      <c r="D251" s="5"/>
      <c r="E251" s="11"/>
      <c r="F251" s="5"/>
      <c r="G251" s="6"/>
    </row>
    <row r="252" spans="1:7">
      <c r="A252" s="80"/>
      <c r="B252" s="12" t="s">
        <v>3</v>
      </c>
      <c r="C252" s="9" t="s">
        <v>99</v>
      </c>
      <c r="D252" s="5"/>
      <c r="E252" s="10" t="s">
        <v>4</v>
      </c>
      <c r="F252" s="82" t="s">
        <v>100</v>
      </c>
      <c r="G252" s="6"/>
    </row>
    <row r="253" spans="1:7" ht="3.75" customHeight="1">
      <c r="A253" s="80"/>
      <c r="B253" s="5"/>
      <c r="C253" s="5"/>
      <c r="D253" s="5"/>
      <c r="E253" s="11"/>
      <c r="F253" s="5"/>
      <c r="G253" s="6"/>
    </row>
    <row r="254" spans="1:7">
      <c r="A254" s="80"/>
      <c r="B254" s="10" t="s">
        <v>5</v>
      </c>
      <c r="C254" s="9" t="s">
        <v>101</v>
      </c>
      <c r="D254" s="5"/>
      <c r="E254" s="10" t="s">
        <v>6</v>
      </c>
      <c r="F254" s="9" t="s">
        <v>107</v>
      </c>
      <c r="G254" s="6"/>
    </row>
    <row r="255" spans="1:7" ht="4.5" customHeight="1">
      <c r="A255" s="80"/>
      <c r="B255" s="13"/>
      <c r="C255" s="5"/>
      <c r="D255" s="5"/>
      <c r="E255" s="11"/>
      <c r="F255" s="5"/>
      <c r="G255" s="6"/>
    </row>
    <row r="256" spans="1:7">
      <c r="A256" s="80"/>
      <c r="B256" s="10" t="s">
        <v>7</v>
      </c>
      <c r="C256" s="9" t="s">
        <v>122</v>
      </c>
      <c r="D256" s="5"/>
      <c r="E256" s="11"/>
      <c r="F256" s="5"/>
      <c r="G256" s="6"/>
    </row>
    <row r="257" spans="1:7" ht="3.75" customHeight="1">
      <c r="A257" s="80"/>
      <c r="B257" s="5"/>
      <c r="C257" s="5"/>
      <c r="D257" s="5"/>
      <c r="E257" s="11"/>
      <c r="F257" s="5"/>
      <c r="G257" s="6"/>
    </row>
    <row r="258" spans="1:7">
      <c r="B258" s="14" t="s">
        <v>8</v>
      </c>
      <c r="C258" s="15" t="s">
        <v>105</v>
      </c>
      <c r="D258" s="5"/>
      <c r="E258" s="86" t="s">
        <v>109</v>
      </c>
      <c r="F258" s="87">
        <v>45352</v>
      </c>
      <c r="G258" s="6"/>
    </row>
    <row r="259" spans="1:7">
      <c r="B259" s="16" t="s">
        <v>9</v>
      </c>
      <c r="C259" s="17" t="s">
        <v>130</v>
      </c>
      <c r="D259" s="5"/>
      <c r="E259" s="88" t="s">
        <v>110</v>
      </c>
      <c r="F259" s="89">
        <v>45382</v>
      </c>
      <c r="G259" s="18"/>
    </row>
    <row r="260" spans="1:7" ht="15.75" thickBot="1">
      <c r="B260" s="4"/>
      <c r="C260" s="19"/>
      <c r="D260" s="19"/>
      <c r="E260" s="20"/>
      <c r="F260" s="21"/>
      <c r="G260" s="18"/>
    </row>
    <row r="261" spans="1:7" ht="18.75" thickBot="1">
      <c r="B261" s="4"/>
      <c r="C261" s="22" t="s">
        <v>10</v>
      </c>
      <c r="D261" s="23"/>
      <c r="E261" s="24"/>
      <c r="F261" s="25" t="s">
        <v>11</v>
      </c>
      <c r="G261" s="18"/>
    </row>
    <row r="262" spans="1:7">
      <c r="B262" s="4"/>
      <c r="C262" s="26" t="s">
        <v>12</v>
      </c>
      <c r="D262" s="26"/>
      <c r="E262" s="27">
        <v>13761.81686677687</v>
      </c>
      <c r="F262" s="28">
        <v>13761.81686677687</v>
      </c>
      <c r="G262" s="29"/>
    </row>
    <row r="263" spans="1:7">
      <c r="B263" s="30">
        <v>143</v>
      </c>
      <c r="C263" s="31" t="s">
        <v>13</v>
      </c>
      <c r="D263" s="31"/>
      <c r="E263" s="27">
        <v>4578.6174545454505</v>
      </c>
      <c r="F263" s="32">
        <v>4578.6174545454505</v>
      </c>
      <c r="G263" s="33"/>
    </row>
    <row r="264" spans="1:7">
      <c r="B264" s="30"/>
      <c r="C264" s="34" t="s">
        <v>14</v>
      </c>
      <c r="D264" s="34"/>
      <c r="E264" s="27">
        <v>0</v>
      </c>
      <c r="F264" s="32">
        <v>0</v>
      </c>
      <c r="G264" s="33"/>
    </row>
    <row r="265" spans="1:7">
      <c r="B265" s="30"/>
      <c r="C265" s="34" t="s">
        <v>15</v>
      </c>
      <c r="D265" s="34"/>
      <c r="E265" s="27">
        <v>0</v>
      </c>
      <c r="F265" s="32">
        <v>0</v>
      </c>
      <c r="G265" s="33"/>
    </row>
    <row r="266" spans="1:7">
      <c r="B266" s="30"/>
      <c r="C266" s="34" t="s">
        <v>16</v>
      </c>
      <c r="D266" s="34"/>
      <c r="E266" s="27">
        <v>0</v>
      </c>
      <c r="F266" s="32">
        <v>0</v>
      </c>
      <c r="G266" s="33"/>
    </row>
    <row r="267" spans="1:7">
      <c r="B267" s="30"/>
      <c r="C267" s="34" t="s">
        <v>17</v>
      </c>
      <c r="D267" s="34"/>
      <c r="E267" s="27">
        <v>0</v>
      </c>
      <c r="F267" s="32">
        <v>0</v>
      </c>
      <c r="G267" s="33"/>
    </row>
    <row r="268" spans="1:7">
      <c r="B268" s="30"/>
      <c r="C268" s="35" t="s">
        <v>18</v>
      </c>
      <c r="D268" s="35"/>
      <c r="E268" s="36">
        <v>18340.434321322318</v>
      </c>
      <c r="F268" s="37">
        <v>18340.434321322318</v>
      </c>
      <c r="G268" s="38"/>
    </row>
    <row r="269" spans="1:7" ht="15.75" thickBot="1">
      <c r="B269" s="30"/>
      <c r="C269" s="39"/>
      <c r="D269" s="39"/>
      <c r="E269" s="40"/>
      <c r="F269" s="41"/>
      <c r="G269" s="38"/>
    </row>
    <row r="270" spans="1:7" ht="18.75" thickBot="1">
      <c r="B270" s="30"/>
      <c r="C270" s="22" t="s">
        <v>19</v>
      </c>
      <c r="D270" s="23"/>
      <c r="E270" s="42"/>
      <c r="F270" s="43"/>
      <c r="G270" s="38"/>
    </row>
    <row r="271" spans="1:7">
      <c r="B271" s="44">
        <v>121</v>
      </c>
      <c r="C271" s="39" t="s">
        <v>20</v>
      </c>
      <c r="D271" s="39"/>
      <c r="E271" s="45"/>
      <c r="F271" s="46"/>
      <c r="G271" s="47"/>
    </row>
    <row r="272" spans="1:7">
      <c r="B272" s="44"/>
      <c r="C272" s="48" t="s">
        <v>21</v>
      </c>
      <c r="D272" s="48"/>
      <c r="E272" s="49">
        <v>0</v>
      </c>
      <c r="F272" s="50">
        <v>0</v>
      </c>
      <c r="G272" s="47"/>
    </row>
    <row r="273" spans="2:7">
      <c r="B273" s="44"/>
      <c r="C273" s="48" t="s">
        <v>22</v>
      </c>
      <c r="D273" s="48"/>
      <c r="E273" s="49">
        <v>0</v>
      </c>
      <c r="F273" s="50">
        <v>0</v>
      </c>
      <c r="G273" s="47"/>
    </row>
    <row r="274" spans="2:7">
      <c r="B274" s="51"/>
      <c r="C274" s="48" t="s">
        <v>23</v>
      </c>
      <c r="D274" s="48"/>
      <c r="E274" s="49">
        <v>0</v>
      </c>
      <c r="F274" s="50">
        <v>0</v>
      </c>
      <c r="G274" s="52"/>
    </row>
    <row r="275" spans="2:7">
      <c r="B275" s="51"/>
      <c r="C275" s="48" t="s">
        <v>24</v>
      </c>
      <c r="D275" s="48"/>
      <c r="E275" s="49">
        <v>814.0011054545447</v>
      </c>
      <c r="F275" s="50">
        <v>814.0011054545447</v>
      </c>
      <c r="G275" s="52"/>
    </row>
    <row r="276" spans="2:7">
      <c r="B276" s="44"/>
      <c r="C276" s="48" t="s">
        <v>25</v>
      </c>
      <c r="D276" s="48"/>
      <c r="E276" s="49">
        <v>0</v>
      </c>
      <c r="F276" s="50">
        <v>0</v>
      </c>
      <c r="G276" s="52"/>
    </row>
    <row r="277" spans="2:7">
      <c r="B277" s="44"/>
      <c r="C277" s="53" t="s">
        <v>26</v>
      </c>
      <c r="D277" s="53"/>
      <c r="E277" s="36">
        <v>814.0011054545447</v>
      </c>
      <c r="F277" s="54">
        <v>814.0011054545447</v>
      </c>
      <c r="G277" s="52"/>
    </row>
    <row r="278" spans="2:7">
      <c r="B278" s="44">
        <v>122</v>
      </c>
      <c r="C278" s="39" t="s">
        <v>27</v>
      </c>
      <c r="D278" s="39"/>
      <c r="E278" s="36"/>
      <c r="F278" s="50"/>
      <c r="G278" s="55"/>
    </row>
    <row r="279" spans="2:7">
      <c r="B279" s="44"/>
      <c r="C279" s="48" t="s">
        <v>28</v>
      </c>
      <c r="D279" s="48"/>
      <c r="E279" s="49">
        <v>0</v>
      </c>
      <c r="F279" s="50">
        <v>0</v>
      </c>
      <c r="G279" s="52"/>
    </row>
    <row r="280" spans="2:7">
      <c r="B280" s="44"/>
      <c r="C280" s="48" t="s">
        <v>29</v>
      </c>
      <c r="D280" s="48"/>
      <c r="E280" s="49">
        <v>0</v>
      </c>
      <c r="F280" s="50">
        <v>0</v>
      </c>
      <c r="G280" s="52"/>
    </row>
    <row r="281" spans="2:7">
      <c r="B281" s="44"/>
      <c r="C281" s="48" t="s">
        <v>30</v>
      </c>
      <c r="D281" s="48"/>
      <c r="E281" s="49">
        <v>0</v>
      </c>
      <c r="F281" s="50">
        <v>0</v>
      </c>
      <c r="G281" s="52"/>
    </row>
    <row r="282" spans="2:7">
      <c r="B282" s="44"/>
      <c r="C282" s="48" t="s">
        <v>31</v>
      </c>
      <c r="D282" s="48"/>
      <c r="E282" s="49">
        <v>0</v>
      </c>
      <c r="F282" s="50">
        <v>0</v>
      </c>
      <c r="G282" s="52"/>
    </row>
    <row r="283" spans="2:7">
      <c r="B283" s="44"/>
      <c r="C283" s="48" t="s">
        <v>32</v>
      </c>
      <c r="D283" s="48"/>
      <c r="E283" s="49">
        <v>271.33370181818157</v>
      </c>
      <c r="F283" s="50">
        <v>271.33370181818157</v>
      </c>
      <c r="G283" s="52"/>
    </row>
    <row r="284" spans="2:7">
      <c r="B284" s="44"/>
      <c r="C284" s="48" t="s">
        <v>33</v>
      </c>
      <c r="D284" s="48"/>
      <c r="E284" s="49">
        <v>0</v>
      </c>
      <c r="F284" s="50">
        <v>0</v>
      </c>
      <c r="G284" s="52"/>
    </row>
    <row r="285" spans="2:7">
      <c r="B285" s="44"/>
      <c r="C285" s="48" t="s">
        <v>34</v>
      </c>
      <c r="D285" s="48"/>
      <c r="E285" s="49">
        <v>0</v>
      </c>
      <c r="F285" s="50">
        <v>0</v>
      </c>
      <c r="G285" s="52"/>
    </row>
    <row r="286" spans="2:7">
      <c r="B286" s="44"/>
      <c r="C286" s="48" t="s">
        <v>35</v>
      </c>
      <c r="D286" s="48"/>
      <c r="E286" s="49">
        <v>0</v>
      </c>
      <c r="F286" s="50">
        <v>0</v>
      </c>
      <c r="G286" s="52"/>
    </row>
    <row r="287" spans="2:7">
      <c r="B287" s="44"/>
      <c r="C287" s="53" t="s">
        <v>26</v>
      </c>
      <c r="D287" s="53"/>
      <c r="E287" s="36">
        <v>271.33370181818157</v>
      </c>
      <c r="F287" s="54">
        <v>271.33370181818157</v>
      </c>
      <c r="G287" s="52"/>
    </row>
    <row r="288" spans="2:7">
      <c r="B288" s="44">
        <v>123</v>
      </c>
      <c r="C288" s="39" t="s">
        <v>36</v>
      </c>
      <c r="D288" s="39"/>
      <c r="E288" s="56"/>
      <c r="F288" s="57"/>
      <c r="G288" s="52"/>
    </row>
    <row r="289" spans="2:7">
      <c r="B289" s="44"/>
      <c r="C289" s="48" t="s">
        <v>37</v>
      </c>
      <c r="D289" s="48"/>
      <c r="E289" s="49">
        <v>222.00030148760285</v>
      </c>
      <c r="F289" s="50">
        <v>222.00030148760285</v>
      </c>
      <c r="G289" s="52"/>
    </row>
    <row r="290" spans="2:7">
      <c r="B290" s="44"/>
      <c r="C290" s="48" t="s">
        <v>38</v>
      </c>
      <c r="D290" s="48"/>
      <c r="E290" s="49">
        <v>1825.3358122314014</v>
      </c>
      <c r="F290" s="50">
        <v>1825.3358122314014</v>
      </c>
      <c r="G290" s="52"/>
    </row>
    <row r="291" spans="2:7">
      <c r="B291" s="44"/>
      <c r="C291" s="48" t="s">
        <v>39</v>
      </c>
      <c r="D291" s="48"/>
      <c r="E291" s="49">
        <v>222.00030148760285</v>
      </c>
      <c r="F291" s="50">
        <v>222.00030148760285</v>
      </c>
      <c r="G291" s="52"/>
    </row>
    <row r="292" spans="2:7">
      <c r="B292" s="44"/>
      <c r="C292" s="48" t="s">
        <v>40</v>
      </c>
      <c r="D292" s="48"/>
      <c r="E292" s="49">
        <v>0</v>
      </c>
      <c r="F292" s="50">
        <v>0</v>
      </c>
      <c r="G292" s="52"/>
    </row>
    <row r="293" spans="2:7">
      <c r="B293" s="44"/>
      <c r="C293" s="48" t="s">
        <v>41</v>
      </c>
      <c r="D293" s="48"/>
      <c r="E293" s="49">
        <v>0</v>
      </c>
      <c r="F293" s="50">
        <v>0</v>
      </c>
      <c r="G293" s="52"/>
    </row>
    <row r="294" spans="2:7">
      <c r="B294" s="44"/>
      <c r="C294" s="48" t="s">
        <v>42</v>
      </c>
      <c r="D294" s="48"/>
      <c r="E294" s="49">
        <v>444.00060297520571</v>
      </c>
      <c r="F294" s="50">
        <v>444.00060297520571</v>
      </c>
      <c r="G294" s="52"/>
    </row>
    <row r="295" spans="2:7">
      <c r="B295" s="44"/>
      <c r="C295" s="53" t="s">
        <v>26</v>
      </c>
      <c r="D295" s="53"/>
      <c r="E295" s="36">
        <v>2713.3370181818127</v>
      </c>
      <c r="F295" s="54">
        <v>2713.3370181818127</v>
      </c>
      <c r="G295" s="52"/>
    </row>
    <row r="296" spans="2:7">
      <c r="B296" s="44">
        <v>124</v>
      </c>
      <c r="C296" s="39" t="s">
        <v>43</v>
      </c>
      <c r="D296" s="39"/>
      <c r="E296" s="56"/>
      <c r="F296" s="57"/>
      <c r="G296" s="52"/>
    </row>
    <row r="297" spans="2:7">
      <c r="B297" s="44"/>
      <c r="C297" s="48" t="s">
        <v>44</v>
      </c>
      <c r="D297" s="48"/>
      <c r="E297" s="49">
        <v>0</v>
      </c>
      <c r="F297" s="50">
        <v>0</v>
      </c>
      <c r="G297" s="52"/>
    </row>
    <row r="298" spans="2:7">
      <c r="B298" s="44"/>
      <c r="C298" s="48" t="s">
        <v>45</v>
      </c>
      <c r="D298" s="48"/>
      <c r="E298" s="49">
        <v>2102.8361890909068</v>
      </c>
      <c r="F298" s="50">
        <v>2102.8361890909068</v>
      </c>
      <c r="G298" s="52"/>
    </row>
    <row r="299" spans="2:7">
      <c r="B299" s="44"/>
      <c r="C299" s="48" t="s">
        <v>46</v>
      </c>
      <c r="D299" s="48"/>
      <c r="E299" s="49">
        <v>0</v>
      </c>
      <c r="F299" s="50">
        <v>0</v>
      </c>
      <c r="G299" s="52"/>
    </row>
    <row r="300" spans="2:7">
      <c r="B300" s="44"/>
      <c r="C300" s="53" t="s">
        <v>26</v>
      </c>
      <c r="D300" s="53"/>
      <c r="E300" s="36">
        <v>2102.8361890909068</v>
      </c>
      <c r="F300" s="54">
        <v>2102.8361890909068</v>
      </c>
      <c r="G300" s="52"/>
    </row>
    <row r="301" spans="2:7">
      <c r="B301" s="44">
        <v>125</v>
      </c>
      <c r="C301" s="39" t="s">
        <v>47</v>
      </c>
      <c r="D301" s="39"/>
      <c r="E301" s="36"/>
      <c r="F301" s="50"/>
      <c r="G301" s="52"/>
    </row>
    <row r="302" spans="2:7">
      <c r="B302" s="44"/>
      <c r="C302" s="48" t="s">
        <v>48</v>
      </c>
      <c r="D302" s="48"/>
      <c r="E302" s="58">
        <v>0</v>
      </c>
      <c r="F302" s="50">
        <v>0</v>
      </c>
      <c r="G302" s="52"/>
    </row>
    <row r="303" spans="2:7">
      <c r="B303" s="44"/>
      <c r="C303" s="48" t="s">
        <v>49</v>
      </c>
      <c r="D303" s="48"/>
      <c r="E303" s="58">
        <v>0</v>
      </c>
      <c r="F303" s="50">
        <v>0</v>
      </c>
      <c r="G303" s="52"/>
    </row>
    <row r="304" spans="2:7">
      <c r="B304" s="44"/>
      <c r="C304" s="48" t="s">
        <v>50</v>
      </c>
      <c r="D304" s="48"/>
      <c r="E304" s="58">
        <v>881.83453090909018</v>
      </c>
      <c r="F304" s="50">
        <v>881.83453090909018</v>
      </c>
      <c r="G304" s="52"/>
    </row>
    <row r="305" spans="2:7">
      <c r="B305" s="44"/>
      <c r="C305" s="48" t="s">
        <v>51</v>
      </c>
      <c r="D305" s="48"/>
      <c r="E305" s="58">
        <v>0</v>
      </c>
      <c r="F305" s="50">
        <v>0</v>
      </c>
      <c r="G305" s="52"/>
    </row>
    <row r="306" spans="2:7">
      <c r="B306" s="44"/>
      <c r="C306" s="53" t="s">
        <v>26</v>
      </c>
      <c r="D306" s="53"/>
      <c r="E306" s="56">
        <v>881.83453090909018</v>
      </c>
      <c r="F306" s="54">
        <v>881.83453090909018</v>
      </c>
      <c r="G306" s="52"/>
    </row>
    <row r="307" spans="2:7">
      <c r="B307" s="44">
        <v>126</v>
      </c>
      <c r="C307" s="39" t="s">
        <v>52</v>
      </c>
      <c r="D307" s="39"/>
      <c r="E307" s="56"/>
      <c r="F307" s="50"/>
      <c r="G307" s="52"/>
    </row>
    <row r="308" spans="2:7">
      <c r="B308" s="44"/>
      <c r="C308" s="48" t="s">
        <v>53</v>
      </c>
      <c r="D308" s="48"/>
      <c r="E308" s="49">
        <v>0</v>
      </c>
      <c r="F308" s="50">
        <v>0</v>
      </c>
      <c r="G308" s="52"/>
    </row>
    <row r="309" spans="2:7">
      <c r="B309" s="44"/>
      <c r="C309" s="48" t="s">
        <v>54</v>
      </c>
      <c r="D309" s="48"/>
      <c r="E309" s="49">
        <v>0</v>
      </c>
      <c r="F309" s="50"/>
      <c r="G309" s="52"/>
    </row>
    <row r="310" spans="2:7">
      <c r="B310" s="44"/>
      <c r="C310" s="48" t="s">
        <v>55</v>
      </c>
      <c r="D310" s="48"/>
      <c r="E310" s="49">
        <v>0</v>
      </c>
      <c r="F310" s="50"/>
      <c r="G310" s="52"/>
    </row>
    <row r="311" spans="2:7">
      <c r="B311" s="44"/>
      <c r="C311" s="48" t="s">
        <v>56</v>
      </c>
      <c r="D311" s="48"/>
      <c r="E311" s="49">
        <v>0</v>
      </c>
      <c r="F311" s="57"/>
      <c r="G311" s="52"/>
    </row>
    <row r="312" spans="2:7">
      <c r="B312" s="44"/>
      <c r="C312" s="53" t="s">
        <v>26</v>
      </c>
      <c r="D312" s="53"/>
      <c r="E312" s="56">
        <v>0</v>
      </c>
      <c r="F312" s="54">
        <v>0</v>
      </c>
      <c r="G312" s="52"/>
    </row>
    <row r="313" spans="2:7">
      <c r="B313" s="44">
        <v>127</v>
      </c>
      <c r="C313" s="39" t="s">
        <v>57</v>
      </c>
      <c r="D313" s="39"/>
      <c r="E313" s="56"/>
      <c r="F313" s="54"/>
      <c r="G313" s="52"/>
    </row>
    <row r="314" spans="2:7">
      <c r="B314" s="44"/>
      <c r="C314" s="48" t="s">
        <v>58</v>
      </c>
      <c r="D314" s="48"/>
      <c r="E314" s="49">
        <v>0</v>
      </c>
      <c r="F314" s="50">
        <v>0</v>
      </c>
      <c r="G314" s="52"/>
    </row>
    <row r="315" spans="2:7">
      <c r="B315" s="44"/>
      <c r="C315" s="48" t="s">
        <v>59</v>
      </c>
      <c r="D315" s="48"/>
      <c r="E315" s="49">
        <v>0</v>
      </c>
      <c r="F315" s="50">
        <v>0</v>
      </c>
      <c r="G315" s="52"/>
    </row>
    <row r="316" spans="2:7">
      <c r="B316" s="44"/>
      <c r="C316" s="48" t="s">
        <v>60</v>
      </c>
      <c r="D316" s="48"/>
      <c r="E316" s="49">
        <v>0</v>
      </c>
      <c r="F316" s="50">
        <v>0</v>
      </c>
      <c r="G316" s="52"/>
    </row>
    <row r="317" spans="2:7">
      <c r="B317" s="44"/>
      <c r="C317" s="59" t="s">
        <v>61</v>
      </c>
      <c r="D317" s="59"/>
      <c r="E317" s="49">
        <v>0</v>
      </c>
      <c r="F317" s="50">
        <v>0</v>
      </c>
      <c r="G317" s="52"/>
    </row>
    <row r="318" spans="2:7">
      <c r="B318" s="44"/>
      <c r="C318" s="53" t="s">
        <v>26</v>
      </c>
      <c r="D318" s="53"/>
      <c r="E318" s="56">
        <v>0</v>
      </c>
      <c r="F318" s="54">
        <v>0</v>
      </c>
      <c r="G318" s="52"/>
    </row>
    <row r="319" spans="2:7">
      <c r="B319" s="44">
        <v>128</v>
      </c>
      <c r="C319" s="39" t="s">
        <v>62</v>
      </c>
      <c r="D319" s="39"/>
      <c r="E319" s="56"/>
      <c r="F319" s="54"/>
      <c r="G319" s="52"/>
    </row>
    <row r="320" spans="2:7">
      <c r="B320" s="44"/>
      <c r="C320" s="48" t="s">
        <v>63</v>
      </c>
      <c r="D320" s="48"/>
      <c r="E320" s="49">
        <v>0</v>
      </c>
      <c r="F320" s="50">
        <v>0</v>
      </c>
      <c r="G320" s="52"/>
    </row>
    <row r="321" spans="2:7">
      <c r="B321" s="44"/>
      <c r="C321" s="48" t="s">
        <v>64</v>
      </c>
      <c r="D321" s="48"/>
      <c r="E321" s="49">
        <v>0</v>
      </c>
      <c r="F321" s="50">
        <v>0</v>
      </c>
      <c r="G321" s="52"/>
    </row>
    <row r="322" spans="2:7">
      <c r="B322" s="44"/>
      <c r="C322" s="48" t="s">
        <v>65</v>
      </c>
      <c r="D322" s="48"/>
      <c r="E322" s="49">
        <v>0</v>
      </c>
      <c r="F322" s="50">
        <v>0</v>
      </c>
      <c r="G322" s="52"/>
    </row>
    <row r="323" spans="2:7">
      <c r="B323" s="44"/>
      <c r="C323" s="48" t="s">
        <v>66</v>
      </c>
      <c r="D323" s="48"/>
      <c r="E323" s="49">
        <v>0</v>
      </c>
      <c r="F323" s="50">
        <v>0</v>
      </c>
      <c r="G323" s="52"/>
    </row>
    <row r="324" spans="2:7">
      <c r="B324" s="44"/>
      <c r="C324" s="48" t="s">
        <v>67</v>
      </c>
      <c r="D324" s="48"/>
      <c r="E324" s="49">
        <v>0</v>
      </c>
      <c r="F324" s="50">
        <v>0</v>
      </c>
      <c r="G324" s="52"/>
    </row>
    <row r="325" spans="2:7">
      <c r="B325" s="44"/>
      <c r="C325" s="53" t="s">
        <v>26</v>
      </c>
      <c r="D325" s="53"/>
      <c r="E325" s="56">
        <v>0</v>
      </c>
      <c r="F325" s="54">
        <v>0</v>
      </c>
      <c r="G325" s="52"/>
    </row>
    <row r="326" spans="2:7">
      <c r="B326" s="44">
        <v>135</v>
      </c>
      <c r="C326" s="39" t="s">
        <v>68</v>
      </c>
      <c r="D326" s="39"/>
      <c r="E326" s="56"/>
      <c r="F326" s="50"/>
      <c r="G326" s="52"/>
    </row>
    <row r="327" spans="2:7">
      <c r="B327" s="44"/>
      <c r="C327" s="48" t="s">
        <v>69</v>
      </c>
      <c r="D327" s="48"/>
      <c r="E327" s="49">
        <v>0</v>
      </c>
      <c r="F327" s="50">
        <v>0</v>
      </c>
      <c r="G327" s="52"/>
    </row>
    <row r="328" spans="2:7">
      <c r="B328" s="44"/>
      <c r="C328" s="48" t="s">
        <v>70</v>
      </c>
      <c r="D328" s="48"/>
      <c r="E328" s="49">
        <v>0</v>
      </c>
      <c r="F328" s="50">
        <v>0</v>
      </c>
      <c r="G328" s="52"/>
    </row>
    <row r="329" spans="2:7">
      <c r="B329" s="44"/>
      <c r="C329" s="48" t="s">
        <v>71</v>
      </c>
      <c r="D329" s="48"/>
      <c r="E329" s="49">
        <v>0</v>
      </c>
      <c r="F329" s="50">
        <v>0</v>
      </c>
      <c r="G329" s="52"/>
    </row>
    <row r="330" spans="2:7">
      <c r="B330" s="44"/>
      <c r="C330" s="48" t="s">
        <v>72</v>
      </c>
      <c r="D330" s="48"/>
      <c r="E330" s="49">
        <v>0</v>
      </c>
      <c r="F330" s="50">
        <v>0</v>
      </c>
      <c r="G330" s="52"/>
    </row>
    <row r="331" spans="2:7">
      <c r="B331" s="44"/>
      <c r="C331" s="48" t="s">
        <v>73</v>
      </c>
      <c r="D331" s="48"/>
      <c r="E331" s="49">
        <v>0</v>
      </c>
      <c r="F331" s="50">
        <v>0</v>
      </c>
      <c r="G331" s="52"/>
    </row>
    <row r="332" spans="2:7">
      <c r="B332" s="44"/>
      <c r="C332" s="48" t="s">
        <v>74</v>
      </c>
      <c r="D332" s="48"/>
      <c r="E332" s="49">
        <v>0</v>
      </c>
      <c r="F332" s="50">
        <v>0</v>
      </c>
      <c r="G332" s="52"/>
    </row>
    <row r="333" spans="2:7">
      <c r="B333" s="44"/>
      <c r="C333" s="48" t="s">
        <v>75</v>
      </c>
      <c r="D333" s="48"/>
      <c r="E333" s="49">
        <v>0</v>
      </c>
      <c r="F333" s="50">
        <v>0</v>
      </c>
      <c r="G333" s="52"/>
    </row>
    <row r="334" spans="2:7">
      <c r="B334" s="44"/>
      <c r="C334" s="48" t="s">
        <v>76</v>
      </c>
      <c r="D334" s="48"/>
      <c r="E334" s="49">
        <v>0</v>
      </c>
      <c r="F334" s="50">
        <v>0</v>
      </c>
      <c r="G334" s="52"/>
    </row>
    <row r="335" spans="2:7">
      <c r="B335" s="44"/>
      <c r="C335" s="48" t="s">
        <v>77</v>
      </c>
      <c r="D335" s="48"/>
      <c r="E335" s="49">
        <v>0</v>
      </c>
      <c r="F335" s="50">
        <v>0</v>
      </c>
      <c r="G335" s="52"/>
    </row>
    <row r="336" spans="2:7">
      <c r="B336" s="44"/>
      <c r="C336" s="53" t="s">
        <v>26</v>
      </c>
      <c r="D336" s="53"/>
      <c r="E336" s="56">
        <v>0</v>
      </c>
      <c r="F336" s="54">
        <v>0</v>
      </c>
      <c r="G336" s="52"/>
    </row>
    <row r="337" spans="2:7">
      <c r="B337" s="44">
        <v>136</v>
      </c>
      <c r="C337" s="39" t="s">
        <v>78</v>
      </c>
      <c r="D337" s="39"/>
      <c r="E337" s="56"/>
      <c r="F337" s="50"/>
      <c r="G337" s="52"/>
    </row>
    <row r="338" spans="2:7">
      <c r="B338" s="44"/>
      <c r="C338" s="48" t="s">
        <v>79</v>
      </c>
      <c r="D338" s="48"/>
      <c r="E338" s="49">
        <v>0</v>
      </c>
      <c r="F338" s="50">
        <v>0</v>
      </c>
      <c r="G338" s="52"/>
    </row>
    <row r="339" spans="2:7">
      <c r="B339" s="44"/>
      <c r="C339" s="48" t="s">
        <v>80</v>
      </c>
      <c r="D339" s="48"/>
      <c r="E339" s="49">
        <v>0</v>
      </c>
      <c r="F339" s="50">
        <v>0</v>
      </c>
      <c r="G339" s="52"/>
    </row>
    <row r="340" spans="2:7">
      <c r="B340" s="44"/>
      <c r="C340" s="48" t="s">
        <v>81</v>
      </c>
      <c r="D340" s="48"/>
      <c r="E340" s="49">
        <v>0</v>
      </c>
      <c r="F340" s="50">
        <v>0</v>
      </c>
      <c r="G340" s="52"/>
    </row>
    <row r="341" spans="2:7">
      <c r="B341" s="44"/>
      <c r="C341" s="48" t="s">
        <v>82</v>
      </c>
      <c r="D341" s="48"/>
      <c r="E341" s="49">
        <v>0</v>
      </c>
      <c r="F341" s="50">
        <v>0</v>
      </c>
      <c r="G341" s="52"/>
    </row>
    <row r="342" spans="2:7">
      <c r="B342" s="44"/>
      <c r="C342" s="48" t="s">
        <v>83</v>
      </c>
      <c r="D342" s="48"/>
      <c r="E342" s="49">
        <v>0</v>
      </c>
      <c r="F342" s="50">
        <v>0</v>
      </c>
      <c r="G342" s="52"/>
    </row>
    <row r="343" spans="2:7">
      <c r="B343" s="44"/>
      <c r="C343" s="48" t="s">
        <v>84</v>
      </c>
      <c r="D343" s="48"/>
      <c r="E343" s="49">
        <v>0</v>
      </c>
      <c r="F343" s="50">
        <v>0</v>
      </c>
      <c r="G343" s="52"/>
    </row>
    <row r="344" spans="2:7">
      <c r="B344" s="44"/>
      <c r="C344" s="53" t="s">
        <v>26</v>
      </c>
      <c r="D344" s="53"/>
      <c r="E344" s="56">
        <v>0</v>
      </c>
      <c r="F344" s="54">
        <v>0</v>
      </c>
      <c r="G344" s="52"/>
    </row>
    <row r="345" spans="2:7">
      <c r="B345" s="44">
        <v>142</v>
      </c>
      <c r="C345" s="39" t="s">
        <v>85</v>
      </c>
      <c r="D345" s="39"/>
      <c r="E345" s="56"/>
      <c r="F345" s="50"/>
      <c r="G345" s="52"/>
    </row>
    <row r="346" spans="2:7">
      <c r="B346" s="44"/>
      <c r="C346" s="48" t="s">
        <v>86</v>
      </c>
      <c r="D346" s="48"/>
      <c r="E346" s="49">
        <v>0</v>
      </c>
      <c r="F346" s="50">
        <v>0</v>
      </c>
      <c r="G346" s="52"/>
    </row>
    <row r="347" spans="2:7">
      <c r="B347" s="44"/>
      <c r="C347" s="48" t="s">
        <v>87</v>
      </c>
      <c r="D347" s="48"/>
      <c r="E347" s="49">
        <v>0</v>
      </c>
      <c r="F347" s="50">
        <v>0</v>
      </c>
      <c r="G347" s="52"/>
    </row>
    <row r="348" spans="2:7">
      <c r="B348" s="44"/>
      <c r="C348" s="53" t="s">
        <v>26</v>
      </c>
      <c r="D348" s="53"/>
      <c r="E348" s="56">
        <v>0</v>
      </c>
      <c r="F348" s="54">
        <v>0</v>
      </c>
      <c r="G348" s="52"/>
    </row>
    <row r="349" spans="2:7">
      <c r="B349" s="44">
        <v>144</v>
      </c>
      <c r="C349" s="39" t="s">
        <v>88</v>
      </c>
      <c r="D349" s="39"/>
      <c r="E349" s="49">
        <v>0</v>
      </c>
      <c r="F349" s="54">
        <v>0</v>
      </c>
      <c r="G349" s="52"/>
    </row>
    <row r="350" spans="2:7">
      <c r="B350" s="44">
        <v>221</v>
      </c>
      <c r="C350" s="39" t="s">
        <v>89</v>
      </c>
      <c r="D350" s="39"/>
      <c r="E350" s="49">
        <v>0</v>
      </c>
      <c r="F350" s="54">
        <v>0</v>
      </c>
      <c r="G350" s="52"/>
    </row>
    <row r="351" spans="2:7">
      <c r="B351" s="44">
        <v>222</v>
      </c>
      <c r="C351" s="39" t="s">
        <v>90</v>
      </c>
      <c r="D351" s="39"/>
      <c r="E351" s="49">
        <v>0</v>
      </c>
      <c r="F351" s="54">
        <v>0</v>
      </c>
      <c r="G351" s="52"/>
    </row>
    <row r="352" spans="2:7">
      <c r="B352" s="44">
        <v>224</v>
      </c>
      <c r="C352" s="39" t="s">
        <v>91</v>
      </c>
      <c r="D352" s="39"/>
      <c r="E352" s="49">
        <v>0</v>
      </c>
      <c r="F352" s="54">
        <v>0</v>
      </c>
      <c r="G352" s="52"/>
    </row>
    <row r="353" spans="2:7">
      <c r="B353" s="44">
        <v>225</v>
      </c>
      <c r="C353" s="39" t="s">
        <v>92</v>
      </c>
      <c r="D353" s="39"/>
      <c r="E353" s="49">
        <v>0</v>
      </c>
      <c r="F353" s="54">
        <v>0</v>
      </c>
      <c r="G353" s="38"/>
    </row>
    <row r="354" spans="2:7">
      <c r="B354" s="44">
        <v>226</v>
      </c>
      <c r="C354" s="39" t="s">
        <v>93</v>
      </c>
      <c r="D354" s="39"/>
      <c r="E354" s="49">
        <v>0</v>
      </c>
      <c r="F354" s="54">
        <v>0</v>
      </c>
      <c r="G354" s="60"/>
    </row>
    <row r="355" spans="2:7" ht="15.75" thickBot="1">
      <c r="B355" s="61"/>
      <c r="C355" s="62" t="s">
        <v>94</v>
      </c>
      <c r="D355" s="62"/>
      <c r="E355" s="94">
        <v>0</v>
      </c>
      <c r="F355" s="63">
        <v>0</v>
      </c>
      <c r="G355" s="38"/>
    </row>
    <row r="356" spans="2:7">
      <c r="B356" s="64"/>
      <c r="C356" s="65" t="s">
        <v>95</v>
      </c>
      <c r="D356" s="66"/>
      <c r="E356" s="67">
        <v>6783.3425454545359</v>
      </c>
      <c r="F356" s="68">
        <v>6783.3425454545359</v>
      </c>
      <c r="G356" s="69"/>
    </row>
    <row r="357" spans="2:7" ht="15.75" thickBot="1">
      <c r="B357" s="64"/>
      <c r="C357" s="70"/>
      <c r="D357" s="71"/>
      <c r="E357" s="72"/>
      <c r="F357" s="73"/>
      <c r="G357" s="69"/>
    </row>
    <row r="358" spans="2:7" ht="15.75" thickBot="1">
      <c r="B358" s="64"/>
      <c r="C358" s="70" t="s">
        <v>96</v>
      </c>
      <c r="D358" s="71"/>
      <c r="E358" s="74">
        <v>11557.091775867782</v>
      </c>
      <c r="F358" s="75">
        <v>11557.091775867782</v>
      </c>
      <c r="G358" s="76"/>
    </row>
    <row r="359" spans="2:7" ht="8.25" customHeight="1" thickBot="1">
      <c r="B359" s="77"/>
      <c r="C359" s="81"/>
      <c r="D359" s="81"/>
      <c r="E359" s="78"/>
      <c r="F359" s="78"/>
      <c r="G359" s="79"/>
    </row>
    <row r="360" spans="2:7">
      <c r="B360" s="85"/>
      <c r="C360" s="84"/>
      <c r="D360" s="84"/>
      <c r="E360" s="85"/>
      <c r="F360" s="85"/>
      <c r="G360" s="85"/>
    </row>
  </sheetData>
  <mergeCells count="3">
    <mergeCell ref="C8:E8"/>
    <mergeCell ref="C128:E128"/>
    <mergeCell ref="C248:E248"/>
  </mergeCells>
  <dataValidations count="1">
    <dataValidation type="list" allowBlank="1" showInputMessage="1" showErrorMessage="1" sqref="C136 C16 C256" xr:uid="{5A8525BF-0909-49D4-90D5-9BB22268299C}">
      <formula1>FacList</formula1>
    </dataValidation>
  </dataValidations>
  <hyperlinks>
    <hyperlink ref="F12" r:id="rId1" xr:uid="{B9449B26-BDA3-4CC1-8770-DB2DD19AD623}"/>
    <hyperlink ref="F132" r:id="rId2" xr:uid="{94FF804B-F8AB-44C0-9962-B2B9C2AA2206}"/>
    <hyperlink ref="F252" r:id="rId3" xr:uid="{C83CB69E-9A16-42F3-B79F-39E3E6D06783}"/>
  </hyperlinks>
  <pageMargins left="0.7" right="0.7" top="0.75" bottom="0.75" header="0.3" footer="0.3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D8AE7-A5B8-4F85-A2CC-B978C2BF2D55}">
  <dimension ref="A1:G360"/>
  <sheetViews>
    <sheetView zoomScale="90" zoomScaleNormal="90" workbookViewId="0">
      <selection sqref="A1:XFD1048576"/>
    </sheetView>
  </sheetViews>
  <sheetFormatPr defaultColWidth="8.85546875" defaultRowHeight="15"/>
  <cols>
    <col min="1" max="1" width="1.140625" customWidth="1"/>
    <col min="2" max="2" width="27.42578125" customWidth="1"/>
    <col min="3" max="3" width="42.7109375" bestFit="1" customWidth="1"/>
    <col min="4" max="4" width="4" customWidth="1"/>
    <col min="5" max="5" width="25.42578125" customWidth="1"/>
    <col min="6" max="6" width="27.42578125" customWidth="1"/>
    <col min="7" max="7" width="4.7109375" customWidth="1"/>
  </cols>
  <sheetData>
    <row r="1" spans="1:7" ht="6" customHeight="1" thickBot="1"/>
    <row r="2" spans="1:7">
      <c r="B2" s="1"/>
      <c r="C2" s="2"/>
      <c r="D2" s="2"/>
      <c r="E2" s="2"/>
      <c r="F2" s="2"/>
      <c r="G2" s="3"/>
    </row>
    <row r="3" spans="1:7">
      <c r="B3" s="4"/>
      <c r="C3" s="5"/>
      <c r="D3" s="5"/>
      <c r="E3" s="5"/>
      <c r="F3" s="5"/>
      <c r="G3" s="6"/>
    </row>
    <row r="4" spans="1:7">
      <c r="B4" s="4"/>
      <c r="C4" s="5"/>
      <c r="D4" s="5"/>
      <c r="E4" s="5"/>
      <c r="F4" s="5"/>
      <c r="G4" s="6"/>
    </row>
    <row r="5" spans="1:7">
      <c r="B5" s="4"/>
      <c r="C5" s="5"/>
      <c r="D5" s="5"/>
      <c r="E5" s="5"/>
      <c r="F5" s="5"/>
      <c r="G5" s="6"/>
    </row>
    <row r="6" spans="1:7">
      <c r="B6" s="4"/>
      <c r="C6" s="5"/>
      <c r="D6" s="5"/>
      <c r="E6" s="5"/>
      <c r="F6" s="5"/>
      <c r="G6" s="6"/>
    </row>
    <row r="7" spans="1:7" ht="16.5" customHeight="1">
      <c r="B7" s="4"/>
      <c r="C7" s="5"/>
      <c r="D7" s="5"/>
      <c r="E7" s="5"/>
      <c r="F7" s="5"/>
      <c r="G7" s="6"/>
    </row>
    <row r="8" spans="1:7" ht="22.5" customHeight="1" thickBot="1">
      <c r="B8" s="4"/>
      <c r="C8" s="95" t="s">
        <v>0</v>
      </c>
      <c r="D8" s="95"/>
      <c r="E8" s="95"/>
      <c r="F8" s="5"/>
      <c r="G8" s="6"/>
    </row>
    <row r="9" spans="1:7" ht="21" thickTop="1">
      <c r="B9" s="4"/>
      <c r="C9" s="7"/>
      <c r="D9" s="7"/>
      <c r="E9" s="5"/>
      <c r="F9" s="5"/>
      <c r="G9" s="6"/>
    </row>
    <row r="10" spans="1:7">
      <c r="B10" s="8" t="s">
        <v>1</v>
      </c>
      <c r="C10" s="9" t="s">
        <v>97</v>
      </c>
      <c r="D10" s="5"/>
      <c r="E10" s="10" t="s">
        <v>2</v>
      </c>
      <c r="F10" s="9" t="s">
        <v>98</v>
      </c>
      <c r="G10" s="6"/>
    </row>
    <row r="11" spans="1:7" ht="3.75" customHeight="1">
      <c r="A11" s="80"/>
      <c r="B11" s="5"/>
      <c r="C11" s="5"/>
      <c r="D11" s="5"/>
      <c r="E11" s="11"/>
      <c r="F11" s="5"/>
      <c r="G11" s="6"/>
    </row>
    <row r="12" spans="1:7">
      <c r="A12" s="80"/>
      <c r="B12" s="12" t="s">
        <v>3</v>
      </c>
      <c r="C12" s="9" t="s">
        <v>99</v>
      </c>
      <c r="D12" s="5"/>
      <c r="E12" s="10" t="s">
        <v>4</v>
      </c>
      <c r="F12" s="82" t="s">
        <v>100</v>
      </c>
      <c r="G12" s="6"/>
    </row>
    <row r="13" spans="1:7" ht="3.75" customHeight="1">
      <c r="A13" s="80"/>
      <c r="B13" s="5"/>
      <c r="C13" s="5"/>
      <c r="D13" s="5"/>
      <c r="E13" s="11"/>
      <c r="F13" s="5"/>
      <c r="G13" s="6"/>
    </row>
    <row r="14" spans="1:7">
      <c r="A14" s="80"/>
      <c r="B14" s="10" t="s">
        <v>5</v>
      </c>
      <c r="C14" s="9" t="s">
        <v>101</v>
      </c>
      <c r="D14" s="5"/>
      <c r="E14" s="10" t="s">
        <v>6</v>
      </c>
      <c r="F14" s="9" t="s">
        <v>107</v>
      </c>
      <c r="G14" s="6"/>
    </row>
    <row r="15" spans="1:7" ht="4.5" customHeight="1">
      <c r="A15" s="80"/>
      <c r="B15" s="13"/>
      <c r="C15" s="5"/>
      <c r="D15" s="5"/>
      <c r="E15" s="11"/>
      <c r="F15" s="5"/>
      <c r="G15" s="6"/>
    </row>
    <row r="16" spans="1:7">
      <c r="A16" s="80"/>
      <c r="B16" s="10" t="s">
        <v>7</v>
      </c>
      <c r="C16" s="9" t="s">
        <v>123</v>
      </c>
      <c r="D16" s="5"/>
      <c r="E16" s="11"/>
      <c r="F16" s="5"/>
      <c r="G16" s="6"/>
    </row>
    <row r="17" spans="1:7" ht="3.75" customHeight="1">
      <c r="A17" s="80"/>
      <c r="B17" s="5"/>
      <c r="C17" s="5"/>
      <c r="D17" s="5"/>
      <c r="E17" s="11"/>
      <c r="F17" s="5"/>
      <c r="G17" s="6"/>
    </row>
    <row r="18" spans="1:7">
      <c r="B18" s="14" t="s">
        <v>8</v>
      </c>
      <c r="C18" s="15" t="s">
        <v>103</v>
      </c>
      <c r="D18" s="5"/>
      <c r="E18" s="86" t="s">
        <v>109</v>
      </c>
      <c r="F18" s="87">
        <v>45292</v>
      </c>
      <c r="G18" s="6"/>
    </row>
    <row r="19" spans="1:7">
      <c r="B19" s="16" t="s">
        <v>9</v>
      </c>
      <c r="C19" s="17" t="s">
        <v>130</v>
      </c>
      <c r="D19" s="5"/>
      <c r="E19" s="88" t="s">
        <v>110</v>
      </c>
      <c r="F19" s="89">
        <v>45322</v>
      </c>
      <c r="G19" s="18"/>
    </row>
    <row r="20" spans="1:7" ht="15.75" thickBot="1">
      <c r="B20" s="4"/>
      <c r="C20" s="19"/>
      <c r="D20" s="19"/>
      <c r="E20" s="20"/>
      <c r="F20" s="21"/>
      <c r="G20" s="18"/>
    </row>
    <row r="21" spans="1:7" ht="18.75" thickBot="1">
      <c r="B21" s="4"/>
      <c r="C21" s="22" t="s">
        <v>10</v>
      </c>
      <c r="D21" s="23"/>
      <c r="E21" s="24"/>
      <c r="F21" s="25" t="s">
        <v>11</v>
      </c>
      <c r="G21" s="18"/>
    </row>
    <row r="22" spans="1:7">
      <c r="B22" s="4"/>
      <c r="C22" s="26" t="s">
        <v>12</v>
      </c>
      <c r="D22" s="26"/>
      <c r="E22" s="27">
        <v>10709.59024859505</v>
      </c>
      <c r="F22" s="28">
        <v>10709.59024859505</v>
      </c>
      <c r="G22" s="29"/>
    </row>
    <row r="23" spans="1:7">
      <c r="B23" s="30">
        <v>143</v>
      </c>
      <c r="C23" s="31" t="s">
        <v>13</v>
      </c>
      <c r="D23" s="31"/>
      <c r="E23" s="27">
        <v>4578.6174545454505</v>
      </c>
      <c r="F23" s="32">
        <v>4578.6174545454505</v>
      </c>
      <c r="G23" s="33"/>
    </row>
    <row r="24" spans="1:7">
      <c r="B24" s="30"/>
      <c r="C24" s="34" t="s">
        <v>14</v>
      </c>
      <c r="D24" s="34"/>
      <c r="E24" s="27">
        <v>0</v>
      </c>
      <c r="F24" s="32">
        <v>0</v>
      </c>
      <c r="G24" s="33"/>
    </row>
    <row r="25" spans="1:7">
      <c r="B25" s="30"/>
      <c r="C25" s="34" t="s">
        <v>15</v>
      </c>
      <c r="D25" s="34"/>
      <c r="E25" s="27">
        <v>0</v>
      </c>
      <c r="F25" s="32">
        <v>0</v>
      </c>
      <c r="G25" s="33"/>
    </row>
    <row r="26" spans="1:7">
      <c r="B26" s="30"/>
      <c r="C26" s="34" t="s">
        <v>16</v>
      </c>
      <c r="D26" s="34"/>
      <c r="E26" s="27">
        <v>0</v>
      </c>
      <c r="F26" s="32">
        <v>0</v>
      </c>
      <c r="G26" s="33"/>
    </row>
    <row r="27" spans="1:7">
      <c r="B27" s="30"/>
      <c r="C27" s="34" t="s">
        <v>17</v>
      </c>
      <c r="D27" s="34"/>
      <c r="E27" s="27">
        <v>0</v>
      </c>
      <c r="F27" s="32">
        <v>0</v>
      </c>
      <c r="G27" s="33"/>
    </row>
    <row r="28" spans="1:7">
      <c r="B28" s="30"/>
      <c r="C28" s="35" t="s">
        <v>18</v>
      </c>
      <c r="D28" s="35"/>
      <c r="E28" s="36">
        <v>15288.207703140501</v>
      </c>
      <c r="F28" s="37">
        <v>15288.207703140501</v>
      </c>
      <c r="G28" s="38"/>
    </row>
    <row r="29" spans="1:7" ht="15.75" thickBot="1">
      <c r="B29" s="30"/>
      <c r="C29" s="39"/>
      <c r="D29" s="39"/>
      <c r="E29" s="40"/>
      <c r="F29" s="41"/>
      <c r="G29" s="38"/>
    </row>
    <row r="30" spans="1:7" ht="18.75" thickBot="1">
      <c r="B30" s="30"/>
      <c r="C30" s="22" t="s">
        <v>19</v>
      </c>
      <c r="D30" s="23"/>
      <c r="E30" s="42"/>
      <c r="F30" s="43"/>
      <c r="G30" s="38"/>
    </row>
    <row r="31" spans="1:7">
      <c r="B31" s="44">
        <v>121</v>
      </c>
      <c r="C31" s="39" t="s">
        <v>20</v>
      </c>
      <c r="D31" s="39"/>
      <c r="E31" s="45"/>
      <c r="F31" s="46"/>
      <c r="G31" s="47"/>
    </row>
    <row r="32" spans="1:7">
      <c r="B32" s="44"/>
      <c r="C32" s="48" t="s">
        <v>21</v>
      </c>
      <c r="D32" s="48"/>
      <c r="E32" s="49">
        <v>296.77123636363604</v>
      </c>
      <c r="F32" s="50">
        <v>296.77123636363604</v>
      </c>
      <c r="G32" s="47"/>
    </row>
    <row r="33" spans="2:7">
      <c r="B33" s="44"/>
      <c r="C33" s="48" t="s">
        <v>22</v>
      </c>
      <c r="D33" s="48"/>
      <c r="E33" s="49">
        <v>305.25041454545385</v>
      </c>
      <c r="F33" s="50">
        <v>305.25041454545385</v>
      </c>
      <c r="G33" s="47"/>
    </row>
    <row r="34" spans="2:7">
      <c r="B34" s="51"/>
      <c r="C34" s="48" t="s">
        <v>23</v>
      </c>
      <c r="D34" s="48"/>
      <c r="E34" s="49">
        <v>364.60466181818146</v>
      </c>
      <c r="F34" s="50">
        <v>364.60466181818146</v>
      </c>
      <c r="G34" s="52"/>
    </row>
    <row r="35" spans="2:7">
      <c r="B35" s="51"/>
      <c r="C35" s="48" t="s">
        <v>24</v>
      </c>
      <c r="D35" s="48"/>
      <c r="E35" s="49">
        <v>249.75033917355319</v>
      </c>
      <c r="F35" s="50">
        <v>249.75033917355319</v>
      </c>
      <c r="G35" s="52"/>
    </row>
    <row r="36" spans="2:7">
      <c r="B36" s="44"/>
      <c r="C36" s="48" t="s">
        <v>25</v>
      </c>
      <c r="D36" s="48"/>
      <c r="E36" s="49">
        <v>0</v>
      </c>
      <c r="F36" s="50">
        <v>0</v>
      </c>
      <c r="G36" s="52"/>
    </row>
    <row r="37" spans="2:7">
      <c r="B37" s="44"/>
      <c r="C37" s="53" t="s">
        <v>26</v>
      </c>
      <c r="D37" s="53"/>
      <c r="E37" s="36">
        <v>1216.3766519008245</v>
      </c>
      <c r="F37" s="54">
        <v>1216.3766519008245</v>
      </c>
      <c r="G37" s="52"/>
    </row>
    <row r="38" spans="2:7">
      <c r="B38" s="44">
        <v>122</v>
      </c>
      <c r="C38" s="39" t="s">
        <v>27</v>
      </c>
      <c r="D38" s="39"/>
      <c r="E38" s="36"/>
      <c r="F38" s="50"/>
      <c r="G38" s="55"/>
    </row>
    <row r="39" spans="2:7">
      <c r="B39" s="44"/>
      <c r="C39" s="48" t="s">
        <v>28</v>
      </c>
      <c r="D39" s="48"/>
      <c r="E39" s="49">
        <v>144.14602909090897</v>
      </c>
      <c r="F39" s="50">
        <v>144.14602909090897</v>
      </c>
      <c r="G39" s="52"/>
    </row>
    <row r="40" spans="2:7">
      <c r="B40" s="44"/>
      <c r="C40" s="48" t="s">
        <v>29</v>
      </c>
      <c r="D40" s="48"/>
      <c r="E40" s="49">
        <v>0</v>
      </c>
      <c r="F40" s="50">
        <v>0</v>
      </c>
      <c r="G40" s="52"/>
    </row>
    <row r="41" spans="2:7">
      <c r="B41" s="44"/>
      <c r="C41" s="48" t="s">
        <v>30</v>
      </c>
      <c r="D41" s="48"/>
      <c r="E41" s="49">
        <v>191.16692628099148</v>
      </c>
      <c r="F41" s="50">
        <v>191.16692628099148</v>
      </c>
      <c r="G41" s="52"/>
    </row>
    <row r="42" spans="2:7">
      <c r="B42" s="44"/>
      <c r="C42" s="48" t="s">
        <v>31</v>
      </c>
      <c r="D42" s="48"/>
      <c r="E42" s="49">
        <v>33.916712727272696</v>
      </c>
      <c r="F42" s="50">
        <v>33.916712727272696</v>
      </c>
      <c r="G42" s="52"/>
    </row>
    <row r="43" spans="2:7">
      <c r="B43" s="44"/>
      <c r="C43" s="48" t="s">
        <v>32</v>
      </c>
      <c r="D43" s="48"/>
      <c r="E43" s="49">
        <v>135.66685090909078</v>
      </c>
      <c r="F43" s="50">
        <v>135.66685090909078</v>
      </c>
      <c r="G43" s="52"/>
    </row>
    <row r="44" spans="2:7">
      <c r="B44" s="44"/>
      <c r="C44" s="48" t="s">
        <v>33</v>
      </c>
      <c r="D44" s="48"/>
      <c r="E44" s="49">
        <v>0</v>
      </c>
      <c r="F44" s="50">
        <v>0</v>
      </c>
      <c r="G44" s="52"/>
    </row>
    <row r="45" spans="2:7">
      <c r="B45" s="44"/>
      <c r="C45" s="48" t="s">
        <v>34</v>
      </c>
      <c r="D45" s="48"/>
      <c r="E45" s="49">
        <v>0</v>
      </c>
      <c r="F45" s="50">
        <v>0</v>
      </c>
      <c r="G45" s="52"/>
    </row>
    <row r="46" spans="2:7">
      <c r="B46" s="44"/>
      <c r="C46" s="48" t="s">
        <v>35</v>
      </c>
      <c r="D46" s="48"/>
      <c r="E46" s="49">
        <v>0</v>
      </c>
      <c r="F46" s="50">
        <v>0</v>
      </c>
      <c r="G46" s="52"/>
    </row>
    <row r="47" spans="2:7">
      <c r="B47" s="44"/>
      <c r="C47" s="53" t="s">
        <v>26</v>
      </c>
      <c r="D47" s="53"/>
      <c r="E47" s="36">
        <v>504.89651900826391</v>
      </c>
      <c r="F47" s="54">
        <v>504.89651900826391</v>
      </c>
      <c r="G47" s="52"/>
    </row>
    <row r="48" spans="2:7">
      <c r="B48" s="44">
        <v>123</v>
      </c>
      <c r="C48" s="39" t="s">
        <v>36</v>
      </c>
      <c r="D48" s="39"/>
      <c r="E48" s="56"/>
      <c r="F48" s="57"/>
      <c r="G48" s="52"/>
    </row>
    <row r="49" spans="2:7">
      <c r="B49" s="44"/>
      <c r="C49" s="48" t="s">
        <v>37</v>
      </c>
      <c r="D49" s="48"/>
      <c r="E49" s="49">
        <v>123.33350082644611</v>
      </c>
      <c r="F49" s="50">
        <v>123.33350082644611</v>
      </c>
      <c r="G49" s="52"/>
    </row>
    <row r="50" spans="2:7">
      <c r="B50" s="44"/>
      <c r="C50" s="48" t="s">
        <v>38</v>
      </c>
      <c r="D50" s="48"/>
      <c r="E50" s="49">
        <v>0</v>
      </c>
      <c r="F50" s="50">
        <v>0</v>
      </c>
      <c r="G50" s="52"/>
    </row>
    <row r="51" spans="2:7">
      <c r="B51" s="44"/>
      <c r="C51" s="48" t="s">
        <v>39</v>
      </c>
      <c r="D51" s="48"/>
      <c r="E51" s="49">
        <v>144.91686347107415</v>
      </c>
      <c r="F51" s="50">
        <v>144.91686347107415</v>
      </c>
      <c r="G51" s="52"/>
    </row>
    <row r="52" spans="2:7">
      <c r="B52" s="44"/>
      <c r="C52" s="48" t="s">
        <v>40</v>
      </c>
      <c r="D52" s="48"/>
      <c r="E52" s="49">
        <v>111.00015074380143</v>
      </c>
      <c r="F52" s="50">
        <v>111.00015074380143</v>
      </c>
      <c r="G52" s="52"/>
    </row>
    <row r="53" spans="2:7">
      <c r="B53" s="44"/>
      <c r="C53" s="48" t="s">
        <v>41</v>
      </c>
      <c r="D53" s="48"/>
      <c r="E53" s="49">
        <v>0</v>
      </c>
      <c r="F53" s="50">
        <v>0</v>
      </c>
      <c r="G53" s="52"/>
    </row>
    <row r="54" spans="2:7">
      <c r="B54" s="44"/>
      <c r="C54" s="48" t="s">
        <v>42</v>
      </c>
      <c r="D54" s="48"/>
      <c r="E54" s="49">
        <v>195.02109818181799</v>
      </c>
      <c r="F54" s="50">
        <v>195.02109818181799</v>
      </c>
      <c r="G54" s="52"/>
    </row>
    <row r="55" spans="2:7">
      <c r="B55" s="44"/>
      <c r="C55" s="53" t="s">
        <v>26</v>
      </c>
      <c r="D55" s="53"/>
      <c r="E55" s="36">
        <v>574.27161322313964</v>
      </c>
      <c r="F55" s="54">
        <v>574.27161322313964</v>
      </c>
      <c r="G55" s="52"/>
    </row>
    <row r="56" spans="2:7">
      <c r="B56" s="44">
        <v>124</v>
      </c>
      <c r="C56" s="39" t="s">
        <v>43</v>
      </c>
      <c r="D56" s="39"/>
      <c r="E56" s="56"/>
      <c r="F56" s="57"/>
      <c r="G56" s="52"/>
    </row>
    <row r="57" spans="2:7">
      <c r="B57" s="44"/>
      <c r="C57" s="48" t="s">
        <v>44</v>
      </c>
      <c r="D57" s="48"/>
      <c r="E57" s="49">
        <v>366.91716495867701</v>
      </c>
      <c r="F57" s="50">
        <v>366.91716495867701</v>
      </c>
      <c r="G57" s="52"/>
    </row>
    <row r="58" spans="2:7">
      <c r="B58" s="44"/>
      <c r="C58" s="48" t="s">
        <v>45</v>
      </c>
      <c r="D58" s="48"/>
      <c r="E58" s="49">
        <v>0</v>
      </c>
      <c r="F58" s="50">
        <v>0</v>
      </c>
      <c r="G58" s="52"/>
    </row>
    <row r="59" spans="2:7">
      <c r="B59" s="44"/>
      <c r="C59" s="48" t="s">
        <v>46</v>
      </c>
      <c r="D59" s="48"/>
      <c r="E59" s="49">
        <v>0</v>
      </c>
      <c r="F59" s="50">
        <v>0</v>
      </c>
      <c r="G59" s="52"/>
    </row>
    <row r="60" spans="2:7">
      <c r="B60" s="44"/>
      <c r="C60" s="53" t="s">
        <v>26</v>
      </c>
      <c r="D60" s="53"/>
      <c r="E60" s="36">
        <v>366.91716495867701</v>
      </c>
      <c r="F60" s="54">
        <v>366.91716495867701</v>
      </c>
      <c r="G60" s="52"/>
    </row>
    <row r="61" spans="2:7">
      <c r="B61" s="44">
        <v>125</v>
      </c>
      <c r="C61" s="39" t="s">
        <v>47</v>
      </c>
      <c r="D61" s="39"/>
      <c r="E61" s="36"/>
      <c r="F61" s="50"/>
      <c r="G61" s="52"/>
    </row>
    <row r="62" spans="2:7">
      <c r="B62" s="44"/>
      <c r="C62" s="48" t="s">
        <v>48</v>
      </c>
      <c r="D62" s="48"/>
      <c r="E62" s="58">
        <v>0</v>
      </c>
      <c r="F62" s="50">
        <v>0</v>
      </c>
      <c r="G62" s="52"/>
    </row>
    <row r="63" spans="2:7">
      <c r="B63" s="44"/>
      <c r="C63" s="48" t="s">
        <v>49</v>
      </c>
      <c r="D63" s="48"/>
      <c r="E63" s="58">
        <v>0</v>
      </c>
      <c r="F63" s="50">
        <v>0</v>
      </c>
      <c r="G63" s="52"/>
    </row>
    <row r="64" spans="2:7">
      <c r="B64" s="44"/>
      <c r="C64" s="48" t="s">
        <v>50</v>
      </c>
      <c r="D64" s="48"/>
      <c r="E64" s="58">
        <v>593.54247272727218</v>
      </c>
      <c r="F64" s="50">
        <v>593.54247272727218</v>
      </c>
      <c r="G64" s="52"/>
    </row>
    <row r="65" spans="2:7">
      <c r="B65" s="44"/>
      <c r="C65" s="48" t="s">
        <v>51</v>
      </c>
      <c r="D65" s="48"/>
      <c r="E65" s="58">
        <v>135.66685090909078</v>
      </c>
      <c r="F65" s="50">
        <v>135.66685090909078</v>
      </c>
      <c r="G65" s="52"/>
    </row>
    <row r="66" spans="2:7">
      <c r="B66" s="44"/>
      <c r="C66" s="53" t="s">
        <v>26</v>
      </c>
      <c r="D66" s="53"/>
      <c r="E66" s="56">
        <v>729.20932363636302</v>
      </c>
      <c r="F66" s="54">
        <v>729.20932363636302</v>
      </c>
      <c r="G66" s="52"/>
    </row>
    <row r="67" spans="2:7">
      <c r="B67" s="44">
        <v>126</v>
      </c>
      <c r="C67" s="39" t="s">
        <v>52</v>
      </c>
      <c r="D67" s="39"/>
      <c r="E67" s="56"/>
      <c r="F67" s="50"/>
      <c r="G67" s="52"/>
    </row>
    <row r="68" spans="2:7">
      <c r="B68" s="44"/>
      <c r="C68" s="48" t="s">
        <v>53</v>
      </c>
      <c r="D68" s="48"/>
      <c r="E68" s="49">
        <v>0</v>
      </c>
      <c r="F68" s="50">
        <v>0</v>
      </c>
      <c r="G68" s="52"/>
    </row>
    <row r="69" spans="2:7">
      <c r="B69" s="44"/>
      <c r="C69" s="48" t="s">
        <v>54</v>
      </c>
      <c r="D69" s="48"/>
      <c r="E69" s="49">
        <v>0</v>
      </c>
      <c r="F69" s="50"/>
      <c r="G69" s="52"/>
    </row>
    <row r="70" spans="2:7">
      <c r="B70" s="44"/>
      <c r="C70" s="48" t="s">
        <v>55</v>
      </c>
      <c r="D70" s="48"/>
      <c r="E70" s="49">
        <v>0</v>
      </c>
      <c r="F70" s="50"/>
      <c r="G70" s="52"/>
    </row>
    <row r="71" spans="2:7">
      <c r="B71" s="44"/>
      <c r="C71" s="48" t="s">
        <v>56</v>
      </c>
      <c r="D71" s="48"/>
      <c r="E71" s="49">
        <v>0</v>
      </c>
      <c r="F71" s="57"/>
      <c r="G71" s="52"/>
    </row>
    <row r="72" spans="2:7">
      <c r="B72" s="44"/>
      <c r="C72" s="53" t="s">
        <v>26</v>
      </c>
      <c r="D72" s="53"/>
      <c r="E72" s="56">
        <v>0</v>
      </c>
      <c r="F72" s="54">
        <v>0</v>
      </c>
      <c r="G72" s="52"/>
    </row>
    <row r="73" spans="2:7">
      <c r="B73" s="44">
        <v>127</v>
      </c>
      <c r="C73" s="39" t="s">
        <v>57</v>
      </c>
      <c r="D73" s="39"/>
      <c r="E73" s="56"/>
      <c r="F73" s="54"/>
      <c r="G73" s="52"/>
    </row>
    <row r="74" spans="2:7">
      <c r="B74" s="44"/>
      <c r="C74" s="48" t="s">
        <v>58</v>
      </c>
      <c r="D74" s="48"/>
      <c r="E74" s="49">
        <v>0</v>
      </c>
      <c r="F74" s="50">
        <v>0</v>
      </c>
      <c r="G74" s="52"/>
    </row>
    <row r="75" spans="2:7">
      <c r="B75" s="44"/>
      <c r="C75" s="48" t="s">
        <v>59</v>
      </c>
      <c r="D75" s="48"/>
      <c r="E75" s="49">
        <v>0</v>
      </c>
      <c r="F75" s="50">
        <v>0</v>
      </c>
      <c r="G75" s="52"/>
    </row>
    <row r="76" spans="2:7">
      <c r="B76" s="44"/>
      <c r="C76" s="48" t="s">
        <v>60</v>
      </c>
      <c r="D76" s="48"/>
      <c r="E76" s="49">
        <v>0</v>
      </c>
      <c r="F76" s="50">
        <v>0</v>
      </c>
      <c r="G76" s="52"/>
    </row>
    <row r="77" spans="2:7">
      <c r="B77" s="44"/>
      <c r="C77" s="59" t="s">
        <v>61</v>
      </c>
      <c r="D77" s="59"/>
      <c r="E77" s="49">
        <v>0</v>
      </c>
      <c r="F77" s="50">
        <v>0</v>
      </c>
      <c r="G77" s="52"/>
    </row>
    <row r="78" spans="2:7">
      <c r="B78" s="44"/>
      <c r="C78" s="53" t="s">
        <v>26</v>
      </c>
      <c r="D78" s="53"/>
      <c r="E78" s="56">
        <v>0</v>
      </c>
      <c r="F78" s="54">
        <v>0</v>
      </c>
      <c r="G78" s="52"/>
    </row>
    <row r="79" spans="2:7">
      <c r="B79" s="44">
        <v>128</v>
      </c>
      <c r="C79" s="39" t="s">
        <v>62</v>
      </c>
      <c r="D79" s="39"/>
      <c r="E79" s="56"/>
      <c r="F79" s="54"/>
      <c r="G79" s="52"/>
    </row>
    <row r="80" spans="2:7">
      <c r="B80" s="44"/>
      <c r="C80" s="48" t="s">
        <v>63</v>
      </c>
      <c r="D80" s="48"/>
      <c r="E80" s="49">
        <v>0</v>
      </c>
      <c r="F80" s="50">
        <v>0</v>
      </c>
      <c r="G80" s="52"/>
    </row>
    <row r="81" spans="2:7">
      <c r="B81" s="44"/>
      <c r="C81" s="48" t="s">
        <v>64</v>
      </c>
      <c r="D81" s="48"/>
      <c r="E81" s="49">
        <v>0</v>
      </c>
      <c r="F81" s="50">
        <v>0</v>
      </c>
      <c r="G81" s="52"/>
    </row>
    <row r="82" spans="2:7">
      <c r="B82" s="44"/>
      <c r="C82" s="48" t="s">
        <v>65</v>
      </c>
      <c r="D82" s="48"/>
      <c r="E82" s="49">
        <v>0</v>
      </c>
      <c r="F82" s="50">
        <v>0</v>
      </c>
      <c r="G82" s="52"/>
    </row>
    <row r="83" spans="2:7">
      <c r="B83" s="44"/>
      <c r="C83" s="48" t="s">
        <v>66</v>
      </c>
      <c r="D83" s="48"/>
      <c r="E83" s="49">
        <v>0</v>
      </c>
      <c r="F83" s="50">
        <v>0</v>
      </c>
      <c r="G83" s="52"/>
    </row>
    <row r="84" spans="2:7">
      <c r="B84" s="44"/>
      <c r="C84" s="48" t="s">
        <v>67</v>
      </c>
      <c r="D84" s="48"/>
      <c r="E84" s="49">
        <v>0</v>
      </c>
      <c r="F84" s="50">
        <v>0</v>
      </c>
      <c r="G84" s="52"/>
    </row>
    <row r="85" spans="2:7">
      <c r="B85" s="44"/>
      <c r="C85" s="53" t="s">
        <v>26</v>
      </c>
      <c r="D85" s="53"/>
      <c r="E85" s="56">
        <v>0</v>
      </c>
      <c r="F85" s="54">
        <v>0</v>
      </c>
      <c r="G85" s="52"/>
    </row>
    <row r="86" spans="2:7">
      <c r="B86" s="44">
        <v>135</v>
      </c>
      <c r="C86" s="39" t="s">
        <v>68</v>
      </c>
      <c r="D86" s="39"/>
      <c r="E86" s="56"/>
      <c r="F86" s="50"/>
      <c r="G86" s="52"/>
    </row>
    <row r="87" spans="2:7">
      <c r="B87" s="44"/>
      <c r="C87" s="48" t="s">
        <v>69</v>
      </c>
      <c r="D87" s="48"/>
      <c r="E87" s="49">
        <v>0</v>
      </c>
      <c r="F87" s="50">
        <v>0</v>
      </c>
      <c r="G87" s="52"/>
    </row>
    <row r="88" spans="2:7">
      <c r="B88" s="44"/>
      <c r="C88" s="48" t="s">
        <v>70</v>
      </c>
      <c r="D88" s="48"/>
      <c r="E88" s="49">
        <v>0</v>
      </c>
      <c r="F88" s="50">
        <v>0</v>
      </c>
      <c r="G88" s="52"/>
    </row>
    <row r="89" spans="2:7">
      <c r="B89" s="44"/>
      <c r="C89" s="48" t="s">
        <v>71</v>
      </c>
      <c r="D89" s="48"/>
      <c r="E89" s="49">
        <v>0</v>
      </c>
      <c r="F89" s="50">
        <v>0</v>
      </c>
      <c r="G89" s="52"/>
    </row>
    <row r="90" spans="2:7">
      <c r="B90" s="44"/>
      <c r="C90" s="48" t="s">
        <v>72</v>
      </c>
      <c r="D90" s="48"/>
      <c r="E90" s="49">
        <v>0</v>
      </c>
      <c r="F90" s="50">
        <v>0</v>
      </c>
      <c r="G90" s="52"/>
    </row>
    <row r="91" spans="2:7">
      <c r="B91" s="44"/>
      <c r="C91" s="48" t="s">
        <v>73</v>
      </c>
      <c r="D91" s="48"/>
      <c r="E91" s="49">
        <v>0</v>
      </c>
      <c r="F91" s="50">
        <v>0</v>
      </c>
      <c r="G91" s="52"/>
    </row>
    <row r="92" spans="2:7">
      <c r="B92" s="44"/>
      <c r="C92" s="48" t="s">
        <v>74</v>
      </c>
      <c r="D92" s="48"/>
      <c r="E92" s="49">
        <v>0</v>
      </c>
      <c r="F92" s="50">
        <v>0</v>
      </c>
      <c r="G92" s="52"/>
    </row>
    <row r="93" spans="2:7">
      <c r="B93" s="44"/>
      <c r="C93" s="48" t="s">
        <v>75</v>
      </c>
      <c r="D93" s="48"/>
      <c r="E93" s="49">
        <v>0</v>
      </c>
      <c r="F93" s="50">
        <v>0</v>
      </c>
      <c r="G93" s="52"/>
    </row>
    <row r="94" spans="2:7">
      <c r="B94" s="44"/>
      <c r="C94" s="48" t="s">
        <v>76</v>
      </c>
      <c r="D94" s="48"/>
      <c r="E94" s="49">
        <v>0</v>
      </c>
      <c r="F94" s="50">
        <v>0</v>
      </c>
      <c r="G94" s="52"/>
    </row>
    <row r="95" spans="2:7">
      <c r="B95" s="44"/>
      <c r="C95" s="48" t="s">
        <v>77</v>
      </c>
      <c r="D95" s="48"/>
      <c r="E95" s="49">
        <v>0</v>
      </c>
      <c r="F95" s="50">
        <v>0</v>
      </c>
      <c r="G95" s="52"/>
    </row>
    <row r="96" spans="2:7">
      <c r="B96" s="44"/>
      <c r="C96" s="53" t="s">
        <v>26</v>
      </c>
      <c r="D96" s="53"/>
      <c r="E96" s="56">
        <v>0</v>
      </c>
      <c r="F96" s="54">
        <v>0</v>
      </c>
      <c r="G96" s="52"/>
    </row>
    <row r="97" spans="2:7">
      <c r="B97" s="44">
        <v>136</v>
      </c>
      <c r="C97" s="39" t="s">
        <v>78</v>
      </c>
      <c r="D97" s="39"/>
      <c r="E97" s="56"/>
      <c r="F97" s="50"/>
      <c r="G97" s="52"/>
    </row>
    <row r="98" spans="2:7">
      <c r="B98" s="44"/>
      <c r="C98" s="48" t="s">
        <v>79</v>
      </c>
      <c r="D98" s="48"/>
      <c r="E98" s="49">
        <v>0</v>
      </c>
      <c r="F98" s="50">
        <v>0</v>
      </c>
      <c r="G98" s="52"/>
    </row>
    <row r="99" spans="2:7">
      <c r="B99" s="44"/>
      <c r="C99" s="48" t="s">
        <v>80</v>
      </c>
      <c r="D99" s="48"/>
      <c r="E99" s="49">
        <v>0</v>
      </c>
      <c r="F99" s="50">
        <v>0</v>
      </c>
      <c r="G99" s="52"/>
    </row>
    <row r="100" spans="2:7">
      <c r="B100" s="44"/>
      <c r="C100" s="48" t="s">
        <v>81</v>
      </c>
      <c r="D100" s="48"/>
      <c r="E100" s="49">
        <v>0</v>
      </c>
      <c r="F100" s="50">
        <v>0</v>
      </c>
      <c r="G100" s="52"/>
    </row>
    <row r="101" spans="2:7">
      <c r="B101" s="44"/>
      <c r="C101" s="48" t="s">
        <v>82</v>
      </c>
      <c r="D101" s="48"/>
      <c r="E101" s="49">
        <v>0</v>
      </c>
      <c r="F101" s="50">
        <v>0</v>
      </c>
      <c r="G101" s="52"/>
    </row>
    <row r="102" spans="2:7">
      <c r="B102" s="44"/>
      <c r="C102" s="48" t="s">
        <v>83</v>
      </c>
      <c r="D102" s="48"/>
      <c r="E102" s="49">
        <v>0</v>
      </c>
      <c r="F102" s="50">
        <v>0</v>
      </c>
      <c r="G102" s="52"/>
    </row>
    <row r="103" spans="2:7">
      <c r="B103" s="44"/>
      <c r="C103" s="48" t="s">
        <v>84</v>
      </c>
      <c r="D103" s="48"/>
      <c r="E103" s="49">
        <v>0</v>
      </c>
      <c r="F103" s="50">
        <v>0</v>
      </c>
      <c r="G103" s="52"/>
    </row>
    <row r="104" spans="2:7">
      <c r="B104" s="44"/>
      <c r="C104" s="53" t="s">
        <v>26</v>
      </c>
      <c r="D104" s="53"/>
      <c r="E104" s="56">
        <v>0</v>
      </c>
      <c r="F104" s="54">
        <v>0</v>
      </c>
      <c r="G104" s="52"/>
    </row>
    <row r="105" spans="2:7">
      <c r="B105" s="44">
        <v>142</v>
      </c>
      <c r="C105" s="39" t="s">
        <v>85</v>
      </c>
      <c r="D105" s="39"/>
      <c r="E105" s="56"/>
      <c r="F105" s="50"/>
      <c r="G105" s="52"/>
    </row>
    <row r="106" spans="2:7">
      <c r="B106" s="44"/>
      <c r="C106" s="48" t="s">
        <v>86</v>
      </c>
      <c r="D106" s="48"/>
      <c r="E106" s="49">
        <v>0</v>
      </c>
      <c r="F106" s="50">
        <v>0</v>
      </c>
      <c r="G106" s="52"/>
    </row>
    <row r="107" spans="2:7">
      <c r="B107" s="44"/>
      <c r="C107" s="48" t="s">
        <v>87</v>
      </c>
      <c r="D107" s="48"/>
      <c r="E107" s="49">
        <v>0</v>
      </c>
      <c r="F107" s="50">
        <v>0</v>
      </c>
      <c r="G107" s="52"/>
    </row>
    <row r="108" spans="2:7">
      <c r="B108" s="44"/>
      <c r="C108" s="53" t="s">
        <v>26</v>
      </c>
      <c r="D108" s="53"/>
      <c r="E108" s="56">
        <v>0</v>
      </c>
      <c r="F108" s="54">
        <v>0</v>
      </c>
      <c r="G108" s="52"/>
    </row>
    <row r="109" spans="2:7">
      <c r="B109" s="44">
        <v>144</v>
      </c>
      <c r="C109" s="39" t="s">
        <v>88</v>
      </c>
      <c r="D109" s="39"/>
      <c r="E109" s="49">
        <v>0</v>
      </c>
      <c r="F109" s="54">
        <v>0</v>
      </c>
      <c r="G109" s="52"/>
    </row>
    <row r="110" spans="2:7">
      <c r="B110" s="44">
        <v>221</v>
      </c>
      <c r="C110" s="39" t="s">
        <v>89</v>
      </c>
      <c r="D110" s="39"/>
      <c r="E110" s="49">
        <v>0</v>
      </c>
      <c r="F110" s="54">
        <v>0</v>
      </c>
      <c r="G110" s="52"/>
    </row>
    <row r="111" spans="2:7">
      <c r="B111" s="44">
        <v>222</v>
      </c>
      <c r="C111" s="39" t="s">
        <v>90</v>
      </c>
      <c r="D111" s="39"/>
      <c r="E111" s="49">
        <v>0</v>
      </c>
      <c r="F111" s="54">
        <v>0</v>
      </c>
      <c r="G111" s="52"/>
    </row>
    <row r="112" spans="2:7">
      <c r="B112" s="44">
        <v>224</v>
      </c>
      <c r="C112" s="39" t="s">
        <v>91</v>
      </c>
      <c r="D112" s="39"/>
      <c r="E112" s="49">
        <v>0</v>
      </c>
      <c r="F112" s="54">
        <v>0</v>
      </c>
      <c r="G112" s="52"/>
    </row>
    <row r="113" spans="2:7">
      <c r="B113" s="44">
        <v>225</v>
      </c>
      <c r="C113" s="39" t="s">
        <v>92</v>
      </c>
      <c r="D113" s="39"/>
      <c r="E113" s="49">
        <v>0</v>
      </c>
      <c r="F113" s="54">
        <v>0</v>
      </c>
      <c r="G113" s="38"/>
    </row>
    <row r="114" spans="2:7">
      <c r="B114" s="44">
        <v>226</v>
      </c>
      <c r="C114" s="39" t="s">
        <v>93</v>
      </c>
      <c r="D114" s="39"/>
      <c r="E114" s="49">
        <v>0</v>
      </c>
      <c r="F114" s="54">
        <v>0</v>
      </c>
      <c r="G114" s="60"/>
    </row>
    <row r="115" spans="2:7" ht="15.75" thickBot="1">
      <c r="B115" s="61"/>
      <c r="C115" s="62" t="s">
        <v>94</v>
      </c>
      <c r="D115" s="62"/>
      <c r="E115" s="90">
        <v>0</v>
      </c>
      <c r="F115" s="63">
        <v>0</v>
      </c>
      <c r="G115" s="38"/>
    </row>
    <row r="116" spans="2:7">
      <c r="B116" s="64"/>
      <c r="C116" s="65" t="s">
        <v>95</v>
      </c>
      <c r="D116" s="66"/>
      <c r="E116" s="91">
        <v>3391.6712727272684</v>
      </c>
      <c r="F116" s="68">
        <v>3391.6712727272684</v>
      </c>
      <c r="G116" s="69"/>
    </row>
    <row r="117" spans="2:7" ht="15.75" thickBot="1">
      <c r="B117" s="64"/>
      <c r="C117" s="70"/>
      <c r="D117" s="71"/>
      <c r="E117" s="92"/>
      <c r="F117" s="73"/>
      <c r="G117" s="69"/>
    </row>
    <row r="118" spans="2:7" ht="15.75" thickBot="1">
      <c r="B118" s="64"/>
      <c r="C118" s="70" t="s">
        <v>96</v>
      </c>
      <c r="D118" s="71"/>
      <c r="E118" s="93">
        <v>11896.536430413233</v>
      </c>
      <c r="F118" s="75">
        <v>11896.536430413233</v>
      </c>
      <c r="G118" s="76"/>
    </row>
    <row r="119" spans="2:7" ht="8.25" customHeight="1" thickBot="1">
      <c r="B119" s="77"/>
      <c r="C119" s="81"/>
      <c r="D119" s="81"/>
      <c r="E119" s="78"/>
      <c r="F119" s="78"/>
      <c r="G119" s="79"/>
    </row>
    <row r="120" spans="2:7">
      <c r="B120" s="83"/>
      <c r="C120" s="84"/>
      <c r="D120" s="84"/>
      <c r="E120" s="85"/>
      <c r="F120" s="83"/>
      <c r="G120" s="85"/>
    </row>
    <row r="121" spans="2:7" ht="6" customHeight="1" thickBot="1"/>
    <row r="122" spans="2:7">
      <c r="B122" s="1"/>
      <c r="C122" s="2"/>
      <c r="D122" s="2"/>
      <c r="E122" s="2"/>
      <c r="F122" s="2"/>
      <c r="G122" s="3"/>
    </row>
    <row r="123" spans="2:7">
      <c r="B123" s="4"/>
      <c r="C123" s="5"/>
      <c r="D123" s="5"/>
      <c r="E123" s="5"/>
      <c r="F123" s="5"/>
      <c r="G123" s="6"/>
    </row>
    <row r="124" spans="2:7">
      <c r="B124" s="4"/>
      <c r="C124" s="5"/>
      <c r="D124" s="5"/>
      <c r="E124" s="5"/>
      <c r="F124" s="5"/>
      <c r="G124" s="6"/>
    </row>
    <row r="125" spans="2:7">
      <c r="B125" s="4"/>
      <c r="C125" s="5"/>
      <c r="D125" s="5"/>
      <c r="E125" s="5"/>
      <c r="F125" s="5"/>
      <c r="G125" s="6"/>
    </row>
    <row r="126" spans="2:7">
      <c r="B126" s="4"/>
      <c r="C126" s="5"/>
      <c r="D126" s="5"/>
      <c r="E126" s="5"/>
      <c r="F126" s="5"/>
      <c r="G126" s="6"/>
    </row>
    <row r="127" spans="2:7" ht="16.5" customHeight="1">
      <c r="B127" s="4"/>
      <c r="C127" s="5"/>
      <c r="D127" s="5"/>
      <c r="E127" s="5"/>
      <c r="F127" s="5"/>
      <c r="G127" s="6"/>
    </row>
    <row r="128" spans="2:7" ht="22.5" customHeight="1" thickBot="1">
      <c r="B128" s="4"/>
      <c r="C128" s="95" t="s">
        <v>0</v>
      </c>
      <c r="D128" s="95"/>
      <c r="E128" s="95"/>
      <c r="F128" s="5"/>
      <c r="G128" s="6"/>
    </row>
    <row r="129" spans="1:7" ht="21" thickTop="1">
      <c r="B129" s="4"/>
      <c r="C129" s="7"/>
      <c r="D129" s="7"/>
      <c r="E129" s="5"/>
      <c r="F129" s="5"/>
      <c r="G129" s="6"/>
    </row>
    <row r="130" spans="1:7">
      <c r="B130" s="8" t="s">
        <v>1</v>
      </c>
      <c r="C130" s="9" t="s">
        <v>97</v>
      </c>
      <c r="D130" s="5"/>
      <c r="E130" s="10" t="s">
        <v>2</v>
      </c>
      <c r="F130" s="9" t="s">
        <v>98</v>
      </c>
      <c r="G130" s="6"/>
    </row>
    <row r="131" spans="1:7" ht="3.75" customHeight="1">
      <c r="A131" s="80"/>
      <c r="B131" s="5"/>
      <c r="C131" s="5"/>
      <c r="D131" s="5"/>
      <c r="E131" s="11"/>
      <c r="F131" s="5"/>
      <c r="G131" s="6"/>
    </row>
    <row r="132" spans="1:7">
      <c r="A132" s="80"/>
      <c r="B132" s="12" t="s">
        <v>3</v>
      </c>
      <c r="C132" s="9" t="s">
        <v>99</v>
      </c>
      <c r="D132" s="5"/>
      <c r="E132" s="10" t="s">
        <v>4</v>
      </c>
      <c r="F132" s="82" t="s">
        <v>100</v>
      </c>
      <c r="G132" s="6"/>
    </row>
    <row r="133" spans="1:7" ht="3.75" customHeight="1">
      <c r="A133" s="80"/>
      <c r="B133" s="5"/>
      <c r="C133" s="5"/>
      <c r="D133" s="5"/>
      <c r="E133" s="11"/>
      <c r="F133" s="5"/>
      <c r="G133" s="6"/>
    </row>
    <row r="134" spans="1:7">
      <c r="A134" s="80"/>
      <c r="B134" s="10" t="s">
        <v>5</v>
      </c>
      <c r="C134" s="9" t="s">
        <v>101</v>
      </c>
      <c r="D134" s="5"/>
      <c r="E134" s="10" t="s">
        <v>6</v>
      </c>
      <c r="F134" s="9" t="s">
        <v>107</v>
      </c>
      <c r="G134" s="6"/>
    </row>
    <row r="135" spans="1:7" ht="4.5" customHeight="1">
      <c r="A135" s="80"/>
      <c r="B135" s="13"/>
      <c r="C135" s="5"/>
      <c r="D135" s="5"/>
      <c r="E135" s="11"/>
      <c r="F135" s="5"/>
      <c r="G135" s="6"/>
    </row>
    <row r="136" spans="1:7">
      <c r="A136" s="80"/>
      <c r="B136" s="10" t="s">
        <v>7</v>
      </c>
      <c r="C136" s="9" t="s">
        <v>123</v>
      </c>
      <c r="D136" s="5"/>
      <c r="E136" s="11"/>
      <c r="F136" s="5"/>
      <c r="G136" s="6"/>
    </row>
    <row r="137" spans="1:7" ht="3.75" customHeight="1">
      <c r="A137" s="80"/>
      <c r="B137" s="5"/>
      <c r="C137" s="5"/>
      <c r="D137" s="5"/>
      <c r="E137" s="11"/>
      <c r="F137" s="5"/>
      <c r="G137" s="6"/>
    </row>
    <row r="138" spans="1:7">
      <c r="B138" s="14" t="s">
        <v>8</v>
      </c>
      <c r="C138" s="15" t="s">
        <v>104</v>
      </c>
      <c r="D138" s="5"/>
      <c r="E138" s="86" t="s">
        <v>109</v>
      </c>
      <c r="F138" s="87">
        <v>45323</v>
      </c>
      <c r="G138" s="6"/>
    </row>
    <row r="139" spans="1:7">
      <c r="B139" s="16" t="s">
        <v>9</v>
      </c>
      <c r="C139" s="17" t="s">
        <v>130</v>
      </c>
      <c r="D139" s="5"/>
      <c r="E139" s="88" t="s">
        <v>110</v>
      </c>
      <c r="F139" s="89">
        <v>45351</v>
      </c>
      <c r="G139" s="18"/>
    </row>
    <row r="140" spans="1:7" ht="15.75" thickBot="1">
      <c r="B140" s="4"/>
      <c r="C140" s="19"/>
      <c r="D140" s="19"/>
      <c r="E140" s="20"/>
      <c r="F140" s="21"/>
      <c r="G140" s="18"/>
    </row>
    <row r="141" spans="1:7" ht="18.75" thickBot="1">
      <c r="B141" s="4"/>
      <c r="C141" s="22" t="s">
        <v>10</v>
      </c>
      <c r="D141" s="23"/>
      <c r="E141" s="24"/>
      <c r="F141" s="25" t="s">
        <v>11</v>
      </c>
      <c r="G141" s="18"/>
    </row>
    <row r="142" spans="1:7">
      <c r="B142" s="4"/>
      <c r="C142" s="26" t="s">
        <v>12</v>
      </c>
      <c r="D142" s="26"/>
      <c r="E142" s="27">
        <v>11896.536430413233</v>
      </c>
      <c r="F142" s="28">
        <v>11896.536430413233</v>
      </c>
      <c r="G142" s="29"/>
    </row>
    <row r="143" spans="1:7">
      <c r="B143" s="30">
        <v>143</v>
      </c>
      <c r="C143" s="31" t="s">
        <v>13</v>
      </c>
      <c r="D143" s="31"/>
      <c r="E143" s="27">
        <v>4578.6174545454505</v>
      </c>
      <c r="F143" s="32">
        <v>4578.6174545454505</v>
      </c>
      <c r="G143" s="33"/>
    </row>
    <row r="144" spans="1:7">
      <c r="B144" s="30"/>
      <c r="C144" s="34" t="s">
        <v>14</v>
      </c>
      <c r="D144" s="34"/>
      <c r="E144" s="27">
        <v>0</v>
      </c>
      <c r="F144" s="32">
        <v>0</v>
      </c>
      <c r="G144" s="33"/>
    </row>
    <row r="145" spans="2:7">
      <c r="B145" s="30"/>
      <c r="C145" s="34" t="s">
        <v>15</v>
      </c>
      <c r="D145" s="34"/>
      <c r="E145" s="27">
        <v>0</v>
      </c>
      <c r="F145" s="32">
        <v>0</v>
      </c>
      <c r="G145" s="33"/>
    </row>
    <row r="146" spans="2:7">
      <c r="B146" s="30"/>
      <c r="C146" s="34" t="s">
        <v>16</v>
      </c>
      <c r="D146" s="34"/>
      <c r="E146" s="27">
        <v>0</v>
      </c>
      <c r="F146" s="32">
        <v>0</v>
      </c>
      <c r="G146" s="33"/>
    </row>
    <row r="147" spans="2:7">
      <c r="B147" s="30"/>
      <c r="C147" s="34" t="s">
        <v>17</v>
      </c>
      <c r="D147" s="34"/>
      <c r="E147" s="27">
        <v>0</v>
      </c>
      <c r="F147" s="32">
        <v>0</v>
      </c>
      <c r="G147" s="33"/>
    </row>
    <row r="148" spans="2:7">
      <c r="B148" s="30"/>
      <c r="C148" s="35" t="s">
        <v>18</v>
      </c>
      <c r="D148" s="35"/>
      <c r="E148" s="36">
        <v>16475.153884958683</v>
      </c>
      <c r="F148" s="37">
        <v>16475.153884958683</v>
      </c>
      <c r="G148" s="38"/>
    </row>
    <row r="149" spans="2:7" ht="15.75" thickBot="1">
      <c r="B149" s="30"/>
      <c r="C149" s="39"/>
      <c r="D149" s="39"/>
      <c r="E149" s="40"/>
      <c r="F149" s="41"/>
      <c r="G149" s="38"/>
    </row>
    <row r="150" spans="2:7" ht="18.75" thickBot="1">
      <c r="B150" s="30"/>
      <c r="C150" s="22" t="s">
        <v>19</v>
      </c>
      <c r="D150" s="23"/>
      <c r="E150" s="42"/>
      <c r="F150" s="43"/>
      <c r="G150" s="38"/>
    </row>
    <row r="151" spans="2:7">
      <c r="B151" s="44">
        <v>121</v>
      </c>
      <c r="C151" s="39" t="s">
        <v>20</v>
      </c>
      <c r="D151" s="39"/>
      <c r="E151" s="45"/>
      <c r="F151" s="46"/>
      <c r="G151" s="47"/>
    </row>
    <row r="152" spans="2:7">
      <c r="B152" s="44"/>
      <c r="C152" s="48" t="s">
        <v>21</v>
      </c>
      <c r="D152" s="48"/>
      <c r="E152" s="49">
        <v>0</v>
      </c>
      <c r="F152" s="50">
        <v>0</v>
      </c>
      <c r="G152" s="47"/>
    </row>
    <row r="153" spans="2:7">
      <c r="B153" s="44"/>
      <c r="C153" s="48" t="s">
        <v>22</v>
      </c>
      <c r="D153" s="48"/>
      <c r="E153" s="49">
        <v>0</v>
      </c>
      <c r="F153" s="50">
        <v>0</v>
      </c>
      <c r="G153" s="47"/>
    </row>
    <row r="154" spans="2:7">
      <c r="B154" s="51"/>
      <c r="C154" s="48" t="s">
        <v>23</v>
      </c>
      <c r="D154" s="48"/>
      <c r="E154" s="49">
        <v>0</v>
      </c>
      <c r="F154" s="50">
        <v>0</v>
      </c>
      <c r="G154" s="52"/>
    </row>
    <row r="155" spans="2:7">
      <c r="B155" s="51"/>
      <c r="C155" s="48" t="s">
        <v>24</v>
      </c>
      <c r="D155" s="48"/>
      <c r="E155" s="49">
        <v>0</v>
      </c>
      <c r="F155" s="50">
        <v>0</v>
      </c>
      <c r="G155" s="52"/>
    </row>
    <row r="156" spans="2:7">
      <c r="B156" s="44"/>
      <c r="C156" s="48" t="s">
        <v>25</v>
      </c>
      <c r="D156" s="48"/>
      <c r="E156" s="49">
        <v>0</v>
      </c>
      <c r="F156" s="50">
        <v>0</v>
      </c>
      <c r="G156" s="52"/>
    </row>
    <row r="157" spans="2:7">
      <c r="B157" s="44"/>
      <c r="C157" s="53" t="s">
        <v>26</v>
      </c>
      <c r="D157" s="53"/>
      <c r="E157" s="36">
        <v>0</v>
      </c>
      <c r="F157" s="54">
        <v>0</v>
      </c>
      <c r="G157" s="52"/>
    </row>
    <row r="158" spans="2:7">
      <c r="B158" s="44">
        <v>122</v>
      </c>
      <c r="C158" s="39" t="s">
        <v>27</v>
      </c>
      <c r="D158" s="39"/>
      <c r="E158" s="36"/>
      <c r="F158" s="50"/>
      <c r="G158" s="55"/>
    </row>
    <row r="159" spans="2:7">
      <c r="B159" s="44"/>
      <c r="C159" s="48" t="s">
        <v>28</v>
      </c>
      <c r="D159" s="48"/>
      <c r="E159" s="49">
        <v>0</v>
      </c>
      <c r="F159" s="50">
        <v>0</v>
      </c>
      <c r="G159" s="52"/>
    </row>
    <row r="160" spans="2:7">
      <c r="B160" s="44"/>
      <c r="C160" s="48" t="s">
        <v>29</v>
      </c>
      <c r="D160" s="48"/>
      <c r="E160" s="49">
        <v>0</v>
      </c>
      <c r="F160" s="50">
        <v>0</v>
      </c>
      <c r="G160" s="52"/>
    </row>
    <row r="161" spans="2:7">
      <c r="B161" s="44"/>
      <c r="C161" s="48" t="s">
        <v>30</v>
      </c>
      <c r="D161" s="48"/>
      <c r="E161" s="49">
        <v>0</v>
      </c>
      <c r="F161" s="50">
        <v>0</v>
      </c>
      <c r="G161" s="52"/>
    </row>
    <row r="162" spans="2:7">
      <c r="B162" s="44"/>
      <c r="C162" s="48" t="s">
        <v>31</v>
      </c>
      <c r="D162" s="48"/>
      <c r="E162" s="49">
        <v>0</v>
      </c>
      <c r="F162" s="50">
        <v>0</v>
      </c>
      <c r="G162" s="52"/>
    </row>
    <row r="163" spans="2:7">
      <c r="B163" s="44"/>
      <c r="C163" s="48" t="s">
        <v>32</v>
      </c>
      <c r="D163" s="48"/>
      <c r="E163" s="49">
        <v>88.800120595041136</v>
      </c>
      <c r="F163" s="50">
        <v>88.800120595041136</v>
      </c>
      <c r="G163" s="52"/>
    </row>
    <row r="164" spans="2:7">
      <c r="B164" s="44"/>
      <c r="C164" s="48" t="s">
        <v>33</v>
      </c>
      <c r="D164" s="48"/>
      <c r="E164" s="49">
        <v>0</v>
      </c>
      <c r="F164" s="50">
        <v>0</v>
      </c>
      <c r="G164" s="52"/>
    </row>
    <row r="165" spans="2:7">
      <c r="B165" s="44"/>
      <c r="C165" s="48" t="s">
        <v>34</v>
      </c>
      <c r="D165" s="48"/>
      <c r="E165" s="49">
        <v>0</v>
      </c>
      <c r="F165" s="50">
        <v>0</v>
      </c>
      <c r="G165" s="52"/>
    </row>
    <row r="166" spans="2:7">
      <c r="B166" s="44"/>
      <c r="C166" s="48" t="s">
        <v>35</v>
      </c>
      <c r="D166" s="48"/>
      <c r="E166" s="49">
        <v>0</v>
      </c>
      <c r="F166" s="50">
        <v>0</v>
      </c>
      <c r="G166" s="52"/>
    </row>
    <row r="167" spans="2:7">
      <c r="B167" s="44"/>
      <c r="C167" s="53" t="s">
        <v>26</v>
      </c>
      <c r="D167" s="53"/>
      <c r="E167" s="36">
        <v>88.800120595041136</v>
      </c>
      <c r="F167" s="54">
        <v>88.800120595041136</v>
      </c>
      <c r="G167" s="52"/>
    </row>
    <row r="168" spans="2:7">
      <c r="B168" s="44">
        <v>123</v>
      </c>
      <c r="C168" s="39" t="s">
        <v>36</v>
      </c>
      <c r="D168" s="39"/>
      <c r="E168" s="56"/>
      <c r="F168" s="57"/>
      <c r="G168" s="52"/>
    </row>
    <row r="169" spans="2:7">
      <c r="B169" s="44"/>
      <c r="C169" s="48" t="s">
        <v>37</v>
      </c>
      <c r="D169" s="48"/>
      <c r="E169" s="49">
        <v>88.800120595041136</v>
      </c>
      <c r="F169" s="50">
        <v>88.800120595041136</v>
      </c>
      <c r="G169" s="52"/>
    </row>
    <row r="170" spans="2:7">
      <c r="B170" s="44"/>
      <c r="C170" s="48" t="s">
        <v>38</v>
      </c>
      <c r="D170" s="48"/>
      <c r="E170" s="49">
        <v>0</v>
      </c>
      <c r="F170" s="50">
        <v>0</v>
      </c>
      <c r="G170" s="52"/>
    </row>
    <row r="171" spans="2:7">
      <c r="B171" s="44"/>
      <c r="C171" s="48" t="s">
        <v>39</v>
      </c>
      <c r="D171" s="48"/>
      <c r="E171" s="49">
        <v>769.60104515702335</v>
      </c>
      <c r="F171" s="50">
        <v>769.60104515702335</v>
      </c>
      <c r="G171" s="52"/>
    </row>
    <row r="172" spans="2:7">
      <c r="B172" s="44"/>
      <c r="C172" s="48" t="s">
        <v>40</v>
      </c>
      <c r="D172" s="48"/>
      <c r="E172" s="49">
        <v>0</v>
      </c>
      <c r="F172" s="50">
        <v>0</v>
      </c>
      <c r="G172" s="52"/>
    </row>
    <row r="173" spans="2:7">
      <c r="B173" s="44"/>
      <c r="C173" s="48" t="s">
        <v>41</v>
      </c>
      <c r="D173" s="48"/>
      <c r="E173" s="49">
        <v>0</v>
      </c>
      <c r="F173" s="50">
        <v>0</v>
      </c>
      <c r="G173" s="52"/>
    </row>
    <row r="174" spans="2:7">
      <c r="B174" s="44"/>
      <c r="C174" s="48" t="s">
        <v>42</v>
      </c>
      <c r="D174" s="48"/>
      <c r="E174" s="49">
        <v>177.60024119008227</v>
      </c>
      <c r="F174" s="50">
        <v>177.60024119008227</v>
      </c>
      <c r="G174" s="52"/>
    </row>
    <row r="175" spans="2:7">
      <c r="B175" s="44"/>
      <c r="C175" s="53" t="s">
        <v>26</v>
      </c>
      <c r="D175" s="53"/>
      <c r="E175" s="36">
        <v>1036.0014069421468</v>
      </c>
      <c r="F175" s="54">
        <v>1036.0014069421468</v>
      </c>
      <c r="G175" s="52"/>
    </row>
    <row r="176" spans="2:7">
      <c r="B176" s="44">
        <v>124</v>
      </c>
      <c r="C176" s="39" t="s">
        <v>43</v>
      </c>
      <c r="D176" s="39"/>
      <c r="E176" s="56"/>
      <c r="F176" s="57"/>
      <c r="G176" s="52"/>
    </row>
    <row r="177" spans="2:7">
      <c r="B177" s="44"/>
      <c r="C177" s="48" t="s">
        <v>44</v>
      </c>
      <c r="D177" s="48"/>
      <c r="E177" s="49">
        <v>135.66685090909075</v>
      </c>
      <c r="F177" s="50">
        <v>135.66685090909075</v>
      </c>
      <c r="G177" s="52"/>
    </row>
    <row r="178" spans="2:7">
      <c r="B178" s="44"/>
      <c r="C178" s="48" t="s">
        <v>45</v>
      </c>
      <c r="D178" s="48"/>
      <c r="E178" s="49">
        <v>0</v>
      </c>
      <c r="F178" s="50">
        <v>0</v>
      </c>
      <c r="G178" s="52"/>
    </row>
    <row r="179" spans="2:7">
      <c r="B179" s="44"/>
      <c r="C179" s="48" t="s">
        <v>46</v>
      </c>
      <c r="D179" s="48"/>
      <c r="E179" s="49">
        <v>0</v>
      </c>
      <c r="F179" s="50">
        <v>0</v>
      </c>
      <c r="G179" s="52"/>
    </row>
    <row r="180" spans="2:7">
      <c r="B180" s="44"/>
      <c r="C180" s="53" t="s">
        <v>26</v>
      </c>
      <c r="D180" s="53"/>
      <c r="E180" s="36">
        <v>135.66685090909075</v>
      </c>
      <c r="F180" s="54">
        <v>135.66685090909075</v>
      </c>
      <c r="G180" s="52"/>
    </row>
    <row r="181" spans="2:7">
      <c r="B181" s="44">
        <v>125</v>
      </c>
      <c r="C181" s="39" t="s">
        <v>47</v>
      </c>
      <c r="D181" s="39"/>
      <c r="E181" s="36"/>
      <c r="F181" s="50"/>
      <c r="G181" s="52"/>
    </row>
    <row r="182" spans="2:7">
      <c r="B182" s="44"/>
      <c r="C182" s="48" t="s">
        <v>48</v>
      </c>
      <c r="D182" s="48"/>
      <c r="E182" s="58">
        <v>0</v>
      </c>
      <c r="F182" s="50">
        <v>0</v>
      </c>
      <c r="G182" s="52"/>
    </row>
    <row r="183" spans="2:7">
      <c r="B183" s="44"/>
      <c r="C183" s="48" t="s">
        <v>49</v>
      </c>
      <c r="D183" s="48"/>
      <c r="E183" s="58">
        <v>0</v>
      </c>
      <c r="F183" s="50">
        <v>0</v>
      </c>
      <c r="G183" s="52"/>
    </row>
    <row r="184" spans="2:7">
      <c r="B184" s="44"/>
      <c r="C184" s="48" t="s">
        <v>50</v>
      </c>
      <c r="D184" s="48"/>
      <c r="E184" s="58">
        <v>108.5334807272726</v>
      </c>
      <c r="F184" s="50">
        <v>108.5334807272726</v>
      </c>
      <c r="G184" s="52"/>
    </row>
    <row r="185" spans="2:7">
      <c r="B185" s="44"/>
      <c r="C185" s="48" t="s">
        <v>51</v>
      </c>
      <c r="D185" s="48"/>
      <c r="E185" s="58">
        <v>0</v>
      </c>
      <c r="F185" s="50">
        <v>0</v>
      </c>
      <c r="G185" s="52"/>
    </row>
    <row r="186" spans="2:7">
      <c r="B186" s="44"/>
      <c r="C186" s="53" t="s">
        <v>26</v>
      </c>
      <c r="D186" s="53"/>
      <c r="E186" s="56">
        <v>108.5334807272726</v>
      </c>
      <c r="F186" s="54">
        <v>108.5334807272726</v>
      </c>
      <c r="G186" s="52"/>
    </row>
    <row r="187" spans="2:7">
      <c r="B187" s="44">
        <v>126</v>
      </c>
      <c r="C187" s="39" t="s">
        <v>52</v>
      </c>
      <c r="D187" s="39"/>
      <c r="E187" s="56"/>
      <c r="F187" s="50"/>
      <c r="G187" s="52"/>
    </row>
    <row r="188" spans="2:7">
      <c r="B188" s="44"/>
      <c r="C188" s="48" t="s">
        <v>53</v>
      </c>
      <c r="D188" s="48"/>
      <c r="E188" s="49">
        <v>0</v>
      </c>
      <c r="F188" s="50">
        <v>0</v>
      </c>
      <c r="G188" s="52"/>
    </row>
    <row r="189" spans="2:7">
      <c r="B189" s="44"/>
      <c r="C189" s="48" t="s">
        <v>54</v>
      </c>
      <c r="D189" s="48"/>
      <c r="E189" s="49">
        <v>0</v>
      </c>
      <c r="F189" s="50"/>
      <c r="G189" s="52"/>
    </row>
    <row r="190" spans="2:7">
      <c r="B190" s="44"/>
      <c r="C190" s="48" t="s">
        <v>55</v>
      </c>
      <c r="D190" s="48"/>
      <c r="E190" s="49">
        <v>0</v>
      </c>
      <c r="F190" s="50"/>
      <c r="G190" s="52"/>
    </row>
    <row r="191" spans="2:7">
      <c r="B191" s="44"/>
      <c r="C191" s="48" t="s">
        <v>56</v>
      </c>
      <c r="D191" s="48"/>
      <c r="E191" s="49">
        <v>0</v>
      </c>
      <c r="F191" s="57"/>
      <c r="G191" s="52"/>
    </row>
    <row r="192" spans="2:7">
      <c r="B192" s="44"/>
      <c r="C192" s="53" t="s">
        <v>26</v>
      </c>
      <c r="D192" s="53"/>
      <c r="E192" s="56">
        <v>0</v>
      </c>
      <c r="F192" s="54">
        <v>0</v>
      </c>
      <c r="G192" s="52"/>
    </row>
    <row r="193" spans="2:7">
      <c r="B193" s="44">
        <v>127</v>
      </c>
      <c r="C193" s="39" t="s">
        <v>57</v>
      </c>
      <c r="D193" s="39"/>
      <c r="E193" s="56"/>
      <c r="F193" s="54"/>
      <c r="G193" s="52"/>
    </row>
    <row r="194" spans="2:7">
      <c r="B194" s="44"/>
      <c r="C194" s="48" t="s">
        <v>58</v>
      </c>
      <c r="D194" s="48"/>
      <c r="E194" s="49">
        <v>0</v>
      </c>
      <c r="F194" s="50">
        <v>0</v>
      </c>
      <c r="G194" s="52"/>
    </row>
    <row r="195" spans="2:7">
      <c r="B195" s="44"/>
      <c r="C195" s="48" t="s">
        <v>59</v>
      </c>
      <c r="D195" s="48"/>
      <c r="E195" s="49">
        <v>0</v>
      </c>
      <c r="F195" s="50">
        <v>0</v>
      </c>
      <c r="G195" s="52"/>
    </row>
    <row r="196" spans="2:7">
      <c r="B196" s="44"/>
      <c r="C196" s="48" t="s">
        <v>60</v>
      </c>
      <c r="D196" s="48"/>
      <c r="E196" s="49">
        <v>0</v>
      </c>
      <c r="F196" s="50">
        <v>0</v>
      </c>
      <c r="G196" s="52"/>
    </row>
    <row r="197" spans="2:7">
      <c r="B197" s="44"/>
      <c r="C197" s="59" t="s">
        <v>61</v>
      </c>
      <c r="D197" s="59"/>
      <c r="E197" s="49">
        <v>0</v>
      </c>
      <c r="F197" s="50">
        <v>0</v>
      </c>
      <c r="G197" s="52"/>
    </row>
    <row r="198" spans="2:7">
      <c r="B198" s="44"/>
      <c r="C198" s="53" t="s">
        <v>26</v>
      </c>
      <c r="D198" s="53"/>
      <c r="E198" s="56">
        <v>0</v>
      </c>
      <c r="F198" s="54">
        <v>0</v>
      </c>
      <c r="G198" s="52"/>
    </row>
    <row r="199" spans="2:7">
      <c r="B199" s="44">
        <v>128</v>
      </c>
      <c r="C199" s="39" t="s">
        <v>62</v>
      </c>
      <c r="D199" s="39"/>
      <c r="E199" s="56"/>
      <c r="F199" s="54"/>
      <c r="G199" s="52"/>
    </row>
    <row r="200" spans="2:7">
      <c r="B200" s="44"/>
      <c r="C200" s="48" t="s">
        <v>63</v>
      </c>
      <c r="D200" s="48"/>
      <c r="E200" s="49">
        <v>0</v>
      </c>
      <c r="F200" s="50">
        <v>0</v>
      </c>
      <c r="G200" s="52"/>
    </row>
    <row r="201" spans="2:7">
      <c r="B201" s="44"/>
      <c r="C201" s="48" t="s">
        <v>64</v>
      </c>
      <c r="D201" s="48"/>
      <c r="E201" s="49">
        <v>0</v>
      </c>
      <c r="F201" s="50">
        <v>0</v>
      </c>
      <c r="G201" s="52"/>
    </row>
    <row r="202" spans="2:7">
      <c r="B202" s="44"/>
      <c r="C202" s="48" t="s">
        <v>65</v>
      </c>
      <c r="D202" s="48"/>
      <c r="E202" s="49">
        <v>325.60044218181781</v>
      </c>
      <c r="F202" s="50">
        <v>325.60044218181781</v>
      </c>
      <c r="G202" s="52"/>
    </row>
    <row r="203" spans="2:7">
      <c r="B203" s="44"/>
      <c r="C203" s="48" t="s">
        <v>66</v>
      </c>
      <c r="D203" s="48"/>
      <c r="E203" s="49">
        <v>0</v>
      </c>
      <c r="F203" s="50">
        <v>0</v>
      </c>
      <c r="G203" s="52"/>
    </row>
    <row r="204" spans="2:7">
      <c r="B204" s="44"/>
      <c r="C204" s="48" t="s">
        <v>67</v>
      </c>
      <c r="D204" s="48"/>
      <c r="E204" s="49">
        <v>0</v>
      </c>
      <c r="F204" s="50">
        <v>0</v>
      </c>
      <c r="G204" s="52"/>
    </row>
    <row r="205" spans="2:7">
      <c r="B205" s="44"/>
      <c r="C205" s="53" t="s">
        <v>26</v>
      </c>
      <c r="D205" s="53"/>
      <c r="E205" s="56">
        <v>325.60044218181781</v>
      </c>
      <c r="F205" s="54">
        <v>325.60044218181781</v>
      </c>
      <c r="G205" s="52"/>
    </row>
    <row r="206" spans="2:7">
      <c r="B206" s="44">
        <v>135</v>
      </c>
      <c r="C206" s="39" t="s">
        <v>68</v>
      </c>
      <c r="D206" s="39"/>
      <c r="E206" s="56"/>
      <c r="F206" s="50"/>
      <c r="G206" s="52"/>
    </row>
    <row r="207" spans="2:7">
      <c r="B207" s="44"/>
      <c r="C207" s="48" t="s">
        <v>69</v>
      </c>
      <c r="D207" s="48"/>
      <c r="E207" s="49">
        <v>0</v>
      </c>
      <c r="F207" s="50">
        <v>0</v>
      </c>
      <c r="G207" s="52"/>
    </row>
    <row r="208" spans="2:7">
      <c r="B208" s="44"/>
      <c r="C208" s="48" t="s">
        <v>70</v>
      </c>
      <c r="D208" s="48"/>
      <c r="E208" s="49">
        <v>0</v>
      </c>
      <c r="F208" s="50">
        <v>0</v>
      </c>
      <c r="G208" s="52"/>
    </row>
    <row r="209" spans="2:7">
      <c r="B209" s="44"/>
      <c r="C209" s="48" t="s">
        <v>71</v>
      </c>
      <c r="D209" s="48"/>
      <c r="E209" s="49">
        <v>0</v>
      </c>
      <c r="F209" s="50">
        <v>0</v>
      </c>
      <c r="G209" s="52"/>
    </row>
    <row r="210" spans="2:7">
      <c r="B210" s="44"/>
      <c r="C210" s="48" t="s">
        <v>72</v>
      </c>
      <c r="D210" s="48"/>
      <c r="E210" s="49">
        <v>0</v>
      </c>
      <c r="F210" s="50">
        <v>0</v>
      </c>
      <c r="G210" s="52"/>
    </row>
    <row r="211" spans="2:7">
      <c r="B211" s="44"/>
      <c r="C211" s="48" t="s">
        <v>73</v>
      </c>
      <c r="D211" s="48"/>
      <c r="E211" s="49">
        <v>177.60024119008227</v>
      </c>
      <c r="F211" s="50">
        <v>177.60024119008227</v>
      </c>
      <c r="G211" s="52"/>
    </row>
    <row r="212" spans="2:7">
      <c r="B212" s="44"/>
      <c r="C212" s="48" t="s">
        <v>74</v>
      </c>
      <c r="D212" s="48"/>
      <c r="E212" s="49">
        <v>0</v>
      </c>
      <c r="F212" s="50">
        <v>0</v>
      </c>
      <c r="G212" s="52"/>
    </row>
    <row r="213" spans="2:7">
      <c r="B213" s="44"/>
      <c r="C213" s="48" t="s">
        <v>75</v>
      </c>
      <c r="D213" s="48"/>
      <c r="E213" s="49">
        <v>841.13447563636271</v>
      </c>
      <c r="F213" s="50">
        <v>841.13447563636271</v>
      </c>
      <c r="G213" s="52"/>
    </row>
    <row r="214" spans="2:7">
      <c r="B214" s="44"/>
      <c r="C214" s="48" t="s">
        <v>76</v>
      </c>
      <c r="D214" s="48"/>
      <c r="E214" s="49">
        <v>0</v>
      </c>
      <c r="F214" s="50">
        <v>0</v>
      </c>
      <c r="G214" s="52"/>
    </row>
    <row r="215" spans="2:7">
      <c r="B215" s="44"/>
      <c r="C215" s="48" t="s">
        <v>77</v>
      </c>
      <c r="D215" s="48"/>
      <c r="E215" s="49">
        <v>0</v>
      </c>
      <c r="F215" s="50">
        <v>0</v>
      </c>
      <c r="G215" s="52"/>
    </row>
    <row r="216" spans="2:7">
      <c r="B216" s="44"/>
      <c r="C216" s="53" t="s">
        <v>26</v>
      </c>
      <c r="D216" s="53"/>
      <c r="E216" s="56">
        <v>1018.734716826445</v>
      </c>
      <c r="F216" s="54">
        <v>1018.734716826445</v>
      </c>
      <c r="G216" s="52"/>
    </row>
    <row r="217" spans="2:7">
      <c r="B217" s="44">
        <v>136</v>
      </c>
      <c r="C217" s="39" t="s">
        <v>78</v>
      </c>
      <c r="D217" s="39"/>
      <c r="E217" s="56"/>
      <c r="F217" s="50"/>
      <c r="G217" s="52"/>
    </row>
    <row r="218" spans="2:7">
      <c r="B218" s="44"/>
      <c r="C218" s="48" t="s">
        <v>79</v>
      </c>
      <c r="D218" s="48"/>
      <c r="E218" s="49">
        <v>0</v>
      </c>
      <c r="F218" s="50">
        <v>0</v>
      </c>
      <c r="G218" s="52"/>
    </row>
    <row r="219" spans="2:7">
      <c r="B219" s="44"/>
      <c r="C219" s="48" t="s">
        <v>80</v>
      </c>
      <c r="D219" s="48"/>
      <c r="E219" s="49">
        <v>0</v>
      </c>
      <c r="F219" s="50">
        <v>0</v>
      </c>
      <c r="G219" s="52"/>
    </row>
    <row r="220" spans="2:7">
      <c r="B220" s="44"/>
      <c r="C220" s="48" t="s">
        <v>81</v>
      </c>
      <c r="D220" s="48"/>
      <c r="E220" s="49">
        <v>0</v>
      </c>
      <c r="F220" s="50">
        <v>0</v>
      </c>
      <c r="G220" s="52"/>
    </row>
    <row r="221" spans="2:7">
      <c r="B221" s="44"/>
      <c r="C221" s="48" t="s">
        <v>82</v>
      </c>
      <c r="D221" s="48"/>
      <c r="E221" s="49">
        <v>0</v>
      </c>
      <c r="F221" s="50">
        <v>0</v>
      </c>
      <c r="G221" s="52"/>
    </row>
    <row r="222" spans="2:7">
      <c r="B222" s="44"/>
      <c r="C222" s="48" t="s">
        <v>83</v>
      </c>
      <c r="D222" s="48"/>
      <c r="E222" s="49">
        <v>0</v>
      </c>
      <c r="F222" s="50">
        <v>0</v>
      </c>
      <c r="G222" s="52"/>
    </row>
    <row r="223" spans="2:7">
      <c r="B223" s="44"/>
      <c r="C223" s="48" t="s">
        <v>84</v>
      </c>
      <c r="D223" s="48"/>
      <c r="E223" s="49">
        <v>0</v>
      </c>
      <c r="F223" s="50">
        <v>0</v>
      </c>
      <c r="G223" s="52"/>
    </row>
    <row r="224" spans="2:7">
      <c r="B224" s="44"/>
      <c r="C224" s="53" t="s">
        <v>26</v>
      </c>
      <c r="D224" s="53"/>
      <c r="E224" s="56">
        <v>0</v>
      </c>
      <c r="F224" s="54">
        <v>0</v>
      </c>
      <c r="G224" s="52"/>
    </row>
    <row r="225" spans="2:7">
      <c r="B225" s="44">
        <v>142</v>
      </c>
      <c r="C225" s="39" t="s">
        <v>85</v>
      </c>
      <c r="D225" s="39"/>
      <c r="E225" s="56"/>
      <c r="F225" s="50"/>
      <c r="G225" s="52"/>
    </row>
    <row r="226" spans="2:7">
      <c r="B226" s="44"/>
      <c r="C226" s="48" t="s">
        <v>86</v>
      </c>
      <c r="D226" s="48"/>
      <c r="E226" s="49">
        <v>0</v>
      </c>
      <c r="F226" s="50">
        <v>0</v>
      </c>
      <c r="G226" s="52"/>
    </row>
    <row r="227" spans="2:7">
      <c r="B227" s="44"/>
      <c r="C227" s="48" t="s">
        <v>87</v>
      </c>
      <c r="D227" s="48"/>
      <c r="E227" s="49">
        <v>0</v>
      </c>
      <c r="F227" s="50">
        <v>0</v>
      </c>
      <c r="G227" s="52"/>
    </row>
    <row r="228" spans="2:7">
      <c r="B228" s="44"/>
      <c r="C228" s="53" t="s">
        <v>26</v>
      </c>
      <c r="D228" s="53"/>
      <c r="E228" s="56">
        <v>0</v>
      </c>
      <c r="F228" s="54">
        <v>0</v>
      </c>
      <c r="G228" s="52"/>
    </row>
    <row r="229" spans="2:7">
      <c r="B229" s="44">
        <v>144</v>
      </c>
      <c r="C229" s="39" t="s">
        <v>88</v>
      </c>
      <c r="D229" s="39"/>
      <c r="E229" s="49">
        <v>0</v>
      </c>
      <c r="F229" s="54">
        <v>0</v>
      </c>
      <c r="G229" s="52"/>
    </row>
    <row r="230" spans="2:7">
      <c r="B230" s="44">
        <v>221</v>
      </c>
      <c r="C230" s="39" t="s">
        <v>89</v>
      </c>
      <c r="D230" s="39"/>
      <c r="E230" s="49">
        <v>0</v>
      </c>
      <c r="F230" s="54">
        <v>0</v>
      </c>
      <c r="G230" s="52"/>
    </row>
    <row r="231" spans="2:7">
      <c r="B231" s="44">
        <v>222</v>
      </c>
      <c r="C231" s="39" t="s">
        <v>90</v>
      </c>
      <c r="D231" s="39"/>
      <c r="E231" s="49">
        <v>0</v>
      </c>
      <c r="F231" s="54">
        <v>0</v>
      </c>
      <c r="G231" s="52"/>
    </row>
    <row r="232" spans="2:7">
      <c r="B232" s="44">
        <v>224</v>
      </c>
      <c r="C232" s="39" t="s">
        <v>91</v>
      </c>
      <c r="D232" s="39"/>
      <c r="E232" s="49">
        <v>0</v>
      </c>
      <c r="F232" s="54">
        <v>0</v>
      </c>
      <c r="G232" s="52"/>
    </row>
    <row r="233" spans="2:7">
      <c r="B233" s="44">
        <v>225</v>
      </c>
      <c r="C233" s="39" t="s">
        <v>92</v>
      </c>
      <c r="D233" s="39"/>
      <c r="E233" s="49">
        <v>0</v>
      </c>
      <c r="F233" s="54">
        <v>0</v>
      </c>
      <c r="G233" s="38"/>
    </row>
    <row r="234" spans="2:7">
      <c r="B234" s="44">
        <v>226</v>
      </c>
      <c r="C234" s="39" t="s">
        <v>93</v>
      </c>
      <c r="D234" s="39"/>
      <c r="E234" s="49">
        <v>0</v>
      </c>
      <c r="F234" s="54">
        <v>0</v>
      </c>
      <c r="G234" s="60"/>
    </row>
    <row r="235" spans="2:7" ht="15.75" thickBot="1">
      <c r="B235" s="61"/>
      <c r="C235" s="62" t="s">
        <v>94</v>
      </c>
      <c r="D235" s="62"/>
      <c r="E235" s="94">
        <v>0</v>
      </c>
      <c r="F235" s="63">
        <v>0</v>
      </c>
      <c r="G235" s="38"/>
    </row>
    <row r="236" spans="2:7">
      <c r="B236" s="64"/>
      <c r="C236" s="65" t="s">
        <v>95</v>
      </c>
      <c r="D236" s="66"/>
      <c r="E236" s="67">
        <v>2713.3370181818141</v>
      </c>
      <c r="F236" s="68">
        <v>2713.3370181818141</v>
      </c>
      <c r="G236" s="69"/>
    </row>
    <row r="237" spans="2:7" ht="15.75" thickBot="1">
      <c r="B237" s="64"/>
      <c r="C237" s="70"/>
      <c r="D237" s="71"/>
      <c r="E237" s="72"/>
      <c r="F237" s="73"/>
      <c r="G237" s="69"/>
    </row>
    <row r="238" spans="2:7" ht="15.75" thickBot="1">
      <c r="B238" s="64"/>
      <c r="C238" s="70" t="s">
        <v>96</v>
      </c>
      <c r="D238" s="71"/>
      <c r="E238" s="74">
        <v>13761.81686677687</v>
      </c>
      <c r="F238" s="75">
        <v>13761.81686677687</v>
      </c>
      <c r="G238" s="76"/>
    </row>
    <row r="239" spans="2:7" ht="8.25" customHeight="1" thickBot="1">
      <c r="B239" s="77"/>
      <c r="C239" s="81"/>
      <c r="D239" s="81"/>
      <c r="E239" s="78"/>
      <c r="F239" s="78"/>
      <c r="G239" s="79"/>
    </row>
    <row r="240" spans="2:7">
      <c r="B240" s="85"/>
      <c r="C240" s="84"/>
      <c r="D240" s="84"/>
      <c r="E240" s="85"/>
      <c r="F240" s="85"/>
      <c r="G240" s="85"/>
    </row>
    <row r="241" spans="1:7" ht="6" customHeight="1" thickBot="1"/>
    <row r="242" spans="1:7">
      <c r="B242" s="1"/>
      <c r="C242" s="2"/>
      <c r="D242" s="2"/>
      <c r="E242" s="2"/>
      <c r="F242" s="2"/>
      <c r="G242" s="3"/>
    </row>
    <row r="243" spans="1:7">
      <c r="B243" s="4"/>
      <c r="C243" s="5"/>
      <c r="D243" s="5"/>
      <c r="E243" s="5"/>
      <c r="F243" s="5"/>
      <c r="G243" s="6"/>
    </row>
    <row r="244" spans="1:7">
      <c r="B244" s="4"/>
      <c r="C244" s="5"/>
      <c r="D244" s="5"/>
      <c r="E244" s="5"/>
      <c r="F244" s="5"/>
      <c r="G244" s="6"/>
    </row>
    <row r="245" spans="1:7">
      <c r="B245" s="4"/>
      <c r="C245" s="5"/>
      <c r="D245" s="5"/>
      <c r="E245" s="5"/>
      <c r="F245" s="5"/>
      <c r="G245" s="6"/>
    </row>
    <row r="246" spans="1:7">
      <c r="B246" s="4"/>
      <c r="C246" s="5"/>
      <c r="D246" s="5"/>
      <c r="E246" s="5"/>
      <c r="F246" s="5"/>
      <c r="G246" s="6"/>
    </row>
    <row r="247" spans="1:7" ht="16.5" customHeight="1">
      <c r="B247" s="4"/>
      <c r="C247" s="5"/>
      <c r="D247" s="5"/>
      <c r="E247" s="5"/>
      <c r="F247" s="5"/>
      <c r="G247" s="6"/>
    </row>
    <row r="248" spans="1:7" ht="22.5" customHeight="1" thickBot="1">
      <c r="B248" s="4"/>
      <c r="C248" s="95" t="s">
        <v>0</v>
      </c>
      <c r="D248" s="95"/>
      <c r="E248" s="95"/>
      <c r="F248" s="5"/>
      <c r="G248" s="6"/>
    </row>
    <row r="249" spans="1:7" ht="21" thickTop="1">
      <c r="B249" s="4"/>
      <c r="C249" s="7"/>
      <c r="D249" s="7"/>
      <c r="E249" s="5"/>
      <c r="F249" s="5"/>
      <c r="G249" s="6"/>
    </row>
    <row r="250" spans="1:7">
      <c r="B250" s="8" t="s">
        <v>1</v>
      </c>
      <c r="C250" s="9" t="s">
        <v>97</v>
      </c>
      <c r="D250" s="5"/>
      <c r="E250" s="10" t="s">
        <v>2</v>
      </c>
      <c r="F250" s="9" t="s">
        <v>98</v>
      </c>
      <c r="G250" s="6"/>
    </row>
    <row r="251" spans="1:7" ht="3.75" customHeight="1">
      <c r="A251" s="80"/>
      <c r="B251" s="5"/>
      <c r="C251" s="5"/>
      <c r="D251" s="5"/>
      <c r="E251" s="11"/>
      <c r="F251" s="5"/>
      <c r="G251" s="6"/>
    </row>
    <row r="252" spans="1:7">
      <c r="A252" s="80"/>
      <c r="B252" s="12" t="s">
        <v>3</v>
      </c>
      <c r="C252" s="9" t="s">
        <v>99</v>
      </c>
      <c r="D252" s="5"/>
      <c r="E252" s="10" t="s">
        <v>4</v>
      </c>
      <c r="F252" s="82" t="s">
        <v>100</v>
      </c>
      <c r="G252" s="6"/>
    </row>
    <row r="253" spans="1:7" ht="3.75" customHeight="1">
      <c r="A253" s="80"/>
      <c r="B253" s="5"/>
      <c r="C253" s="5"/>
      <c r="D253" s="5"/>
      <c r="E253" s="11"/>
      <c r="F253" s="5"/>
      <c r="G253" s="6"/>
    </row>
    <row r="254" spans="1:7">
      <c r="A254" s="80"/>
      <c r="B254" s="10" t="s">
        <v>5</v>
      </c>
      <c r="C254" s="9" t="s">
        <v>101</v>
      </c>
      <c r="D254" s="5"/>
      <c r="E254" s="10" t="s">
        <v>6</v>
      </c>
      <c r="F254" s="9" t="s">
        <v>107</v>
      </c>
      <c r="G254" s="6"/>
    </row>
    <row r="255" spans="1:7" ht="4.5" customHeight="1">
      <c r="A255" s="80"/>
      <c r="B255" s="13"/>
      <c r="C255" s="5"/>
      <c r="D255" s="5"/>
      <c r="E255" s="11"/>
      <c r="F255" s="5"/>
      <c r="G255" s="6"/>
    </row>
    <row r="256" spans="1:7">
      <c r="A256" s="80"/>
      <c r="B256" s="10" t="s">
        <v>7</v>
      </c>
      <c r="C256" s="9" t="s">
        <v>123</v>
      </c>
      <c r="D256" s="5"/>
      <c r="E256" s="11"/>
      <c r="F256" s="5"/>
      <c r="G256" s="6"/>
    </row>
    <row r="257" spans="1:7" ht="3.75" customHeight="1">
      <c r="A257" s="80"/>
      <c r="B257" s="5"/>
      <c r="C257" s="5"/>
      <c r="D257" s="5"/>
      <c r="E257" s="11"/>
      <c r="F257" s="5"/>
      <c r="G257" s="6"/>
    </row>
    <row r="258" spans="1:7">
      <c r="B258" s="14" t="s">
        <v>8</v>
      </c>
      <c r="C258" s="15" t="s">
        <v>105</v>
      </c>
      <c r="D258" s="5"/>
      <c r="E258" s="86" t="s">
        <v>109</v>
      </c>
      <c r="F258" s="87">
        <v>45352</v>
      </c>
      <c r="G258" s="6"/>
    </row>
    <row r="259" spans="1:7">
      <c r="B259" s="16" t="s">
        <v>9</v>
      </c>
      <c r="C259" s="17" t="s">
        <v>130</v>
      </c>
      <c r="D259" s="5"/>
      <c r="E259" s="88" t="s">
        <v>110</v>
      </c>
      <c r="F259" s="89">
        <v>45382</v>
      </c>
      <c r="G259" s="18"/>
    </row>
    <row r="260" spans="1:7" ht="15.75" thickBot="1">
      <c r="B260" s="4"/>
      <c r="C260" s="19"/>
      <c r="D260" s="19"/>
      <c r="E260" s="20"/>
      <c r="F260" s="21"/>
      <c r="G260" s="18"/>
    </row>
    <row r="261" spans="1:7" ht="18.75" thickBot="1">
      <c r="B261" s="4"/>
      <c r="C261" s="22" t="s">
        <v>10</v>
      </c>
      <c r="D261" s="23"/>
      <c r="E261" s="24"/>
      <c r="F261" s="25" t="s">
        <v>11</v>
      </c>
      <c r="G261" s="18"/>
    </row>
    <row r="262" spans="1:7">
      <c r="B262" s="4"/>
      <c r="C262" s="26" t="s">
        <v>12</v>
      </c>
      <c r="D262" s="26"/>
      <c r="E262" s="27">
        <v>13761.81686677687</v>
      </c>
      <c r="F262" s="28">
        <v>13761.81686677687</v>
      </c>
      <c r="G262" s="29"/>
    </row>
    <row r="263" spans="1:7">
      <c r="B263" s="30">
        <v>143</v>
      </c>
      <c r="C263" s="31" t="s">
        <v>13</v>
      </c>
      <c r="D263" s="31"/>
      <c r="E263" s="27">
        <v>4578.6174545454505</v>
      </c>
      <c r="F263" s="32">
        <v>4578.6174545454505</v>
      </c>
      <c r="G263" s="33"/>
    </row>
    <row r="264" spans="1:7">
      <c r="B264" s="30"/>
      <c r="C264" s="34" t="s">
        <v>14</v>
      </c>
      <c r="D264" s="34"/>
      <c r="E264" s="27">
        <v>0</v>
      </c>
      <c r="F264" s="32">
        <v>0</v>
      </c>
      <c r="G264" s="33"/>
    </row>
    <row r="265" spans="1:7">
      <c r="B265" s="30"/>
      <c r="C265" s="34" t="s">
        <v>15</v>
      </c>
      <c r="D265" s="34"/>
      <c r="E265" s="27">
        <v>0</v>
      </c>
      <c r="F265" s="32">
        <v>0</v>
      </c>
      <c r="G265" s="33"/>
    </row>
    <row r="266" spans="1:7">
      <c r="B266" s="30"/>
      <c r="C266" s="34" t="s">
        <v>16</v>
      </c>
      <c r="D266" s="34"/>
      <c r="E266" s="27">
        <v>0</v>
      </c>
      <c r="F266" s="32">
        <v>0</v>
      </c>
      <c r="G266" s="33"/>
    </row>
    <row r="267" spans="1:7">
      <c r="B267" s="30"/>
      <c r="C267" s="34" t="s">
        <v>17</v>
      </c>
      <c r="D267" s="34"/>
      <c r="E267" s="27">
        <v>0</v>
      </c>
      <c r="F267" s="32">
        <v>0</v>
      </c>
      <c r="G267" s="33"/>
    </row>
    <row r="268" spans="1:7">
      <c r="B268" s="30"/>
      <c r="C268" s="35" t="s">
        <v>18</v>
      </c>
      <c r="D268" s="35"/>
      <c r="E268" s="36">
        <v>18340.434321322318</v>
      </c>
      <c r="F268" s="37">
        <v>18340.434321322318</v>
      </c>
      <c r="G268" s="38"/>
    </row>
    <row r="269" spans="1:7" ht="15.75" thickBot="1">
      <c r="B269" s="30"/>
      <c r="C269" s="39"/>
      <c r="D269" s="39"/>
      <c r="E269" s="40"/>
      <c r="F269" s="41"/>
      <c r="G269" s="38"/>
    </row>
    <row r="270" spans="1:7" ht="18.75" thickBot="1">
      <c r="B270" s="30"/>
      <c r="C270" s="22" t="s">
        <v>19</v>
      </c>
      <c r="D270" s="23"/>
      <c r="E270" s="42"/>
      <c r="F270" s="43"/>
      <c r="G270" s="38"/>
    </row>
    <row r="271" spans="1:7">
      <c r="B271" s="44">
        <v>121</v>
      </c>
      <c r="C271" s="39" t="s">
        <v>20</v>
      </c>
      <c r="D271" s="39"/>
      <c r="E271" s="45"/>
      <c r="F271" s="46"/>
      <c r="G271" s="47"/>
    </row>
    <row r="272" spans="1:7">
      <c r="B272" s="44"/>
      <c r="C272" s="48" t="s">
        <v>21</v>
      </c>
      <c r="D272" s="48"/>
      <c r="E272" s="49">
        <v>0</v>
      </c>
      <c r="F272" s="50">
        <v>0</v>
      </c>
      <c r="G272" s="47"/>
    </row>
    <row r="273" spans="2:7">
      <c r="B273" s="44"/>
      <c r="C273" s="48" t="s">
        <v>22</v>
      </c>
      <c r="D273" s="48"/>
      <c r="E273" s="49">
        <v>0</v>
      </c>
      <c r="F273" s="50">
        <v>0</v>
      </c>
      <c r="G273" s="47"/>
    </row>
    <row r="274" spans="2:7">
      <c r="B274" s="51"/>
      <c r="C274" s="48" t="s">
        <v>23</v>
      </c>
      <c r="D274" s="48"/>
      <c r="E274" s="49">
        <v>0</v>
      </c>
      <c r="F274" s="50">
        <v>0</v>
      </c>
      <c r="G274" s="52"/>
    </row>
    <row r="275" spans="2:7">
      <c r="B275" s="51"/>
      <c r="C275" s="48" t="s">
        <v>24</v>
      </c>
      <c r="D275" s="48"/>
      <c r="E275" s="49">
        <v>814.0011054545447</v>
      </c>
      <c r="F275" s="50">
        <v>814.0011054545447</v>
      </c>
      <c r="G275" s="52"/>
    </row>
    <row r="276" spans="2:7">
      <c r="B276" s="44"/>
      <c r="C276" s="48" t="s">
        <v>25</v>
      </c>
      <c r="D276" s="48"/>
      <c r="E276" s="49">
        <v>0</v>
      </c>
      <c r="F276" s="50">
        <v>0</v>
      </c>
      <c r="G276" s="52"/>
    </row>
    <row r="277" spans="2:7">
      <c r="B277" s="44"/>
      <c r="C277" s="53" t="s">
        <v>26</v>
      </c>
      <c r="D277" s="53"/>
      <c r="E277" s="36">
        <v>814.0011054545447</v>
      </c>
      <c r="F277" s="54">
        <v>814.0011054545447</v>
      </c>
      <c r="G277" s="52"/>
    </row>
    <row r="278" spans="2:7">
      <c r="B278" s="44">
        <v>122</v>
      </c>
      <c r="C278" s="39" t="s">
        <v>27</v>
      </c>
      <c r="D278" s="39"/>
      <c r="E278" s="36"/>
      <c r="F278" s="50"/>
      <c r="G278" s="55"/>
    </row>
    <row r="279" spans="2:7">
      <c r="B279" s="44"/>
      <c r="C279" s="48" t="s">
        <v>28</v>
      </c>
      <c r="D279" s="48"/>
      <c r="E279" s="49">
        <v>0</v>
      </c>
      <c r="F279" s="50">
        <v>0</v>
      </c>
      <c r="G279" s="52"/>
    </row>
    <row r="280" spans="2:7">
      <c r="B280" s="44"/>
      <c r="C280" s="48" t="s">
        <v>29</v>
      </c>
      <c r="D280" s="48"/>
      <c r="E280" s="49">
        <v>0</v>
      </c>
      <c r="F280" s="50">
        <v>0</v>
      </c>
      <c r="G280" s="52"/>
    </row>
    <row r="281" spans="2:7">
      <c r="B281" s="44"/>
      <c r="C281" s="48" t="s">
        <v>30</v>
      </c>
      <c r="D281" s="48"/>
      <c r="E281" s="49">
        <v>0</v>
      </c>
      <c r="F281" s="50">
        <v>0</v>
      </c>
      <c r="G281" s="52"/>
    </row>
    <row r="282" spans="2:7">
      <c r="B282" s="44"/>
      <c r="C282" s="48" t="s">
        <v>31</v>
      </c>
      <c r="D282" s="48"/>
      <c r="E282" s="49">
        <v>0</v>
      </c>
      <c r="F282" s="50">
        <v>0</v>
      </c>
      <c r="G282" s="52"/>
    </row>
    <row r="283" spans="2:7">
      <c r="B283" s="44"/>
      <c r="C283" s="48" t="s">
        <v>32</v>
      </c>
      <c r="D283" s="48"/>
      <c r="E283" s="49">
        <v>271.33370181818157</v>
      </c>
      <c r="F283" s="50">
        <v>271.33370181818157</v>
      </c>
      <c r="G283" s="52"/>
    </row>
    <row r="284" spans="2:7">
      <c r="B284" s="44"/>
      <c r="C284" s="48" t="s">
        <v>33</v>
      </c>
      <c r="D284" s="48"/>
      <c r="E284" s="49">
        <v>0</v>
      </c>
      <c r="F284" s="50">
        <v>0</v>
      </c>
      <c r="G284" s="52"/>
    </row>
    <row r="285" spans="2:7">
      <c r="B285" s="44"/>
      <c r="C285" s="48" t="s">
        <v>34</v>
      </c>
      <c r="D285" s="48"/>
      <c r="E285" s="49">
        <v>0</v>
      </c>
      <c r="F285" s="50">
        <v>0</v>
      </c>
      <c r="G285" s="52"/>
    </row>
    <row r="286" spans="2:7">
      <c r="B286" s="44"/>
      <c r="C286" s="48" t="s">
        <v>35</v>
      </c>
      <c r="D286" s="48"/>
      <c r="E286" s="49">
        <v>0</v>
      </c>
      <c r="F286" s="50">
        <v>0</v>
      </c>
      <c r="G286" s="52"/>
    </row>
    <row r="287" spans="2:7">
      <c r="B287" s="44"/>
      <c r="C287" s="53" t="s">
        <v>26</v>
      </c>
      <c r="D287" s="53"/>
      <c r="E287" s="36">
        <v>271.33370181818157</v>
      </c>
      <c r="F287" s="54">
        <v>271.33370181818157</v>
      </c>
      <c r="G287" s="52"/>
    </row>
    <row r="288" spans="2:7">
      <c r="B288" s="44">
        <v>123</v>
      </c>
      <c r="C288" s="39" t="s">
        <v>36</v>
      </c>
      <c r="D288" s="39"/>
      <c r="E288" s="56"/>
      <c r="F288" s="57"/>
      <c r="G288" s="52"/>
    </row>
    <row r="289" spans="2:7">
      <c r="B289" s="44"/>
      <c r="C289" s="48" t="s">
        <v>37</v>
      </c>
      <c r="D289" s="48"/>
      <c r="E289" s="49">
        <v>222.00030148760285</v>
      </c>
      <c r="F289" s="50">
        <v>222.00030148760285</v>
      </c>
      <c r="G289" s="52"/>
    </row>
    <row r="290" spans="2:7">
      <c r="B290" s="44"/>
      <c r="C290" s="48" t="s">
        <v>38</v>
      </c>
      <c r="D290" s="48"/>
      <c r="E290" s="49">
        <v>1825.3358122314014</v>
      </c>
      <c r="F290" s="50">
        <v>1825.3358122314014</v>
      </c>
      <c r="G290" s="52"/>
    </row>
    <row r="291" spans="2:7">
      <c r="B291" s="44"/>
      <c r="C291" s="48" t="s">
        <v>39</v>
      </c>
      <c r="D291" s="48"/>
      <c r="E291" s="49">
        <v>222.00030148760285</v>
      </c>
      <c r="F291" s="50">
        <v>222.00030148760285</v>
      </c>
      <c r="G291" s="52"/>
    </row>
    <row r="292" spans="2:7">
      <c r="B292" s="44"/>
      <c r="C292" s="48" t="s">
        <v>40</v>
      </c>
      <c r="D292" s="48"/>
      <c r="E292" s="49">
        <v>0</v>
      </c>
      <c r="F292" s="50">
        <v>0</v>
      </c>
      <c r="G292" s="52"/>
    </row>
    <row r="293" spans="2:7">
      <c r="B293" s="44"/>
      <c r="C293" s="48" t="s">
        <v>41</v>
      </c>
      <c r="D293" s="48"/>
      <c r="E293" s="49">
        <v>0</v>
      </c>
      <c r="F293" s="50">
        <v>0</v>
      </c>
      <c r="G293" s="52"/>
    </row>
    <row r="294" spans="2:7">
      <c r="B294" s="44"/>
      <c r="C294" s="48" t="s">
        <v>42</v>
      </c>
      <c r="D294" s="48"/>
      <c r="E294" s="49">
        <v>444.00060297520571</v>
      </c>
      <c r="F294" s="50">
        <v>444.00060297520571</v>
      </c>
      <c r="G294" s="52"/>
    </row>
    <row r="295" spans="2:7">
      <c r="B295" s="44"/>
      <c r="C295" s="53" t="s">
        <v>26</v>
      </c>
      <c r="D295" s="53"/>
      <c r="E295" s="36">
        <v>2713.3370181818127</v>
      </c>
      <c r="F295" s="54">
        <v>2713.3370181818127</v>
      </c>
      <c r="G295" s="52"/>
    </row>
    <row r="296" spans="2:7">
      <c r="B296" s="44">
        <v>124</v>
      </c>
      <c r="C296" s="39" t="s">
        <v>43</v>
      </c>
      <c r="D296" s="39"/>
      <c r="E296" s="56"/>
      <c r="F296" s="57"/>
      <c r="G296" s="52"/>
    </row>
    <row r="297" spans="2:7">
      <c r="B297" s="44"/>
      <c r="C297" s="48" t="s">
        <v>44</v>
      </c>
      <c r="D297" s="48"/>
      <c r="E297" s="49">
        <v>0</v>
      </c>
      <c r="F297" s="50">
        <v>0</v>
      </c>
      <c r="G297" s="52"/>
    </row>
    <row r="298" spans="2:7">
      <c r="B298" s="44"/>
      <c r="C298" s="48" t="s">
        <v>45</v>
      </c>
      <c r="D298" s="48"/>
      <c r="E298" s="49">
        <v>2102.8361890909068</v>
      </c>
      <c r="F298" s="50">
        <v>2102.8361890909068</v>
      </c>
      <c r="G298" s="52"/>
    </row>
    <row r="299" spans="2:7">
      <c r="B299" s="44"/>
      <c r="C299" s="48" t="s">
        <v>46</v>
      </c>
      <c r="D299" s="48"/>
      <c r="E299" s="49">
        <v>0</v>
      </c>
      <c r="F299" s="50">
        <v>0</v>
      </c>
      <c r="G299" s="52"/>
    </row>
    <row r="300" spans="2:7">
      <c r="B300" s="44"/>
      <c r="C300" s="53" t="s">
        <v>26</v>
      </c>
      <c r="D300" s="53"/>
      <c r="E300" s="36">
        <v>2102.8361890909068</v>
      </c>
      <c r="F300" s="54">
        <v>2102.8361890909068</v>
      </c>
      <c r="G300" s="52"/>
    </row>
    <row r="301" spans="2:7">
      <c r="B301" s="44">
        <v>125</v>
      </c>
      <c r="C301" s="39" t="s">
        <v>47</v>
      </c>
      <c r="D301" s="39"/>
      <c r="E301" s="36"/>
      <c r="F301" s="50"/>
      <c r="G301" s="52"/>
    </row>
    <row r="302" spans="2:7">
      <c r="B302" s="44"/>
      <c r="C302" s="48" t="s">
        <v>48</v>
      </c>
      <c r="D302" s="48"/>
      <c r="E302" s="58">
        <v>0</v>
      </c>
      <c r="F302" s="50">
        <v>0</v>
      </c>
      <c r="G302" s="52"/>
    </row>
    <row r="303" spans="2:7">
      <c r="B303" s="44"/>
      <c r="C303" s="48" t="s">
        <v>49</v>
      </c>
      <c r="D303" s="48"/>
      <c r="E303" s="58">
        <v>0</v>
      </c>
      <c r="F303" s="50">
        <v>0</v>
      </c>
      <c r="G303" s="52"/>
    </row>
    <row r="304" spans="2:7">
      <c r="B304" s="44"/>
      <c r="C304" s="48" t="s">
        <v>50</v>
      </c>
      <c r="D304" s="48"/>
      <c r="E304" s="58">
        <v>881.83453090909018</v>
      </c>
      <c r="F304" s="50">
        <v>881.83453090909018</v>
      </c>
      <c r="G304" s="52"/>
    </row>
    <row r="305" spans="2:7">
      <c r="B305" s="44"/>
      <c r="C305" s="48" t="s">
        <v>51</v>
      </c>
      <c r="D305" s="48"/>
      <c r="E305" s="58">
        <v>0</v>
      </c>
      <c r="F305" s="50">
        <v>0</v>
      </c>
      <c r="G305" s="52"/>
    </row>
    <row r="306" spans="2:7">
      <c r="B306" s="44"/>
      <c r="C306" s="53" t="s">
        <v>26</v>
      </c>
      <c r="D306" s="53"/>
      <c r="E306" s="56">
        <v>881.83453090909018</v>
      </c>
      <c r="F306" s="54">
        <v>881.83453090909018</v>
      </c>
      <c r="G306" s="52"/>
    </row>
    <row r="307" spans="2:7">
      <c r="B307" s="44">
        <v>126</v>
      </c>
      <c r="C307" s="39" t="s">
        <v>52</v>
      </c>
      <c r="D307" s="39"/>
      <c r="E307" s="56"/>
      <c r="F307" s="50"/>
      <c r="G307" s="52"/>
    </row>
    <row r="308" spans="2:7">
      <c r="B308" s="44"/>
      <c r="C308" s="48" t="s">
        <v>53</v>
      </c>
      <c r="D308" s="48"/>
      <c r="E308" s="49">
        <v>0</v>
      </c>
      <c r="F308" s="50">
        <v>0</v>
      </c>
      <c r="G308" s="52"/>
    </row>
    <row r="309" spans="2:7">
      <c r="B309" s="44"/>
      <c r="C309" s="48" t="s">
        <v>54</v>
      </c>
      <c r="D309" s="48"/>
      <c r="E309" s="49">
        <v>0</v>
      </c>
      <c r="F309" s="50"/>
      <c r="G309" s="52"/>
    </row>
    <row r="310" spans="2:7">
      <c r="B310" s="44"/>
      <c r="C310" s="48" t="s">
        <v>55</v>
      </c>
      <c r="D310" s="48"/>
      <c r="E310" s="49">
        <v>0</v>
      </c>
      <c r="F310" s="50"/>
      <c r="G310" s="52"/>
    </row>
    <row r="311" spans="2:7">
      <c r="B311" s="44"/>
      <c r="C311" s="48" t="s">
        <v>56</v>
      </c>
      <c r="D311" s="48"/>
      <c r="E311" s="49">
        <v>0</v>
      </c>
      <c r="F311" s="57"/>
      <c r="G311" s="52"/>
    </row>
    <row r="312" spans="2:7">
      <c r="B312" s="44"/>
      <c r="C312" s="53" t="s">
        <v>26</v>
      </c>
      <c r="D312" s="53"/>
      <c r="E312" s="56">
        <v>0</v>
      </c>
      <c r="F312" s="54">
        <v>0</v>
      </c>
      <c r="G312" s="52"/>
    </row>
    <row r="313" spans="2:7">
      <c r="B313" s="44">
        <v>127</v>
      </c>
      <c r="C313" s="39" t="s">
        <v>57</v>
      </c>
      <c r="D313" s="39"/>
      <c r="E313" s="56"/>
      <c r="F313" s="54"/>
      <c r="G313" s="52"/>
    </row>
    <row r="314" spans="2:7">
      <c r="B314" s="44"/>
      <c r="C314" s="48" t="s">
        <v>58</v>
      </c>
      <c r="D314" s="48"/>
      <c r="E314" s="49">
        <v>0</v>
      </c>
      <c r="F314" s="50">
        <v>0</v>
      </c>
      <c r="G314" s="52"/>
    </row>
    <row r="315" spans="2:7">
      <c r="B315" s="44"/>
      <c r="C315" s="48" t="s">
        <v>59</v>
      </c>
      <c r="D315" s="48"/>
      <c r="E315" s="49">
        <v>0</v>
      </c>
      <c r="F315" s="50">
        <v>0</v>
      </c>
      <c r="G315" s="52"/>
    </row>
    <row r="316" spans="2:7">
      <c r="B316" s="44"/>
      <c r="C316" s="48" t="s">
        <v>60</v>
      </c>
      <c r="D316" s="48"/>
      <c r="E316" s="49">
        <v>0</v>
      </c>
      <c r="F316" s="50">
        <v>0</v>
      </c>
      <c r="G316" s="52"/>
    </row>
    <row r="317" spans="2:7">
      <c r="B317" s="44"/>
      <c r="C317" s="59" t="s">
        <v>61</v>
      </c>
      <c r="D317" s="59"/>
      <c r="E317" s="49">
        <v>0</v>
      </c>
      <c r="F317" s="50">
        <v>0</v>
      </c>
      <c r="G317" s="52"/>
    </row>
    <row r="318" spans="2:7">
      <c r="B318" s="44"/>
      <c r="C318" s="53" t="s">
        <v>26</v>
      </c>
      <c r="D318" s="53"/>
      <c r="E318" s="56">
        <v>0</v>
      </c>
      <c r="F318" s="54">
        <v>0</v>
      </c>
      <c r="G318" s="52"/>
    </row>
    <row r="319" spans="2:7">
      <c r="B319" s="44">
        <v>128</v>
      </c>
      <c r="C319" s="39" t="s">
        <v>62</v>
      </c>
      <c r="D319" s="39"/>
      <c r="E319" s="56"/>
      <c r="F319" s="54"/>
      <c r="G319" s="52"/>
    </row>
    <row r="320" spans="2:7">
      <c r="B320" s="44"/>
      <c r="C320" s="48" t="s">
        <v>63</v>
      </c>
      <c r="D320" s="48"/>
      <c r="E320" s="49">
        <v>0</v>
      </c>
      <c r="F320" s="50">
        <v>0</v>
      </c>
      <c r="G320" s="52"/>
    </row>
    <row r="321" spans="2:7">
      <c r="B321" s="44"/>
      <c r="C321" s="48" t="s">
        <v>64</v>
      </c>
      <c r="D321" s="48"/>
      <c r="E321" s="49">
        <v>0</v>
      </c>
      <c r="F321" s="50">
        <v>0</v>
      </c>
      <c r="G321" s="52"/>
    </row>
    <row r="322" spans="2:7">
      <c r="B322" s="44"/>
      <c r="C322" s="48" t="s">
        <v>65</v>
      </c>
      <c r="D322" s="48"/>
      <c r="E322" s="49">
        <v>0</v>
      </c>
      <c r="F322" s="50">
        <v>0</v>
      </c>
      <c r="G322" s="52"/>
    </row>
    <row r="323" spans="2:7">
      <c r="B323" s="44"/>
      <c r="C323" s="48" t="s">
        <v>66</v>
      </c>
      <c r="D323" s="48"/>
      <c r="E323" s="49">
        <v>0</v>
      </c>
      <c r="F323" s="50">
        <v>0</v>
      </c>
      <c r="G323" s="52"/>
    </row>
    <row r="324" spans="2:7">
      <c r="B324" s="44"/>
      <c r="C324" s="48" t="s">
        <v>67</v>
      </c>
      <c r="D324" s="48"/>
      <c r="E324" s="49">
        <v>0</v>
      </c>
      <c r="F324" s="50">
        <v>0</v>
      </c>
      <c r="G324" s="52"/>
    </row>
    <row r="325" spans="2:7">
      <c r="B325" s="44"/>
      <c r="C325" s="53" t="s">
        <v>26</v>
      </c>
      <c r="D325" s="53"/>
      <c r="E325" s="56">
        <v>0</v>
      </c>
      <c r="F325" s="54">
        <v>0</v>
      </c>
      <c r="G325" s="52"/>
    </row>
    <row r="326" spans="2:7">
      <c r="B326" s="44">
        <v>135</v>
      </c>
      <c r="C326" s="39" t="s">
        <v>68</v>
      </c>
      <c r="D326" s="39"/>
      <c r="E326" s="56"/>
      <c r="F326" s="50"/>
      <c r="G326" s="52"/>
    </row>
    <row r="327" spans="2:7">
      <c r="B327" s="44"/>
      <c r="C327" s="48" t="s">
        <v>69</v>
      </c>
      <c r="D327" s="48"/>
      <c r="E327" s="49">
        <v>0</v>
      </c>
      <c r="F327" s="50">
        <v>0</v>
      </c>
      <c r="G327" s="52"/>
    </row>
    <row r="328" spans="2:7">
      <c r="B328" s="44"/>
      <c r="C328" s="48" t="s">
        <v>70</v>
      </c>
      <c r="D328" s="48"/>
      <c r="E328" s="49">
        <v>0</v>
      </c>
      <c r="F328" s="50">
        <v>0</v>
      </c>
      <c r="G328" s="52"/>
    </row>
    <row r="329" spans="2:7">
      <c r="B329" s="44"/>
      <c r="C329" s="48" t="s">
        <v>71</v>
      </c>
      <c r="D329" s="48"/>
      <c r="E329" s="49">
        <v>0</v>
      </c>
      <c r="F329" s="50">
        <v>0</v>
      </c>
      <c r="G329" s="52"/>
    </row>
    <row r="330" spans="2:7">
      <c r="B330" s="44"/>
      <c r="C330" s="48" t="s">
        <v>72</v>
      </c>
      <c r="D330" s="48"/>
      <c r="E330" s="49">
        <v>0</v>
      </c>
      <c r="F330" s="50">
        <v>0</v>
      </c>
      <c r="G330" s="52"/>
    </row>
    <row r="331" spans="2:7">
      <c r="B331" s="44"/>
      <c r="C331" s="48" t="s">
        <v>73</v>
      </c>
      <c r="D331" s="48"/>
      <c r="E331" s="49">
        <v>0</v>
      </c>
      <c r="F331" s="50">
        <v>0</v>
      </c>
      <c r="G331" s="52"/>
    </row>
    <row r="332" spans="2:7">
      <c r="B332" s="44"/>
      <c r="C332" s="48" t="s">
        <v>74</v>
      </c>
      <c r="D332" s="48"/>
      <c r="E332" s="49">
        <v>0</v>
      </c>
      <c r="F332" s="50">
        <v>0</v>
      </c>
      <c r="G332" s="52"/>
    </row>
    <row r="333" spans="2:7">
      <c r="B333" s="44"/>
      <c r="C333" s="48" t="s">
        <v>75</v>
      </c>
      <c r="D333" s="48"/>
      <c r="E333" s="49">
        <v>0</v>
      </c>
      <c r="F333" s="50">
        <v>0</v>
      </c>
      <c r="G333" s="52"/>
    </row>
    <row r="334" spans="2:7">
      <c r="B334" s="44"/>
      <c r="C334" s="48" t="s">
        <v>76</v>
      </c>
      <c r="D334" s="48"/>
      <c r="E334" s="49">
        <v>0</v>
      </c>
      <c r="F334" s="50">
        <v>0</v>
      </c>
      <c r="G334" s="52"/>
    </row>
    <row r="335" spans="2:7">
      <c r="B335" s="44"/>
      <c r="C335" s="48" t="s">
        <v>77</v>
      </c>
      <c r="D335" s="48"/>
      <c r="E335" s="49">
        <v>0</v>
      </c>
      <c r="F335" s="50">
        <v>0</v>
      </c>
      <c r="G335" s="52"/>
    </row>
    <row r="336" spans="2:7">
      <c r="B336" s="44"/>
      <c r="C336" s="53" t="s">
        <v>26</v>
      </c>
      <c r="D336" s="53"/>
      <c r="E336" s="56">
        <v>0</v>
      </c>
      <c r="F336" s="54">
        <v>0</v>
      </c>
      <c r="G336" s="52"/>
    </row>
    <row r="337" spans="2:7">
      <c r="B337" s="44">
        <v>136</v>
      </c>
      <c r="C337" s="39" t="s">
        <v>78</v>
      </c>
      <c r="D337" s="39"/>
      <c r="E337" s="56"/>
      <c r="F337" s="50"/>
      <c r="G337" s="52"/>
    </row>
    <row r="338" spans="2:7">
      <c r="B338" s="44"/>
      <c r="C338" s="48" t="s">
        <v>79</v>
      </c>
      <c r="D338" s="48"/>
      <c r="E338" s="49">
        <v>0</v>
      </c>
      <c r="F338" s="50">
        <v>0</v>
      </c>
      <c r="G338" s="52"/>
    </row>
    <row r="339" spans="2:7">
      <c r="B339" s="44"/>
      <c r="C339" s="48" t="s">
        <v>80</v>
      </c>
      <c r="D339" s="48"/>
      <c r="E339" s="49">
        <v>0</v>
      </c>
      <c r="F339" s="50">
        <v>0</v>
      </c>
      <c r="G339" s="52"/>
    </row>
    <row r="340" spans="2:7">
      <c r="B340" s="44"/>
      <c r="C340" s="48" t="s">
        <v>81</v>
      </c>
      <c r="D340" s="48"/>
      <c r="E340" s="49">
        <v>0</v>
      </c>
      <c r="F340" s="50">
        <v>0</v>
      </c>
      <c r="G340" s="52"/>
    </row>
    <row r="341" spans="2:7">
      <c r="B341" s="44"/>
      <c r="C341" s="48" t="s">
        <v>82</v>
      </c>
      <c r="D341" s="48"/>
      <c r="E341" s="49">
        <v>0</v>
      </c>
      <c r="F341" s="50">
        <v>0</v>
      </c>
      <c r="G341" s="52"/>
    </row>
    <row r="342" spans="2:7">
      <c r="B342" s="44"/>
      <c r="C342" s="48" t="s">
        <v>83</v>
      </c>
      <c r="D342" s="48"/>
      <c r="E342" s="49">
        <v>0</v>
      </c>
      <c r="F342" s="50">
        <v>0</v>
      </c>
      <c r="G342" s="52"/>
    </row>
    <row r="343" spans="2:7">
      <c r="B343" s="44"/>
      <c r="C343" s="48" t="s">
        <v>84</v>
      </c>
      <c r="D343" s="48"/>
      <c r="E343" s="49">
        <v>0</v>
      </c>
      <c r="F343" s="50">
        <v>0</v>
      </c>
      <c r="G343" s="52"/>
    </row>
    <row r="344" spans="2:7">
      <c r="B344" s="44"/>
      <c r="C344" s="53" t="s">
        <v>26</v>
      </c>
      <c r="D344" s="53"/>
      <c r="E344" s="56">
        <v>0</v>
      </c>
      <c r="F344" s="54">
        <v>0</v>
      </c>
      <c r="G344" s="52"/>
    </row>
    <row r="345" spans="2:7">
      <c r="B345" s="44">
        <v>142</v>
      </c>
      <c r="C345" s="39" t="s">
        <v>85</v>
      </c>
      <c r="D345" s="39"/>
      <c r="E345" s="56"/>
      <c r="F345" s="50"/>
      <c r="G345" s="52"/>
    </row>
    <row r="346" spans="2:7">
      <c r="B346" s="44"/>
      <c r="C346" s="48" t="s">
        <v>86</v>
      </c>
      <c r="D346" s="48"/>
      <c r="E346" s="49">
        <v>0</v>
      </c>
      <c r="F346" s="50">
        <v>0</v>
      </c>
      <c r="G346" s="52"/>
    </row>
    <row r="347" spans="2:7">
      <c r="B347" s="44"/>
      <c r="C347" s="48" t="s">
        <v>87</v>
      </c>
      <c r="D347" s="48"/>
      <c r="E347" s="49">
        <v>0</v>
      </c>
      <c r="F347" s="50">
        <v>0</v>
      </c>
      <c r="G347" s="52"/>
    </row>
    <row r="348" spans="2:7">
      <c r="B348" s="44"/>
      <c r="C348" s="53" t="s">
        <v>26</v>
      </c>
      <c r="D348" s="53"/>
      <c r="E348" s="56">
        <v>0</v>
      </c>
      <c r="F348" s="54">
        <v>0</v>
      </c>
      <c r="G348" s="52"/>
    </row>
    <row r="349" spans="2:7">
      <c r="B349" s="44">
        <v>144</v>
      </c>
      <c r="C349" s="39" t="s">
        <v>88</v>
      </c>
      <c r="D349" s="39"/>
      <c r="E349" s="49">
        <v>0</v>
      </c>
      <c r="F349" s="54">
        <v>0</v>
      </c>
      <c r="G349" s="52"/>
    </row>
    <row r="350" spans="2:7">
      <c r="B350" s="44">
        <v>221</v>
      </c>
      <c r="C350" s="39" t="s">
        <v>89</v>
      </c>
      <c r="D350" s="39"/>
      <c r="E350" s="49">
        <v>0</v>
      </c>
      <c r="F350" s="54">
        <v>0</v>
      </c>
      <c r="G350" s="52"/>
    </row>
    <row r="351" spans="2:7">
      <c r="B351" s="44">
        <v>222</v>
      </c>
      <c r="C351" s="39" t="s">
        <v>90</v>
      </c>
      <c r="D351" s="39"/>
      <c r="E351" s="49">
        <v>0</v>
      </c>
      <c r="F351" s="54">
        <v>0</v>
      </c>
      <c r="G351" s="52"/>
    </row>
    <row r="352" spans="2:7">
      <c r="B352" s="44">
        <v>224</v>
      </c>
      <c r="C352" s="39" t="s">
        <v>91</v>
      </c>
      <c r="D352" s="39"/>
      <c r="E352" s="49">
        <v>0</v>
      </c>
      <c r="F352" s="54">
        <v>0</v>
      </c>
      <c r="G352" s="52"/>
    </row>
    <row r="353" spans="2:7">
      <c r="B353" s="44">
        <v>225</v>
      </c>
      <c r="C353" s="39" t="s">
        <v>92</v>
      </c>
      <c r="D353" s="39"/>
      <c r="E353" s="49">
        <v>0</v>
      </c>
      <c r="F353" s="54">
        <v>0</v>
      </c>
      <c r="G353" s="38"/>
    </row>
    <row r="354" spans="2:7">
      <c r="B354" s="44">
        <v>226</v>
      </c>
      <c r="C354" s="39" t="s">
        <v>93</v>
      </c>
      <c r="D354" s="39"/>
      <c r="E354" s="49">
        <v>0</v>
      </c>
      <c r="F354" s="54">
        <v>0</v>
      </c>
      <c r="G354" s="60"/>
    </row>
    <row r="355" spans="2:7" ht="15.75" thickBot="1">
      <c r="B355" s="61"/>
      <c r="C355" s="62" t="s">
        <v>94</v>
      </c>
      <c r="D355" s="62"/>
      <c r="E355" s="94">
        <v>0</v>
      </c>
      <c r="F355" s="63">
        <v>0</v>
      </c>
      <c r="G355" s="38"/>
    </row>
    <row r="356" spans="2:7">
      <c r="B356" s="64"/>
      <c r="C356" s="65" t="s">
        <v>95</v>
      </c>
      <c r="D356" s="66"/>
      <c r="E356" s="67">
        <v>6783.3425454545359</v>
      </c>
      <c r="F356" s="68">
        <v>6783.3425454545359</v>
      </c>
      <c r="G356" s="69"/>
    </row>
    <row r="357" spans="2:7" ht="15.75" thickBot="1">
      <c r="B357" s="64"/>
      <c r="C357" s="70"/>
      <c r="D357" s="71"/>
      <c r="E357" s="72"/>
      <c r="F357" s="73"/>
      <c r="G357" s="69"/>
    </row>
    <row r="358" spans="2:7" ht="15.75" thickBot="1">
      <c r="B358" s="64"/>
      <c r="C358" s="70" t="s">
        <v>96</v>
      </c>
      <c r="D358" s="71"/>
      <c r="E358" s="74">
        <v>11557.091775867782</v>
      </c>
      <c r="F358" s="75">
        <v>11557.091775867782</v>
      </c>
      <c r="G358" s="76"/>
    </row>
    <row r="359" spans="2:7" ht="8.25" customHeight="1" thickBot="1">
      <c r="B359" s="77"/>
      <c r="C359" s="81"/>
      <c r="D359" s="81"/>
      <c r="E359" s="78"/>
      <c r="F359" s="78"/>
      <c r="G359" s="79"/>
    </row>
    <row r="360" spans="2:7">
      <c r="B360" s="85"/>
      <c r="C360" s="84"/>
      <c r="D360" s="84"/>
      <c r="E360" s="85"/>
      <c r="F360" s="85"/>
      <c r="G360" s="85"/>
    </row>
  </sheetData>
  <mergeCells count="3">
    <mergeCell ref="C8:E8"/>
    <mergeCell ref="C128:E128"/>
    <mergeCell ref="C248:E248"/>
  </mergeCells>
  <dataValidations count="1">
    <dataValidation type="list" allowBlank="1" showInputMessage="1" showErrorMessage="1" sqref="C136 C16 C256" xr:uid="{6AEDAEB2-5948-4F2F-8E68-69EE67F5E610}">
      <formula1>FacList</formula1>
    </dataValidation>
  </dataValidations>
  <hyperlinks>
    <hyperlink ref="F12" r:id="rId1" xr:uid="{CF853F30-BA3D-4F85-8EE3-6C83E9AF7BCD}"/>
    <hyperlink ref="F132" r:id="rId2" xr:uid="{7D66D7FB-2A52-42D1-AC66-BBC11B4925B1}"/>
    <hyperlink ref="F252" r:id="rId3" xr:uid="{C172CFB9-2FF3-4D27-ABD3-B7DE40CE5A70}"/>
  </hyperlinks>
  <pageMargins left="0.7" right="0.7" top="0.75" bottom="0.75" header="0.3" footer="0.3"/>
  <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7279F-B6E7-4139-894E-6CEA300EE3A3}">
  <dimension ref="A1:G360"/>
  <sheetViews>
    <sheetView zoomScale="90" zoomScaleNormal="90" workbookViewId="0">
      <selection sqref="A1:XFD1048576"/>
    </sheetView>
  </sheetViews>
  <sheetFormatPr defaultColWidth="8.85546875" defaultRowHeight="15"/>
  <cols>
    <col min="1" max="1" width="0.85546875" customWidth="1"/>
    <col min="2" max="2" width="27.42578125" customWidth="1"/>
    <col min="3" max="3" width="42.7109375" bestFit="1" customWidth="1"/>
    <col min="4" max="4" width="4" customWidth="1"/>
    <col min="5" max="5" width="25.42578125" customWidth="1"/>
    <col min="6" max="6" width="27.42578125" customWidth="1"/>
    <col min="7" max="7" width="4.7109375" customWidth="1"/>
    <col min="8" max="8" width="0.85546875" customWidth="1"/>
  </cols>
  <sheetData>
    <row r="1" spans="1:7" ht="5.0999999999999996" customHeight="1" thickBot="1"/>
    <row r="2" spans="1:7">
      <c r="B2" s="1"/>
      <c r="C2" s="2"/>
      <c r="D2" s="2"/>
      <c r="E2" s="2"/>
      <c r="F2" s="2"/>
      <c r="G2" s="3"/>
    </row>
    <row r="3" spans="1:7">
      <c r="B3" s="4"/>
      <c r="C3" s="5"/>
      <c r="D3" s="5"/>
      <c r="E3" s="5"/>
      <c r="F3" s="5"/>
      <c r="G3" s="6"/>
    </row>
    <row r="4" spans="1:7">
      <c r="B4" s="4"/>
      <c r="C4" s="5"/>
      <c r="D4" s="5"/>
      <c r="E4" s="5"/>
      <c r="F4" s="5"/>
      <c r="G4" s="6"/>
    </row>
    <row r="5" spans="1:7">
      <c r="B5" s="4"/>
      <c r="C5" s="5"/>
      <c r="D5" s="5"/>
      <c r="E5" s="5"/>
      <c r="F5" s="5"/>
      <c r="G5" s="6"/>
    </row>
    <row r="6" spans="1:7">
      <c r="B6" s="4"/>
      <c r="C6" s="5"/>
      <c r="D6" s="5"/>
      <c r="E6" s="5"/>
      <c r="F6" s="5"/>
      <c r="G6" s="6"/>
    </row>
    <row r="7" spans="1:7" ht="16.5" customHeight="1">
      <c r="B7" s="4"/>
      <c r="C7" s="5"/>
      <c r="D7" s="5"/>
      <c r="E7" s="5"/>
      <c r="F7" s="5"/>
      <c r="G7" s="6"/>
    </row>
    <row r="8" spans="1:7" ht="22.5" customHeight="1" thickBot="1">
      <c r="B8" s="4"/>
      <c r="C8" s="95" t="s">
        <v>0</v>
      </c>
      <c r="D8" s="95"/>
      <c r="E8" s="95"/>
      <c r="F8" s="5"/>
      <c r="G8" s="6"/>
    </row>
    <row r="9" spans="1:7" ht="21" thickTop="1">
      <c r="B9" s="4"/>
      <c r="C9" s="7"/>
      <c r="D9" s="7"/>
      <c r="E9" s="5"/>
      <c r="F9" s="5"/>
      <c r="G9" s="6"/>
    </row>
    <row r="10" spans="1:7">
      <c r="B10" s="8" t="s">
        <v>1</v>
      </c>
      <c r="C10" s="9" t="s">
        <v>97</v>
      </c>
      <c r="D10" s="5"/>
      <c r="E10" s="10" t="s">
        <v>2</v>
      </c>
      <c r="F10" s="9" t="s">
        <v>98</v>
      </c>
      <c r="G10" s="6"/>
    </row>
    <row r="11" spans="1:7" ht="3.75" customHeight="1">
      <c r="A11" s="80"/>
      <c r="B11" s="5"/>
      <c r="C11" s="5"/>
      <c r="D11" s="5"/>
      <c r="E11" s="11"/>
      <c r="F11" s="5"/>
      <c r="G11" s="6"/>
    </row>
    <row r="12" spans="1:7">
      <c r="A12" s="80"/>
      <c r="B12" s="12" t="s">
        <v>3</v>
      </c>
      <c r="C12" s="9" t="s">
        <v>99</v>
      </c>
      <c r="D12" s="5"/>
      <c r="E12" s="10" t="s">
        <v>4</v>
      </c>
      <c r="F12" s="82" t="s">
        <v>100</v>
      </c>
      <c r="G12" s="6"/>
    </row>
    <row r="13" spans="1:7" ht="3.75" customHeight="1">
      <c r="A13" s="80"/>
      <c r="B13" s="5"/>
      <c r="C13" s="5"/>
      <c r="D13" s="5"/>
      <c r="E13" s="11"/>
      <c r="F13" s="5"/>
      <c r="G13" s="6"/>
    </row>
    <row r="14" spans="1:7">
      <c r="A14" s="80"/>
      <c r="B14" s="10" t="s">
        <v>5</v>
      </c>
      <c r="C14" s="9" t="s">
        <v>101</v>
      </c>
      <c r="D14" s="5"/>
      <c r="E14" s="10" t="s">
        <v>6</v>
      </c>
      <c r="F14" s="9" t="s">
        <v>107</v>
      </c>
      <c r="G14" s="6"/>
    </row>
    <row r="15" spans="1:7" ht="4.5" customHeight="1">
      <c r="A15" s="80"/>
      <c r="B15" s="13"/>
      <c r="C15" s="5"/>
      <c r="D15" s="5"/>
      <c r="E15" s="11"/>
      <c r="F15" s="5"/>
      <c r="G15" s="6"/>
    </row>
    <row r="16" spans="1:7">
      <c r="A16" s="80"/>
      <c r="B16" s="10" t="s">
        <v>7</v>
      </c>
      <c r="C16" s="9" t="s">
        <v>124</v>
      </c>
      <c r="D16" s="5"/>
      <c r="E16" s="11"/>
      <c r="F16" s="5"/>
      <c r="G16" s="6"/>
    </row>
    <row r="17" spans="1:7" ht="3.75" customHeight="1">
      <c r="A17" s="80"/>
      <c r="B17" s="5"/>
      <c r="C17" s="5"/>
      <c r="D17" s="5"/>
      <c r="E17" s="11"/>
      <c r="F17" s="5"/>
      <c r="G17" s="6"/>
    </row>
    <row r="18" spans="1:7">
      <c r="B18" s="14" t="s">
        <v>8</v>
      </c>
      <c r="C18" s="15" t="s">
        <v>103</v>
      </c>
      <c r="D18" s="5"/>
      <c r="E18" s="86" t="s">
        <v>109</v>
      </c>
      <c r="F18" s="87">
        <v>45292</v>
      </c>
      <c r="G18" s="6"/>
    </row>
    <row r="19" spans="1:7">
      <c r="B19" s="16" t="s">
        <v>9</v>
      </c>
      <c r="C19" s="17" t="s">
        <v>130</v>
      </c>
      <c r="D19" s="5"/>
      <c r="E19" s="88" t="s">
        <v>110</v>
      </c>
      <c r="F19" s="89">
        <v>45322</v>
      </c>
      <c r="G19" s="18"/>
    </row>
    <row r="20" spans="1:7" ht="15.75" thickBot="1">
      <c r="B20" s="4"/>
      <c r="C20" s="19"/>
      <c r="D20" s="19"/>
      <c r="E20" s="20"/>
      <c r="F20" s="21"/>
      <c r="G20" s="18"/>
    </row>
    <row r="21" spans="1:7" ht="18.75" thickBot="1">
      <c r="B21" s="4"/>
      <c r="C21" s="22" t="s">
        <v>10</v>
      </c>
      <c r="D21" s="23"/>
      <c r="E21" s="24"/>
      <c r="F21" s="25" t="s">
        <v>11</v>
      </c>
      <c r="G21" s="18"/>
    </row>
    <row r="22" spans="1:7">
      <c r="B22" s="4"/>
      <c r="C22" s="26" t="s">
        <v>12</v>
      </c>
      <c r="D22" s="26"/>
      <c r="E22" s="27">
        <v>10709.59024859505</v>
      </c>
      <c r="F22" s="28">
        <v>10709.59024859505</v>
      </c>
      <c r="G22" s="29"/>
    </row>
    <row r="23" spans="1:7">
      <c r="B23" s="30">
        <v>143</v>
      </c>
      <c r="C23" s="31" t="s">
        <v>13</v>
      </c>
      <c r="D23" s="31"/>
      <c r="E23" s="27">
        <v>4578.6174545454505</v>
      </c>
      <c r="F23" s="32">
        <v>4578.6174545454505</v>
      </c>
      <c r="G23" s="33"/>
    </row>
    <row r="24" spans="1:7">
      <c r="B24" s="30"/>
      <c r="C24" s="34" t="s">
        <v>14</v>
      </c>
      <c r="D24" s="34"/>
      <c r="E24" s="27">
        <v>0</v>
      </c>
      <c r="F24" s="32">
        <v>0</v>
      </c>
      <c r="G24" s="33"/>
    </row>
    <row r="25" spans="1:7">
      <c r="B25" s="30"/>
      <c r="C25" s="34" t="s">
        <v>15</v>
      </c>
      <c r="D25" s="34"/>
      <c r="E25" s="27">
        <v>0</v>
      </c>
      <c r="F25" s="32">
        <v>0</v>
      </c>
      <c r="G25" s="33"/>
    </row>
    <row r="26" spans="1:7">
      <c r="B26" s="30"/>
      <c r="C26" s="34" t="s">
        <v>16</v>
      </c>
      <c r="D26" s="34"/>
      <c r="E26" s="27">
        <v>0</v>
      </c>
      <c r="F26" s="32">
        <v>0</v>
      </c>
      <c r="G26" s="33"/>
    </row>
    <row r="27" spans="1:7">
      <c r="B27" s="30"/>
      <c r="C27" s="34" t="s">
        <v>17</v>
      </c>
      <c r="D27" s="34"/>
      <c r="E27" s="27">
        <v>0</v>
      </c>
      <c r="F27" s="32">
        <v>0</v>
      </c>
      <c r="G27" s="33"/>
    </row>
    <row r="28" spans="1:7">
      <c r="B28" s="30"/>
      <c r="C28" s="35" t="s">
        <v>18</v>
      </c>
      <c r="D28" s="35"/>
      <c r="E28" s="36">
        <v>15288.207703140501</v>
      </c>
      <c r="F28" s="37">
        <v>15288.207703140501</v>
      </c>
      <c r="G28" s="38"/>
    </row>
    <row r="29" spans="1:7" ht="15.75" thickBot="1">
      <c r="B29" s="30"/>
      <c r="C29" s="39"/>
      <c r="D29" s="39"/>
      <c r="E29" s="40"/>
      <c r="F29" s="41"/>
      <c r="G29" s="38"/>
    </row>
    <row r="30" spans="1:7" ht="18.75" thickBot="1">
      <c r="B30" s="30"/>
      <c r="C30" s="22" t="s">
        <v>19</v>
      </c>
      <c r="D30" s="23"/>
      <c r="E30" s="42"/>
      <c r="F30" s="43"/>
      <c r="G30" s="38"/>
    </row>
    <row r="31" spans="1:7">
      <c r="B31" s="44">
        <v>121</v>
      </c>
      <c r="C31" s="39" t="s">
        <v>20</v>
      </c>
      <c r="D31" s="39"/>
      <c r="E31" s="45"/>
      <c r="F31" s="46"/>
      <c r="G31" s="47"/>
    </row>
    <row r="32" spans="1:7">
      <c r="B32" s="44"/>
      <c r="C32" s="48" t="s">
        <v>21</v>
      </c>
      <c r="D32" s="48"/>
      <c r="E32" s="49">
        <v>296.77123636363604</v>
      </c>
      <c r="F32" s="50">
        <v>296.77123636363604</v>
      </c>
      <c r="G32" s="47"/>
    </row>
    <row r="33" spans="2:7">
      <c r="B33" s="44"/>
      <c r="C33" s="48" t="s">
        <v>22</v>
      </c>
      <c r="D33" s="48"/>
      <c r="E33" s="49">
        <v>305.25041454545385</v>
      </c>
      <c r="F33" s="50">
        <v>305.25041454545385</v>
      </c>
      <c r="G33" s="47"/>
    </row>
    <row r="34" spans="2:7">
      <c r="B34" s="51"/>
      <c r="C34" s="48" t="s">
        <v>23</v>
      </c>
      <c r="D34" s="48"/>
      <c r="E34" s="49">
        <v>364.60466181818146</v>
      </c>
      <c r="F34" s="50">
        <v>364.60466181818146</v>
      </c>
      <c r="G34" s="52"/>
    </row>
    <row r="35" spans="2:7">
      <c r="B35" s="51"/>
      <c r="C35" s="48" t="s">
        <v>24</v>
      </c>
      <c r="D35" s="48"/>
      <c r="E35" s="49">
        <v>249.75033917355319</v>
      </c>
      <c r="F35" s="50">
        <v>249.75033917355319</v>
      </c>
      <c r="G35" s="52"/>
    </row>
    <row r="36" spans="2:7">
      <c r="B36" s="44"/>
      <c r="C36" s="48" t="s">
        <v>25</v>
      </c>
      <c r="D36" s="48"/>
      <c r="E36" s="49">
        <v>0</v>
      </c>
      <c r="F36" s="50">
        <v>0</v>
      </c>
      <c r="G36" s="52"/>
    </row>
    <row r="37" spans="2:7">
      <c r="B37" s="44"/>
      <c r="C37" s="53" t="s">
        <v>26</v>
      </c>
      <c r="D37" s="53"/>
      <c r="E37" s="36">
        <v>1216.3766519008245</v>
      </c>
      <c r="F37" s="54">
        <v>1216.3766519008245</v>
      </c>
      <c r="G37" s="52"/>
    </row>
    <row r="38" spans="2:7">
      <c r="B38" s="44">
        <v>122</v>
      </c>
      <c r="C38" s="39" t="s">
        <v>27</v>
      </c>
      <c r="D38" s="39"/>
      <c r="E38" s="36"/>
      <c r="F38" s="50"/>
      <c r="G38" s="55"/>
    </row>
    <row r="39" spans="2:7">
      <c r="B39" s="44"/>
      <c r="C39" s="48" t="s">
        <v>28</v>
      </c>
      <c r="D39" s="48"/>
      <c r="E39" s="49">
        <v>144.14602909090897</v>
      </c>
      <c r="F39" s="50">
        <v>144.14602909090897</v>
      </c>
      <c r="G39" s="52"/>
    </row>
    <row r="40" spans="2:7">
      <c r="B40" s="44"/>
      <c r="C40" s="48" t="s">
        <v>29</v>
      </c>
      <c r="D40" s="48"/>
      <c r="E40" s="49">
        <v>0</v>
      </c>
      <c r="F40" s="50">
        <v>0</v>
      </c>
      <c r="G40" s="52"/>
    </row>
    <row r="41" spans="2:7">
      <c r="B41" s="44"/>
      <c r="C41" s="48" t="s">
        <v>30</v>
      </c>
      <c r="D41" s="48"/>
      <c r="E41" s="49">
        <v>191.16692628099148</v>
      </c>
      <c r="F41" s="50">
        <v>191.16692628099148</v>
      </c>
      <c r="G41" s="52"/>
    </row>
    <row r="42" spans="2:7">
      <c r="B42" s="44"/>
      <c r="C42" s="48" t="s">
        <v>31</v>
      </c>
      <c r="D42" s="48"/>
      <c r="E42" s="49">
        <v>33.916712727272696</v>
      </c>
      <c r="F42" s="50">
        <v>33.916712727272696</v>
      </c>
      <c r="G42" s="52"/>
    </row>
    <row r="43" spans="2:7">
      <c r="B43" s="44"/>
      <c r="C43" s="48" t="s">
        <v>32</v>
      </c>
      <c r="D43" s="48"/>
      <c r="E43" s="49">
        <v>135.66685090909078</v>
      </c>
      <c r="F43" s="50">
        <v>135.66685090909078</v>
      </c>
      <c r="G43" s="52"/>
    </row>
    <row r="44" spans="2:7">
      <c r="B44" s="44"/>
      <c r="C44" s="48" t="s">
        <v>33</v>
      </c>
      <c r="D44" s="48"/>
      <c r="E44" s="49">
        <v>0</v>
      </c>
      <c r="F44" s="50">
        <v>0</v>
      </c>
      <c r="G44" s="52"/>
    </row>
    <row r="45" spans="2:7">
      <c r="B45" s="44"/>
      <c r="C45" s="48" t="s">
        <v>34</v>
      </c>
      <c r="D45" s="48"/>
      <c r="E45" s="49">
        <v>0</v>
      </c>
      <c r="F45" s="50">
        <v>0</v>
      </c>
      <c r="G45" s="52"/>
    </row>
    <row r="46" spans="2:7">
      <c r="B46" s="44"/>
      <c r="C46" s="48" t="s">
        <v>35</v>
      </c>
      <c r="D46" s="48"/>
      <c r="E46" s="49">
        <v>0</v>
      </c>
      <c r="F46" s="50">
        <v>0</v>
      </c>
      <c r="G46" s="52"/>
    </row>
    <row r="47" spans="2:7">
      <c r="B47" s="44"/>
      <c r="C47" s="53" t="s">
        <v>26</v>
      </c>
      <c r="D47" s="53"/>
      <c r="E47" s="36">
        <v>504.89651900826391</v>
      </c>
      <c r="F47" s="54">
        <v>504.89651900826391</v>
      </c>
      <c r="G47" s="52"/>
    </row>
    <row r="48" spans="2:7">
      <c r="B48" s="44">
        <v>123</v>
      </c>
      <c r="C48" s="39" t="s">
        <v>36</v>
      </c>
      <c r="D48" s="39"/>
      <c r="E48" s="56"/>
      <c r="F48" s="57"/>
      <c r="G48" s="52"/>
    </row>
    <row r="49" spans="2:7">
      <c r="B49" s="44"/>
      <c r="C49" s="48" t="s">
        <v>37</v>
      </c>
      <c r="D49" s="48"/>
      <c r="E49" s="49">
        <v>123.33350082644611</v>
      </c>
      <c r="F49" s="50">
        <v>123.33350082644611</v>
      </c>
      <c r="G49" s="52"/>
    </row>
    <row r="50" spans="2:7">
      <c r="B50" s="44"/>
      <c r="C50" s="48" t="s">
        <v>38</v>
      </c>
      <c r="D50" s="48"/>
      <c r="E50" s="49">
        <v>0</v>
      </c>
      <c r="F50" s="50">
        <v>0</v>
      </c>
      <c r="G50" s="52"/>
    </row>
    <row r="51" spans="2:7">
      <c r="B51" s="44"/>
      <c r="C51" s="48" t="s">
        <v>39</v>
      </c>
      <c r="D51" s="48"/>
      <c r="E51" s="49">
        <v>144.91686347107415</v>
      </c>
      <c r="F51" s="50">
        <v>144.91686347107415</v>
      </c>
      <c r="G51" s="52"/>
    </row>
    <row r="52" spans="2:7">
      <c r="B52" s="44"/>
      <c r="C52" s="48" t="s">
        <v>40</v>
      </c>
      <c r="D52" s="48"/>
      <c r="E52" s="49">
        <v>111.00015074380143</v>
      </c>
      <c r="F52" s="50">
        <v>111.00015074380143</v>
      </c>
      <c r="G52" s="52"/>
    </row>
    <row r="53" spans="2:7">
      <c r="B53" s="44"/>
      <c r="C53" s="48" t="s">
        <v>41</v>
      </c>
      <c r="D53" s="48"/>
      <c r="E53" s="49">
        <v>0</v>
      </c>
      <c r="F53" s="50">
        <v>0</v>
      </c>
      <c r="G53" s="52"/>
    </row>
    <row r="54" spans="2:7">
      <c r="B54" s="44"/>
      <c r="C54" s="48" t="s">
        <v>42</v>
      </c>
      <c r="D54" s="48"/>
      <c r="E54" s="49">
        <v>195.02109818181799</v>
      </c>
      <c r="F54" s="50">
        <v>195.02109818181799</v>
      </c>
      <c r="G54" s="52"/>
    </row>
    <row r="55" spans="2:7">
      <c r="B55" s="44"/>
      <c r="C55" s="53" t="s">
        <v>26</v>
      </c>
      <c r="D55" s="53"/>
      <c r="E55" s="36">
        <v>574.27161322313964</v>
      </c>
      <c r="F55" s="54">
        <v>574.27161322313964</v>
      </c>
      <c r="G55" s="52"/>
    </row>
    <row r="56" spans="2:7">
      <c r="B56" s="44">
        <v>124</v>
      </c>
      <c r="C56" s="39" t="s">
        <v>43</v>
      </c>
      <c r="D56" s="39"/>
      <c r="E56" s="56"/>
      <c r="F56" s="57"/>
      <c r="G56" s="52"/>
    </row>
    <row r="57" spans="2:7">
      <c r="B57" s="44"/>
      <c r="C57" s="48" t="s">
        <v>44</v>
      </c>
      <c r="D57" s="48"/>
      <c r="E57" s="49">
        <v>366.91716495867701</v>
      </c>
      <c r="F57" s="50">
        <v>366.91716495867701</v>
      </c>
      <c r="G57" s="52"/>
    </row>
    <row r="58" spans="2:7">
      <c r="B58" s="44"/>
      <c r="C58" s="48" t="s">
        <v>45</v>
      </c>
      <c r="D58" s="48"/>
      <c r="E58" s="49">
        <v>0</v>
      </c>
      <c r="F58" s="50">
        <v>0</v>
      </c>
      <c r="G58" s="52"/>
    </row>
    <row r="59" spans="2:7">
      <c r="B59" s="44"/>
      <c r="C59" s="48" t="s">
        <v>46</v>
      </c>
      <c r="D59" s="48"/>
      <c r="E59" s="49">
        <v>0</v>
      </c>
      <c r="F59" s="50">
        <v>0</v>
      </c>
      <c r="G59" s="52"/>
    </row>
    <row r="60" spans="2:7">
      <c r="B60" s="44"/>
      <c r="C60" s="53" t="s">
        <v>26</v>
      </c>
      <c r="D60" s="53"/>
      <c r="E60" s="36">
        <v>366.91716495867701</v>
      </c>
      <c r="F60" s="54">
        <v>366.91716495867701</v>
      </c>
      <c r="G60" s="52"/>
    </row>
    <row r="61" spans="2:7">
      <c r="B61" s="44">
        <v>125</v>
      </c>
      <c r="C61" s="39" t="s">
        <v>47</v>
      </c>
      <c r="D61" s="39"/>
      <c r="E61" s="36"/>
      <c r="F61" s="50"/>
      <c r="G61" s="52"/>
    </row>
    <row r="62" spans="2:7">
      <c r="B62" s="44"/>
      <c r="C62" s="48" t="s">
        <v>48</v>
      </c>
      <c r="D62" s="48"/>
      <c r="E62" s="58">
        <v>0</v>
      </c>
      <c r="F62" s="50">
        <v>0</v>
      </c>
      <c r="G62" s="52"/>
    </row>
    <row r="63" spans="2:7">
      <c r="B63" s="44"/>
      <c r="C63" s="48" t="s">
        <v>49</v>
      </c>
      <c r="D63" s="48"/>
      <c r="E63" s="58">
        <v>0</v>
      </c>
      <c r="F63" s="50">
        <v>0</v>
      </c>
      <c r="G63" s="52"/>
    </row>
    <row r="64" spans="2:7">
      <c r="B64" s="44"/>
      <c r="C64" s="48" t="s">
        <v>50</v>
      </c>
      <c r="D64" s="48"/>
      <c r="E64" s="58">
        <v>593.54247272727218</v>
      </c>
      <c r="F64" s="50">
        <v>593.54247272727218</v>
      </c>
      <c r="G64" s="52"/>
    </row>
    <row r="65" spans="2:7">
      <c r="B65" s="44"/>
      <c r="C65" s="48" t="s">
        <v>51</v>
      </c>
      <c r="D65" s="48"/>
      <c r="E65" s="58">
        <v>135.66685090909078</v>
      </c>
      <c r="F65" s="50">
        <v>135.66685090909078</v>
      </c>
      <c r="G65" s="52"/>
    </row>
    <row r="66" spans="2:7">
      <c r="B66" s="44"/>
      <c r="C66" s="53" t="s">
        <v>26</v>
      </c>
      <c r="D66" s="53"/>
      <c r="E66" s="56">
        <v>729.20932363636302</v>
      </c>
      <c r="F66" s="54">
        <v>729.20932363636302</v>
      </c>
      <c r="G66" s="52"/>
    </row>
    <row r="67" spans="2:7">
      <c r="B67" s="44">
        <v>126</v>
      </c>
      <c r="C67" s="39" t="s">
        <v>52</v>
      </c>
      <c r="D67" s="39"/>
      <c r="E67" s="56"/>
      <c r="F67" s="50"/>
      <c r="G67" s="52"/>
    </row>
    <row r="68" spans="2:7">
      <c r="B68" s="44"/>
      <c r="C68" s="48" t="s">
        <v>53</v>
      </c>
      <c r="D68" s="48"/>
      <c r="E68" s="49">
        <v>0</v>
      </c>
      <c r="F68" s="50">
        <v>0</v>
      </c>
      <c r="G68" s="52"/>
    </row>
    <row r="69" spans="2:7">
      <c r="B69" s="44"/>
      <c r="C69" s="48" t="s">
        <v>54</v>
      </c>
      <c r="D69" s="48"/>
      <c r="E69" s="49">
        <v>0</v>
      </c>
      <c r="F69" s="50"/>
      <c r="G69" s="52"/>
    </row>
    <row r="70" spans="2:7">
      <c r="B70" s="44"/>
      <c r="C70" s="48" t="s">
        <v>55</v>
      </c>
      <c r="D70" s="48"/>
      <c r="E70" s="49">
        <v>0</v>
      </c>
      <c r="F70" s="50"/>
      <c r="G70" s="52"/>
    </row>
    <row r="71" spans="2:7">
      <c r="B71" s="44"/>
      <c r="C71" s="48" t="s">
        <v>56</v>
      </c>
      <c r="D71" s="48"/>
      <c r="E71" s="49">
        <v>0</v>
      </c>
      <c r="F71" s="57"/>
      <c r="G71" s="52"/>
    </row>
    <row r="72" spans="2:7">
      <c r="B72" s="44"/>
      <c r="C72" s="53" t="s">
        <v>26</v>
      </c>
      <c r="D72" s="53"/>
      <c r="E72" s="56">
        <v>0</v>
      </c>
      <c r="F72" s="54">
        <v>0</v>
      </c>
      <c r="G72" s="52"/>
    </row>
    <row r="73" spans="2:7">
      <c r="B73" s="44">
        <v>127</v>
      </c>
      <c r="C73" s="39" t="s">
        <v>57</v>
      </c>
      <c r="D73" s="39"/>
      <c r="E73" s="56"/>
      <c r="F73" s="54"/>
      <c r="G73" s="52"/>
    </row>
    <row r="74" spans="2:7">
      <c r="B74" s="44"/>
      <c r="C74" s="48" t="s">
        <v>58</v>
      </c>
      <c r="D74" s="48"/>
      <c r="E74" s="49">
        <v>0</v>
      </c>
      <c r="F74" s="50">
        <v>0</v>
      </c>
      <c r="G74" s="52"/>
    </row>
    <row r="75" spans="2:7">
      <c r="B75" s="44"/>
      <c r="C75" s="48" t="s">
        <v>59</v>
      </c>
      <c r="D75" s="48"/>
      <c r="E75" s="49">
        <v>0</v>
      </c>
      <c r="F75" s="50">
        <v>0</v>
      </c>
      <c r="G75" s="52"/>
    </row>
    <row r="76" spans="2:7">
      <c r="B76" s="44"/>
      <c r="C76" s="48" t="s">
        <v>60</v>
      </c>
      <c r="D76" s="48"/>
      <c r="E76" s="49">
        <v>0</v>
      </c>
      <c r="F76" s="50">
        <v>0</v>
      </c>
      <c r="G76" s="52"/>
    </row>
    <row r="77" spans="2:7">
      <c r="B77" s="44"/>
      <c r="C77" s="59" t="s">
        <v>61</v>
      </c>
      <c r="D77" s="59"/>
      <c r="E77" s="49">
        <v>0</v>
      </c>
      <c r="F77" s="50">
        <v>0</v>
      </c>
      <c r="G77" s="52"/>
    </row>
    <row r="78" spans="2:7">
      <c r="B78" s="44"/>
      <c r="C78" s="53" t="s">
        <v>26</v>
      </c>
      <c r="D78" s="53"/>
      <c r="E78" s="56">
        <v>0</v>
      </c>
      <c r="F78" s="54">
        <v>0</v>
      </c>
      <c r="G78" s="52"/>
    </row>
    <row r="79" spans="2:7">
      <c r="B79" s="44">
        <v>128</v>
      </c>
      <c r="C79" s="39" t="s">
        <v>62</v>
      </c>
      <c r="D79" s="39"/>
      <c r="E79" s="56"/>
      <c r="F79" s="54"/>
      <c r="G79" s="52"/>
    </row>
    <row r="80" spans="2:7">
      <c r="B80" s="44"/>
      <c r="C80" s="48" t="s">
        <v>63</v>
      </c>
      <c r="D80" s="48"/>
      <c r="E80" s="49">
        <v>0</v>
      </c>
      <c r="F80" s="50">
        <v>0</v>
      </c>
      <c r="G80" s="52"/>
    </row>
    <row r="81" spans="2:7">
      <c r="B81" s="44"/>
      <c r="C81" s="48" t="s">
        <v>64</v>
      </c>
      <c r="D81" s="48"/>
      <c r="E81" s="49">
        <v>0</v>
      </c>
      <c r="F81" s="50">
        <v>0</v>
      </c>
      <c r="G81" s="52"/>
    </row>
    <row r="82" spans="2:7">
      <c r="B82" s="44"/>
      <c r="C82" s="48" t="s">
        <v>65</v>
      </c>
      <c r="D82" s="48"/>
      <c r="E82" s="49">
        <v>0</v>
      </c>
      <c r="F82" s="50">
        <v>0</v>
      </c>
      <c r="G82" s="52"/>
    </row>
    <row r="83" spans="2:7">
      <c r="B83" s="44"/>
      <c r="C83" s="48" t="s">
        <v>66</v>
      </c>
      <c r="D83" s="48"/>
      <c r="E83" s="49">
        <v>0</v>
      </c>
      <c r="F83" s="50">
        <v>0</v>
      </c>
      <c r="G83" s="52"/>
    </row>
    <row r="84" spans="2:7">
      <c r="B84" s="44"/>
      <c r="C84" s="48" t="s">
        <v>67</v>
      </c>
      <c r="D84" s="48"/>
      <c r="E84" s="49">
        <v>0</v>
      </c>
      <c r="F84" s="50">
        <v>0</v>
      </c>
      <c r="G84" s="52"/>
    </row>
    <row r="85" spans="2:7">
      <c r="B85" s="44"/>
      <c r="C85" s="53" t="s">
        <v>26</v>
      </c>
      <c r="D85" s="53"/>
      <c r="E85" s="56">
        <v>0</v>
      </c>
      <c r="F85" s="54">
        <v>0</v>
      </c>
      <c r="G85" s="52"/>
    </row>
    <row r="86" spans="2:7">
      <c r="B86" s="44">
        <v>135</v>
      </c>
      <c r="C86" s="39" t="s">
        <v>68</v>
      </c>
      <c r="D86" s="39"/>
      <c r="E86" s="56"/>
      <c r="F86" s="50"/>
      <c r="G86" s="52"/>
    </row>
    <row r="87" spans="2:7">
      <c r="B87" s="44"/>
      <c r="C87" s="48" t="s">
        <v>69</v>
      </c>
      <c r="D87" s="48"/>
      <c r="E87" s="49">
        <v>0</v>
      </c>
      <c r="F87" s="50">
        <v>0</v>
      </c>
      <c r="G87" s="52"/>
    </row>
    <row r="88" spans="2:7">
      <c r="B88" s="44"/>
      <c r="C88" s="48" t="s">
        <v>70</v>
      </c>
      <c r="D88" s="48"/>
      <c r="E88" s="49">
        <v>0</v>
      </c>
      <c r="F88" s="50">
        <v>0</v>
      </c>
      <c r="G88" s="52"/>
    </row>
    <row r="89" spans="2:7">
      <c r="B89" s="44"/>
      <c r="C89" s="48" t="s">
        <v>71</v>
      </c>
      <c r="D89" s="48"/>
      <c r="E89" s="49">
        <v>0</v>
      </c>
      <c r="F89" s="50">
        <v>0</v>
      </c>
      <c r="G89" s="52"/>
    </row>
    <row r="90" spans="2:7">
      <c r="B90" s="44"/>
      <c r="C90" s="48" t="s">
        <v>72</v>
      </c>
      <c r="D90" s="48"/>
      <c r="E90" s="49">
        <v>0</v>
      </c>
      <c r="F90" s="50">
        <v>0</v>
      </c>
      <c r="G90" s="52"/>
    </row>
    <row r="91" spans="2:7">
      <c r="B91" s="44"/>
      <c r="C91" s="48" t="s">
        <v>73</v>
      </c>
      <c r="D91" s="48"/>
      <c r="E91" s="49">
        <v>0</v>
      </c>
      <c r="F91" s="50">
        <v>0</v>
      </c>
      <c r="G91" s="52"/>
    </row>
    <row r="92" spans="2:7">
      <c r="B92" s="44"/>
      <c r="C92" s="48" t="s">
        <v>74</v>
      </c>
      <c r="D92" s="48"/>
      <c r="E92" s="49">
        <v>0</v>
      </c>
      <c r="F92" s="50">
        <v>0</v>
      </c>
      <c r="G92" s="52"/>
    </row>
    <row r="93" spans="2:7">
      <c r="B93" s="44"/>
      <c r="C93" s="48" t="s">
        <v>75</v>
      </c>
      <c r="D93" s="48"/>
      <c r="E93" s="49">
        <v>0</v>
      </c>
      <c r="F93" s="50">
        <v>0</v>
      </c>
      <c r="G93" s="52"/>
    </row>
    <row r="94" spans="2:7">
      <c r="B94" s="44"/>
      <c r="C94" s="48" t="s">
        <v>76</v>
      </c>
      <c r="D94" s="48"/>
      <c r="E94" s="49">
        <v>0</v>
      </c>
      <c r="F94" s="50">
        <v>0</v>
      </c>
      <c r="G94" s="52"/>
    </row>
    <row r="95" spans="2:7">
      <c r="B95" s="44"/>
      <c r="C95" s="48" t="s">
        <v>77</v>
      </c>
      <c r="D95" s="48"/>
      <c r="E95" s="49">
        <v>0</v>
      </c>
      <c r="F95" s="50">
        <v>0</v>
      </c>
      <c r="G95" s="52"/>
    </row>
    <row r="96" spans="2:7">
      <c r="B96" s="44"/>
      <c r="C96" s="53" t="s">
        <v>26</v>
      </c>
      <c r="D96" s="53"/>
      <c r="E96" s="56">
        <v>0</v>
      </c>
      <c r="F96" s="54">
        <v>0</v>
      </c>
      <c r="G96" s="52"/>
    </row>
    <row r="97" spans="2:7">
      <c r="B97" s="44">
        <v>136</v>
      </c>
      <c r="C97" s="39" t="s">
        <v>78</v>
      </c>
      <c r="D97" s="39"/>
      <c r="E97" s="56"/>
      <c r="F97" s="50"/>
      <c r="G97" s="52"/>
    </row>
    <row r="98" spans="2:7">
      <c r="B98" s="44"/>
      <c r="C98" s="48" t="s">
        <v>79</v>
      </c>
      <c r="D98" s="48"/>
      <c r="E98" s="49">
        <v>0</v>
      </c>
      <c r="F98" s="50">
        <v>0</v>
      </c>
      <c r="G98" s="52"/>
    </row>
    <row r="99" spans="2:7">
      <c r="B99" s="44"/>
      <c r="C99" s="48" t="s">
        <v>80</v>
      </c>
      <c r="D99" s="48"/>
      <c r="E99" s="49">
        <v>0</v>
      </c>
      <c r="F99" s="50">
        <v>0</v>
      </c>
      <c r="G99" s="52"/>
    </row>
    <row r="100" spans="2:7">
      <c r="B100" s="44"/>
      <c r="C100" s="48" t="s">
        <v>81</v>
      </c>
      <c r="D100" s="48"/>
      <c r="E100" s="49">
        <v>0</v>
      </c>
      <c r="F100" s="50">
        <v>0</v>
      </c>
      <c r="G100" s="52"/>
    </row>
    <row r="101" spans="2:7">
      <c r="B101" s="44"/>
      <c r="C101" s="48" t="s">
        <v>82</v>
      </c>
      <c r="D101" s="48"/>
      <c r="E101" s="49">
        <v>0</v>
      </c>
      <c r="F101" s="50">
        <v>0</v>
      </c>
      <c r="G101" s="52"/>
    </row>
    <row r="102" spans="2:7">
      <c r="B102" s="44"/>
      <c r="C102" s="48" t="s">
        <v>83</v>
      </c>
      <c r="D102" s="48"/>
      <c r="E102" s="49">
        <v>0</v>
      </c>
      <c r="F102" s="50">
        <v>0</v>
      </c>
      <c r="G102" s="52"/>
    </row>
    <row r="103" spans="2:7">
      <c r="B103" s="44"/>
      <c r="C103" s="48" t="s">
        <v>84</v>
      </c>
      <c r="D103" s="48"/>
      <c r="E103" s="49">
        <v>0</v>
      </c>
      <c r="F103" s="50">
        <v>0</v>
      </c>
      <c r="G103" s="52"/>
    </row>
    <row r="104" spans="2:7">
      <c r="B104" s="44"/>
      <c r="C104" s="53" t="s">
        <v>26</v>
      </c>
      <c r="D104" s="53"/>
      <c r="E104" s="56">
        <v>0</v>
      </c>
      <c r="F104" s="54">
        <v>0</v>
      </c>
      <c r="G104" s="52"/>
    </row>
    <row r="105" spans="2:7">
      <c r="B105" s="44">
        <v>142</v>
      </c>
      <c r="C105" s="39" t="s">
        <v>85</v>
      </c>
      <c r="D105" s="39"/>
      <c r="E105" s="56"/>
      <c r="F105" s="50"/>
      <c r="G105" s="52"/>
    </row>
    <row r="106" spans="2:7">
      <c r="B106" s="44"/>
      <c r="C106" s="48" t="s">
        <v>86</v>
      </c>
      <c r="D106" s="48"/>
      <c r="E106" s="49">
        <v>0</v>
      </c>
      <c r="F106" s="50">
        <v>0</v>
      </c>
      <c r="G106" s="52"/>
    </row>
    <row r="107" spans="2:7">
      <c r="B107" s="44"/>
      <c r="C107" s="48" t="s">
        <v>87</v>
      </c>
      <c r="D107" s="48"/>
      <c r="E107" s="49">
        <v>0</v>
      </c>
      <c r="F107" s="50">
        <v>0</v>
      </c>
      <c r="G107" s="52"/>
    </row>
    <row r="108" spans="2:7">
      <c r="B108" s="44"/>
      <c r="C108" s="53" t="s">
        <v>26</v>
      </c>
      <c r="D108" s="53"/>
      <c r="E108" s="56">
        <v>0</v>
      </c>
      <c r="F108" s="54">
        <v>0</v>
      </c>
      <c r="G108" s="52"/>
    </row>
    <row r="109" spans="2:7">
      <c r="B109" s="44">
        <v>144</v>
      </c>
      <c r="C109" s="39" t="s">
        <v>88</v>
      </c>
      <c r="D109" s="39"/>
      <c r="E109" s="49">
        <v>0</v>
      </c>
      <c r="F109" s="54">
        <v>0</v>
      </c>
      <c r="G109" s="52"/>
    </row>
    <row r="110" spans="2:7">
      <c r="B110" s="44">
        <v>221</v>
      </c>
      <c r="C110" s="39" t="s">
        <v>89</v>
      </c>
      <c r="D110" s="39"/>
      <c r="E110" s="49">
        <v>0</v>
      </c>
      <c r="F110" s="54">
        <v>0</v>
      </c>
      <c r="G110" s="52"/>
    </row>
    <row r="111" spans="2:7">
      <c r="B111" s="44">
        <v>222</v>
      </c>
      <c r="C111" s="39" t="s">
        <v>90</v>
      </c>
      <c r="D111" s="39"/>
      <c r="E111" s="49">
        <v>0</v>
      </c>
      <c r="F111" s="54">
        <v>0</v>
      </c>
      <c r="G111" s="52"/>
    </row>
    <row r="112" spans="2:7">
      <c r="B112" s="44">
        <v>224</v>
      </c>
      <c r="C112" s="39" t="s">
        <v>91</v>
      </c>
      <c r="D112" s="39"/>
      <c r="E112" s="49">
        <v>0</v>
      </c>
      <c r="F112" s="54">
        <v>0</v>
      </c>
      <c r="G112" s="52"/>
    </row>
    <row r="113" spans="2:7">
      <c r="B113" s="44">
        <v>225</v>
      </c>
      <c r="C113" s="39" t="s">
        <v>92</v>
      </c>
      <c r="D113" s="39"/>
      <c r="E113" s="49">
        <v>0</v>
      </c>
      <c r="F113" s="54">
        <v>0</v>
      </c>
      <c r="G113" s="38"/>
    </row>
    <row r="114" spans="2:7">
      <c r="B114" s="44">
        <v>226</v>
      </c>
      <c r="C114" s="39" t="s">
        <v>93</v>
      </c>
      <c r="D114" s="39"/>
      <c r="E114" s="49">
        <v>0</v>
      </c>
      <c r="F114" s="54">
        <v>0</v>
      </c>
      <c r="G114" s="60"/>
    </row>
    <row r="115" spans="2:7" ht="15.75" thickBot="1">
      <c r="B115" s="61"/>
      <c r="C115" s="62" t="s">
        <v>94</v>
      </c>
      <c r="D115" s="62"/>
      <c r="E115" s="90">
        <v>0</v>
      </c>
      <c r="F115" s="63">
        <v>0</v>
      </c>
      <c r="G115" s="38"/>
    </row>
    <row r="116" spans="2:7">
      <c r="B116" s="64"/>
      <c r="C116" s="65" t="s">
        <v>95</v>
      </c>
      <c r="D116" s="66"/>
      <c r="E116" s="91">
        <v>3391.6712727272684</v>
      </c>
      <c r="F116" s="68">
        <v>3391.6712727272684</v>
      </c>
      <c r="G116" s="69"/>
    </row>
    <row r="117" spans="2:7" ht="15.75" thickBot="1">
      <c r="B117" s="64"/>
      <c r="C117" s="70"/>
      <c r="D117" s="71"/>
      <c r="E117" s="92"/>
      <c r="F117" s="73"/>
      <c r="G117" s="69"/>
    </row>
    <row r="118" spans="2:7" ht="15.75" thickBot="1">
      <c r="B118" s="64"/>
      <c r="C118" s="70" t="s">
        <v>96</v>
      </c>
      <c r="D118" s="71"/>
      <c r="E118" s="93">
        <v>11896.536430413233</v>
      </c>
      <c r="F118" s="75">
        <v>11896.536430413233</v>
      </c>
      <c r="G118" s="76"/>
    </row>
    <row r="119" spans="2:7" ht="8.25" customHeight="1" thickBot="1">
      <c r="B119" s="77"/>
      <c r="C119" s="81"/>
      <c r="D119" s="81"/>
      <c r="E119" s="78"/>
      <c r="F119" s="78"/>
      <c r="G119" s="79"/>
    </row>
    <row r="120" spans="2:7" ht="5.0999999999999996" customHeight="1">
      <c r="B120" s="83"/>
      <c r="C120" s="84"/>
      <c r="D120" s="84"/>
      <c r="E120" s="85"/>
      <c r="F120" s="83"/>
      <c r="G120" s="85"/>
    </row>
    <row r="121" spans="2:7" ht="6" customHeight="1" thickBot="1"/>
    <row r="122" spans="2:7">
      <c r="B122" s="1"/>
      <c r="C122" s="2"/>
      <c r="D122" s="2"/>
      <c r="E122" s="2"/>
      <c r="F122" s="2"/>
      <c r="G122" s="3"/>
    </row>
    <row r="123" spans="2:7">
      <c r="B123" s="4"/>
      <c r="C123" s="5"/>
      <c r="D123" s="5"/>
      <c r="E123" s="5"/>
      <c r="F123" s="5"/>
      <c r="G123" s="6"/>
    </row>
    <row r="124" spans="2:7">
      <c r="B124" s="4"/>
      <c r="C124" s="5"/>
      <c r="D124" s="5"/>
      <c r="E124" s="5"/>
      <c r="F124" s="5"/>
      <c r="G124" s="6"/>
    </row>
    <row r="125" spans="2:7">
      <c r="B125" s="4"/>
      <c r="C125" s="5"/>
      <c r="D125" s="5"/>
      <c r="E125" s="5"/>
      <c r="F125" s="5"/>
      <c r="G125" s="6"/>
    </row>
    <row r="126" spans="2:7">
      <c r="B126" s="4"/>
      <c r="C126" s="5"/>
      <c r="D126" s="5"/>
      <c r="E126" s="5"/>
      <c r="F126" s="5"/>
      <c r="G126" s="6"/>
    </row>
    <row r="127" spans="2:7" ht="16.5" customHeight="1">
      <c r="B127" s="4"/>
      <c r="C127" s="5"/>
      <c r="D127" s="5"/>
      <c r="E127" s="5"/>
      <c r="F127" s="5"/>
      <c r="G127" s="6"/>
    </row>
    <row r="128" spans="2:7" ht="22.5" customHeight="1" thickBot="1">
      <c r="B128" s="4"/>
      <c r="C128" s="95" t="s">
        <v>0</v>
      </c>
      <c r="D128" s="95"/>
      <c r="E128" s="95"/>
      <c r="F128" s="5"/>
      <c r="G128" s="6"/>
    </row>
    <row r="129" spans="1:7" ht="21" thickTop="1">
      <c r="B129" s="4"/>
      <c r="C129" s="7"/>
      <c r="D129" s="7"/>
      <c r="E129" s="5"/>
      <c r="F129" s="5"/>
      <c r="G129" s="6"/>
    </row>
    <row r="130" spans="1:7">
      <c r="B130" s="8" t="s">
        <v>1</v>
      </c>
      <c r="C130" s="9" t="s">
        <v>97</v>
      </c>
      <c r="D130" s="5"/>
      <c r="E130" s="10" t="s">
        <v>2</v>
      </c>
      <c r="F130" s="9" t="s">
        <v>98</v>
      </c>
      <c r="G130" s="6"/>
    </row>
    <row r="131" spans="1:7" ht="3.75" customHeight="1">
      <c r="A131" s="80"/>
      <c r="B131" s="5"/>
      <c r="C131" s="5"/>
      <c r="D131" s="5"/>
      <c r="E131" s="11"/>
      <c r="F131" s="5"/>
      <c r="G131" s="6"/>
    </row>
    <row r="132" spans="1:7">
      <c r="A132" s="80"/>
      <c r="B132" s="12" t="s">
        <v>3</v>
      </c>
      <c r="C132" s="9" t="s">
        <v>99</v>
      </c>
      <c r="D132" s="5"/>
      <c r="E132" s="10" t="s">
        <v>4</v>
      </c>
      <c r="F132" s="82" t="s">
        <v>100</v>
      </c>
      <c r="G132" s="6"/>
    </row>
    <row r="133" spans="1:7" ht="3.75" customHeight="1">
      <c r="A133" s="80"/>
      <c r="B133" s="5"/>
      <c r="C133" s="5"/>
      <c r="D133" s="5"/>
      <c r="E133" s="11"/>
      <c r="F133" s="5"/>
      <c r="G133" s="6"/>
    </row>
    <row r="134" spans="1:7">
      <c r="A134" s="80"/>
      <c r="B134" s="10" t="s">
        <v>5</v>
      </c>
      <c r="C134" s="9" t="s">
        <v>101</v>
      </c>
      <c r="D134" s="5"/>
      <c r="E134" s="10" t="s">
        <v>6</v>
      </c>
      <c r="F134" s="9" t="s">
        <v>107</v>
      </c>
      <c r="G134" s="6"/>
    </row>
    <row r="135" spans="1:7" ht="4.5" customHeight="1">
      <c r="A135" s="80"/>
      <c r="B135" s="13"/>
      <c r="C135" s="5"/>
      <c r="D135" s="5"/>
      <c r="E135" s="11"/>
      <c r="F135" s="5"/>
      <c r="G135" s="6"/>
    </row>
    <row r="136" spans="1:7">
      <c r="A136" s="80"/>
      <c r="B136" s="10" t="s">
        <v>7</v>
      </c>
      <c r="C136" s="9" t="s">
        <v>124</v>
      </c>
      <c r="D136" s="5"/>
      <c r="E136" s="11"/>
      <c r="F136" s="5"/>
      <c r="G136" s="6"/>
    </row>
    <row r="137" spans="1:7" ht="3.75" customHeight="1">
      <c r="A137" s="80"/>
      <c r="B137" s="5"/>
      <c r="C137" s="5"/>
      <c r="D137" s="5"/>
      <c r="E137" s="11"/>
      <c r="F137" s="5"/>
      <c r="G137" s="6"/>
    </row>
    <row r="138" spans="1:7">
      <c r="B138" s="14" t="s">
        <v>8</v>
      </c>
      <c r="C138" s="15" t="s">
        <v>104</v>
      </c>
      <c r="D138" s="5"/>
      <c r="E138" s="86" t="s">
        <v>109</v>
      </c>
      <c r="F138" s="87">
        <v>45323</v>
      </c>
      <c r="G138" s="6"/>
    </row>
    <row r="139" spans="1:7">
      <c r="B139" s="16" t="s">
        <v>9</v>
      </c>
      <c r="C139" s="17" t="s">
        <v>130</v>
      </c>
      <c r="D139" s="5"/>
      <c r="E139" s="88" t="s">
        <v>110</v>
      </c>
      <c r="F139" s="89">
        <v>45351</v>
      </c>
      <c r="G139" s="18"/>
    </row>
    <row r="140" spans="1:7" ht="15.75" thickBot="1">
      <c r="B140" s="4"/>
      <c r="C140" s="19"/>
      <c r="D140" s="19"/>
      <c r="E140" s="20"/>
      <c r="F140" s="21"/>
      <c r="G140" s="18"/>
    </row>
    <row r="141" spans="1:7" ht="18.75" thickBot="1">
      <c r="B141" s="4"/>
      <c r="C141" s="22" t="s">
        <v>10</v>
      </c>
      <c r="D141" s="23"/>
      <c r="E141" s="24"/>
      <c r="F141" s="25" t="s">
        <v>11</v>
      </c>
      <c r="G141" s="18"/>
    </row>
    <row r="142" spans="1:7">
      <c r="B142" s="4"/>
      <c r="C142" s="26" t="s">
        <v>12</v>
      </c>
      <c r="D142" s="26"/>
      <c r="E142" s="27">
        <v>11896.536430413233</v>
      </c>
      <c r="F142" s="28">
        <v>11896.536430413233</v>
      </c>
      <c r="G142" s="29"/>
    </row>
    <row r="143" spans="1:7">
      <c r="B143" s="30">
        <v>143</v>
      </c>
      <c r="C143" s="31" t="s">
        <v>13</v>
      </c>
      <c r="D143" s="31"/>
      <c r="E143" s="27">
        <v>4578.6174545454505</v>
      </c>
      <c r="F143" s="32">
        <v>4578.6174545454505</v>
      </c>
      <c r="G143" s="33"/>
    </row>
    <row r="144" spans="1:7">
      <c r="B144" s="30"/>
      <c r="C144" s="34" t="s">
        <v>14</v>
      </c>
      <c r="D144" s="34"/>
      <c r="E144" s="27">
        <v>0</v>
      </c>
      <c r="F144" s="32">
        <v>0</v>
      </c>
      <c r="G144" s="33"/>
    </row>
    <row r="145" spans="2:7">
      <c r="B145" s="30"/>
      <c r="C145" s="34" t="s">
        <v>15</v>
      </c>
      <c r="D145" s="34"/>
      <c r="E145" s="27">
        <v>0</v>
      </c>
      <c r="F145" s="32">
        <v>0</v>
      </c>
      <c r="G145" s="33"/>
    </row>
    <row r="146" spans="2:7">
      <c r="B146" s="30"/>
      <c r="C146" s="34" t="s">
        <v>16</v>
      </c>
      <c r="D146" s="34"/>
      <c r="E146" s="27">
        <v>0</v>
      </c>
      <c r="F146" s="32">
        <v>0</v>
      </c>
      <c r="G146" s="33"/>
    </row>
    <row r="147" spans="2:7">
      <c r="B147" s="30"/>
      <c r="C147" s="34" t="s">
        <v>17</v>
      </c>
      <c r="D147" s="34"/>
      <c r="E147" s="27">
        <v>0</v>
      </c>
      <c r="F147" s="32">
        <v>0</v>
      </c>
      <c r="G147" s="33"/>
    </row>
    <row r="148" spans="2:7">
      <c r="B148" s="30"/>
      <c r="C148" s="35" t="s">
        <v>18</v>
      </c>
      <c r="D148" s="35"/>
      <c r="E148" s="36">
        <v>16475.153884958683</v>
      </c>
      <c r="F148" s="37">
        <v>16475.153884958683</v>
      </c>
      <c r="G148" s="38"/>
    </row>
    <row r="149" spans="2:7" ht="15.75" thickBot="1">
      <c r="B149" s="30"/>
      <c r="C149" s="39"/>
      <c r="D149" s="39"/>
      <c r="E149" s="40"/>
      <c r="F149" s="41"/>
      <c r="G149" s="38"/>
    </row>
    <row r="150" spans="2:7" ht="18.75" thickBot="1">
      <c r="B150" s="30"/>
      <c r="C150" s="22" t="s">
        <v>19</v>
      </c>
      <c r="D150" s="23"/>
      <c r="E150" s="42"/>
      <c r="F150" s="43"/>
      <c r="G150" s="38"/>
    </row>
    <row r="151" spans="2:7">
      <c r="B151" s="44">
        <v>121</v>
      </c>
      <c r="C151" s="39" t="s">
        <v>20</v>
      </c>
      <c r="D151" s="39"/>
      <c r="E151" s="45"/>
      <c r="F151" s="46"/>
      <c r="G151" s="47"/>
    </row>
    <row r="152" spans="2:7">
      <c r="B152" s="44"/>
      <c r="C152" s="48" t="s">
        <v>21</v>
      </c>
      <c r="D152" s="48"/>
      <c r="E152" s="49">
        <v>0</v>
      </c>
      <c r="F152" s="50">
        <v>0</v>
      </c>
      <c r="G152" s="47"/>
    </row>
    <row r="153" spans="2:7">
      <c r="B153" s="44"/>
      <c r="C153" s="48" t="s">
        <v>22</v>
      </c>
      <c r="D153" s="48"/>
      <c r="E153" s="49">
        <v>0</v>
      </c>
      <c r="F153" s="50">
        <v>0</v>
      </c>
      <c r="G153" s="47"/>
    </row>
    <row r="154" spans="2:7">
      <c r="B154" s="51"/>
      <c r="C154" s="48" t="s">
        <v>23</v>
      </c>
      <c r="D154" s="48"/>
      <c r="E154" s="49">
        <v>0</v>
      </c>
      <c r="F154" s="50">
        <v>0</v>
      </c>
      <c r="G154" s="52"/>
    </row>
    <row r="155" spans="2:7">
      <c r="B155" s="51"/>
      <c r="C155" s="48" t="s">
        <v>24</v>
      </c>
      <c r="D155" s="48"/>
      <c r="E155" s="49">
        <v>0</v>
      </c>
      <c r="F155" s="50">
        <v>0</v>
      </c>
      <c r="G155" s="52"/>
    </row>
    <row r="156" spans="2:7">
      <c r="B156" s="44"/>
      <c r="C156" s="48" t="s">
        <v>25</v>
      </c>
      <c r="D156" s="48"/>
      <c r="E156" s="49">
        <v>0</v>
      </c>
      <c r="F156" s="50">
        <v>0</v>
      </c>
      <c r="G156" s="52"/>
    </row>
    <row r="157" spans="2:7">
      <c r="B157" s="44"/>
      <c r="C157" s="53" t="s">
        <v>26</v>
      </c>
      <c r="D157" s="53"/>
      <c r="E157" s="36">
        <v>0</v>
      </c>
      <c r="F157" s="54">
        <v>0</v>
      </c>
      <c r="G157" s="52"/>
    </row>
    <row r="158" spans="2:7">
      <c r="B158" s="44">
        <v>122</v>
      </c>
      <c r="C158" s="39" t="s">
        <v>27</v>
      </c>
      <c r="D158" s="39"/>
      <c r="E158" s="36"/>
      <c r="F158" s="50"/>
      <c r="G158" s="55"/>
    </row>
    <row r="159" spans="2:7">
      <c r="B159" s="44"/>
      <c r="C159" s="48" t="s">
        <v>28</v>
      </c>
      <c r="D159" s="48"/>
      <c r="E159" s="49">
        <v>0</v>
      </c>
      <c r="F159" s="50">
        <v>0</v>
      </c>
      <c r="G159" s="52"/>
    </row>
    <row r="160" spans="2:7">
      <c r="B160" s="44"/>
      <c r="C160" s="48" t="s">
        <v>29</v>
      </c>
      <c r="D160" s="48"/>
      <c r="E160" s="49">
        <v>0</v>
      </c>
      <c r="F160" s="50">
        <v>0</v>
      </c>
      <c r="G160" s="52"/>
    </row>
    <row r="161" spans="2:7">
      <c r="B161" s="44"/>
      <c r="C161" s="48" t="s">
        <v>30</v>
      </c>
      <c r="D161" s="48"/>
      <c r="E161" s="49">
        <v>0</v>
      </c>
      <c r="F161" s="50">
        <v>0</v>
      </c>
      <c r="G161" s="52"/>
    </row>
    <row r="162" spans="2:7">
      <c r="B162" s="44"/>
      <c r="C162" s="48" t="s">
        <v>31</v>
      </c>
      <c r="D162" s="48"/>
      <c r="E162" s="49">
        <v>0</v>
      </c>
      <c r="F162" s="50">
        <v>0</v>
      </c>
      <c r="G162" s="52"/>
    </row>
    <row r="163" spans="2:7">
      <c r="B163" s="44"/>
      <c r="C163" s="48" t="s">
        <v>32</v>
      </c>
      <c r="D163" s="48"/>
      <c r="E163" s="49">
        <v>88.800120595041136</v>
      </c>
      <c r="F163" s="50">
        <v>88.800120595041136</v>
      </c>
      <c r="G163" s="52"/>
    </row>
    <row r="164" spans="2:7">
      <c r="B164" s="44"/>
      <c r="C164" s="48" t="s">
        <v>33</v>
      </c>
      <c r="D164" s="48"/>
      <c r="E164" s="49">
        <v>0</v>
      </c>
      <c r="F164" s="50">
        <v>0</v>
      </c>
      <c r="G164" s="52"/>
    </row>
    <row r="165" spans="2:7">
      <c r="B165" s="44"/>
      <c r="C165" s="48" t="s">
        <v>34</v>
      </c>
      <c r="D165" s="48"/>
      <c r="E165" s="49">
        <v>0</v>
      </c>
      <c r="F165" s="50">
        <v>0</v>
      </c>
      <c r="G165" s="52"/>
    </row>
    <row r="166" spans="2:7">
      <c r="B166" s="44"/>
      <c r="C166" s="48" t="s">
        <v>35</v>
      </c>
      <c r="D166" s="48"/>
      <c r="E166" s="49">
        <v>0</v>
      </c>
      <c r="F166" s="50">
        <v>0</v>
      </c>
      <c r="G166" s="52"/>
    </row>
    <row r="167" spans="2:7">
      <c r="B167" s="44"/>
      <c r="C167" s="53" t="s">
        <v>26</v>
      </c>
      <c r="D167" s="53"/>
      <c r="E167" s="36">
        <v>88.800120595041136</v>
      </c>
      <c r="F167" s="54">
        <v>88.800120595041136</v>
      </c>
      <c r="G167" s="52"/>
    </row>
    <row r="168" spans="2:7">
      <c r="B168" s="44">
        <v>123</v>
      </c>
      <c r="C168" s="39" t="s">
        <v>36</v>
      </c>
      <c r="D168" s="39"/>
      <c r="E168" s="56"/>
      <c r="F168" s="57"/>
      <c r="G168" s="52"/>
    </row>
    <row r="169" spans="2:7">
      <c r="B169" s="44"/>
      <c r="C169" s="48" t="s">
        <v>37</v>
      </c>
      <c r="D169" s="48"/>
      <c r="E169" s="49">
        <v>88.800120595041136</v>
      </c>
      <c r="F169" s="50">
        <v>88.800120595041136</v>
      </c>
      <c r="G169" s="52"/>
    </row>
    <row r="170" spans="2:7">
      <c r="B170" s="44"/>
      <c r="C170" s="48" t="s">
        <v>38</v>
      </c>
      <c r="D170" s="48"/>
      <c r="E170" s="49">
        <v>0</v>
      </c>
      <c r="F170" s="50">
        <v>0</v>
      </c>
      <c r="G170" s="52"/>
    </row>
    <row r="171" spans="2:7">
      <c r="B171" s="44"/>
      <c r="C171" s="48" t="s">
        <v>39</v>
      </c>
      <c r="D171" s="48"/>
      <c r="E171" s="49">
        <v>769.60104515702335</v>
      </c>
      <c r="F171" s="50">
        <v>769.60104515702335</v>
      </c>
      <c r="G171" s="52"/>
    </row>
    <row r="172" spans="2:7">
      <c r="B172" s="44"/>
      <c r="C172" s="48" t="s">
        <v>40</v>
      </c>
      <c r="D172" s="48"/>
      <c r="E172" s="49">
        <v>0</v>
      </c>
      <c r="F172" s="50">
        <v>0</v>
      </c>
      <c r="G172" s="52"/>
    </row>
    <row r="173" spans="2:7">
      <c r="B173" s="44"/>
      <c r="C173" s="48" t="s">
        <v>41</v>
      </c>
      <c r="D173" s="48"/>
      <c r="E173" s="49">
        <v>0</v>
      </c>
      <c r="F173" s="50">
        <v>0</v>
      </c>
      <c r="G173" s="52"/>
    </row>
    <row r="174" spans="2:7">
      <c r="B174" s="44"/>
      <c r="C174" s="48" t="s">
        <v>42</v>
      </c>
      <c r="D174" s="48"/>
      <c r="E174" s="49">
        <v>177.60024119008227</v>
      </c>
      <c r="F174" s="50">
        <v>177.60024119008227</v>
      </c>
      <c r="G174" s="52"/>
    </row>
    <row r="175" spans="2:7">
      <c r="B175" s="44"/>
      <c r="C175" s="53" t="s">
        <v>26</v>
      </c>
      <c r="D175" s="53"/>
      <c r="E175" s="36">
        <v>1036.0014069421468</v>
      </c>
      <c r="F175" s="54">
        <v>1036.0014069421468</v>
      </c>
      <c r="G175" s="52"/>
    </row>
    <row r="176" spans="2:7">
      <c r="B176" s="44">
        <v>124</v>
      </c>
      <c r="C176" s="39" t="s">
        <v>43</v>
      </c>
      <c r="D176" s="39"/>
      <c r="E176" s="56"/>
      <c r="F176" s="57"/>
      <c r="G176" s="52"/>
    </row>
    <row r="177" spans="2:7">
      <c r="B177" s="44"/>
      <c r="C177" s="48" t="s">
        <v>44</v>
      </c>
      <c r="D177" s="48"/>
      <c r="E177" s="49">
        <v>135.66685090909075</v>
      </c>
      <c r="F177" s="50">
        <v>135.66685090909075</v>
      </c>
      <c r="G177" s="52"/>
    </row>
    <row r="178" spans="2:7">
      <c r="B178" s="44"/>
      <c r="C178" s="48" t="s">
        <v>45</v>
      </c>
      <c r="D178" s="48"/>
      <c r="E178" s="49">
        <v>0</v>
      </c>
      <c r="F178" s="50">
        <v>0</v>
      </c>
      <c r="G178" s="52"/>
    </row>
    <row r="179" spans="2:7">
      <c r="B179" s="44"/>
      <c r="C179" s="48" t="s">
        <v>46</v>
      </c>
      <c r="D179" s="48"/>
      <c r="E179" s="49">
        <v>0</v>
      </c>
      <c r="F179" s="50">
        <v>0</v>
      </c>
      <c r="G179" s="52"/>
    </row>
    <row r="180" spans="2:7">
      <c r="B180" s="44"/>
      <c r="C180" s="53" t="s">
        <v>26</v>
      </c>
      <c r="D180" s="53"/>
      <c r="E180" s="36">
        <v>135.66685090909075</v>
      </c>
      <c r="F180" s="54">
        <v>135.66685090909075</v>
      </c>
      <c r="G180" s="52"/>
    </row>
    <row r="181" spans="2:7">
      <c r="B181" s="44">
        <v>125</v>
      </c>
      <c r="C181" s="39" t="s">
        <v>47</v>
      </c>
      <c r="D181" s="39"/>
      <c r="E181" s="36"/>
      <c r="F181" s="50"/>
      <c r="G181" s="52"/>
    </row>
    <row r="182" spans="2:7">
      <c r="B182" s="44"/>
      <c r="C182" s="48" t="s">
        <v>48</v>
      </c>
      <c r="D182" s="48"/>
      <c r="E182" s="58">
        <v>0</v>
      </c>
      <c r="F182" s="50">
        <v>0</v>
      </c>
      <c r="G182" s="52"/>
    </row>
    <row r="183" spans="2:7">
      <c r="B183" s="44"/>
      <c r="C183" s="48" t="s">
        <v>49</v>
      </c>
      <c r="D183" s="48"/>
      <c r="E183" s="58">
        <v>0</v>
      </c>
      <c r="F183" s="50">
        <v>0</v>
      </c>
      <c r="G183" s="52"/>
    </row>
    <row r="184" spans="2:7">
      <c r="B184" s="44"/>
      <c r="C184" s="48" t="s">
        <v>50</v>
      </c>
      <c r="D184" s="48"/>
      <c r="E184" s="58">
        <v>108.5334807272726</v>
      </c>
      <c r="F184" s="50">
        <v>108.5334807272726</v>
      </c>
      <c r="G184" s="52"/>
    </row>
    <row r="185" spans="2:7">
      <c r="B185" s="44"/>
      <c r="C185" s="48" t="s">
        <v>51</v>
      </c>
      <c r="D185" s="48"/>
      <c r="E185" s="58">
        <v>0</v>
      </c>
      <c r="F185" s="50">
        <v>0</v>
      </c>
      <c r="G185" s="52"/>
    </row>
    <row r="186" spans="2:7">
      <c r="B186" s="44"/>
      <c r="C186" s="53" t="s">
        <v>26</v>
      </c>
      <c r="D186" s="53"/>
      <c r="E186" s="56">
        <v>108.5334807272726</v>
      </c>
      <c r="F186" s="54">
        <v>108.5334807272726</v>
      </c>
      <c r="G186" s="52"/>
    </row>
    <row r="187" spans="2:7">
      <c r="B187" s="44">
        <v>126</v>
      </c>
      <c r="C187" s="39" t="s">
        <v>52</v>
      </c>
      <c r="D187" s="39"/>
      <c r="E187" s="56"/>
      <c r="F187" s="50"/>
      <c r="G187" s="52"/>
    </row>
    <row r="188" spans="2:7">
      <c r="B188" s="44"/>
      <c r="C188" s="48" t="s">
        <v>53</v>
      </c>
      <c r="D188" s="48"/>
      <c r="E188" s="49">
        <v>0</v>
      </c>
      <c r="F188" s="50">
        <v>0</v>
      </c>
      <c r="G188" s="52"/>
    </row>
    <row r="189" spans="2:7">
      <c r="B189" s="44"/>
      <c r="C189" s="48" t="s">
        <v>54</v>
      </c>
      <c r="D189" s="48"/>
      <c r="E189" s="49">
        <v>0</v>
      </c>
      <c r="F189" s="50"/>
      <c r="G189" s="52"/>
    </row>
    <row r="190" spans="2:7">
      <c r="B190" s="44"/>
      <c r="C190" s="48" t="s">
        <v>55</v>
      </c>
      <c r="D190" s="48"/>
      <c r="E190" s="49">
        <v>0</v>
      </c>
      <c r="F190" s="50"/>
      <c r="G190" s="52"/>
    </row>
    <row r="191" spans="2:7">
      <c r="B191" s="44"/>
      <c r="C191" s="48" t="s">
        <v>56</v>
      </c>
      <c r="D191" s="48"/>
      <c r="E191" s="49">
        <v>0</v>
      </c>
      <c r="F191" s="57"/>
      <c r="G191" s="52"/>
    </row>
    <row r="192" spans="2:7">
      <c r="B192" s="44"/>
      <c r="C192" s="53" t="s">
        <v>26</v>
      </c>
      <c r="D192" s="53"/>
      <c r="E192" s="56">
        <v>0</v>
      </c>
      <c r="F192" s="54">
        <v>0</v>
      </c>
      <c r="G192" s="52"/>
    </row>
    <row r="193" spans="2:7">
      <c r="B193" s="44">
        <v>127</v>
      </c>
      <c r="C193" s="39" t="s">
        <v>57</v>
      </c>
      <c r="D193" s="39"/>
      <c r="E193" s="56"/>
      <c r="F193" s="54"/>
      <c r="G193" s="52"/>
    </row>
    <row r="194" spans="2:7">
      <c r="B194" s="44"/>
      <c r="C194" s="48" t="s">
        <v>58</v>
      </c>
      <c r="D194" s="48"/>
      <c r="E194" s="49">
        <v>0</v>
      </c>
      <c r="F194" s="50">
        <v>0</v>
      </c>
      <c r="G194" s="52"/>
    </row>
    <row r="195" spans="2:7">
      <c r="B195" s="44"/>
      <c r="C195" s="48" t="s">
        <v>59</v>
      </c>
      <c r="D195" s="48"/>
      <c r="E195" s="49">
        <v>0</v>
      </c>
      <c r="F195" s="50">
        <v>0</v>
      </c>
      <c r="G195" s="52"/>
    </row>
    <row r="196" spans="2:7">
      <c r="B196" s="44"/>
      <c r="C196" s="48" t="s">
        <v>60</v>
      </c>
      <c r="D196" s="48"/>
      <c r="E196" s="49">
        <v>0</v>
      </c>
      <c r="F196" s="50">
        <v>0</v>
      </c>
      <c r="G196" s="52"/>
    </row>
    <row r="197" spans="2:7">
      <c r="B197" s="44"/>
      <c r="C197" s="59" t="s">
        <v>61</v>
      </c>
      <c r="D197" s="59"/>
      <c r="E197" s="49">
        <v>0</v>
      </c>
      <c r="F197" s="50">
        <v>0</v>
      </c>
      <c r="G197" s="52"/>
    </row>
    <row r="198" spans="2:7">
      <c r="B198" s="44"/>
      <c r="C198" s="53" t="s">
        <v>26</v>
      </c>
      <c r="D198" s="53"/>
      <c r="E198" s="56">
        <v>0</v>
      </c>
      <c r="F198" s="54">
        <v>0</v>
      </c>
      <c r="G198" s="52"/>
    </row>
    <row r="199" spans="2:7">
      <c r="B199" s="44">
        <v>128</v>
      </c>
      <c r="C199" s="39" t="s">
        <v>62</v>
      </c>
      <c r="D199" s="39"/>
      <c r="E199" s="56"/>
      <c r="F199" s="54"/>
      <c r="G199" s="52"/>
    </row>
    <row r="200" spans="2:7">
      <c r="B200" s="44"/>
      <c r="C200" s="48" t="s">
        <v>63</v>
      </c>
      <c r="D200" s="48"/>
      <c r="E200" s="49">
        <v>0</v>
      </c>
      <c r="F200" s="50">
        <v>0</v>
      </c>
      <c r="G200" s="52"/>
    </row>
    <row r="201" spans="2:7">
      <c r="B201" s="44"/>
      <c r="C201" s="48" t="s">
        <v>64</v>
      </c>
      <c r="D201" s="48"/>
      <c r="E201" s="49">
        <v>0</v>
      </c>
      <c r="F201" s="50">
        <v>0</v>
      </c>
      <c r="G201" s="52"/>
    </row>
    <row r="202" spans="2:7">
      <c r="B202" s="44"/>
      <c r="C202" s="48" t="s">
        <v>65</v>
      </c>
      <c r="D202" s="48"/>
      <c r="E202" s="49">
        <v>325.60044218181781</v>
      </c>
      <c r="F202" s="50">
        <v>325.60044218181781</v>
      </c>
      <c r="G202" s="52"/>
    </row>
    <row r="203" spans="2:7">
      <c r="B203" s="44"/>
      <c r="C203" s="48" t="s">
        <v>66</v>
      </c>
      <c r="D203" s="48"/>
      <c r="E203" s="49">
        <v>0</v>
      </c>
      <c r="F203" s="50">
        <v>0</v>
      </c>
      <c r="G203" s="52"/>
    </row>
    <row r="204" spans="2:7">
      <c r="B204" s="44"/>
      <c r="C204" s="48" t="s">
        <v>67</v>
      </c>
      <c r="D204" s="48"/>
      <c r="E204" s="49">
        <v>0</v>
      </c>
      <c r="F204" s="50">
        <v>0</v>
      </c>
      <c r="G204" s="52"/>
    </row>
    <row r="205" spans="2:7">
      <c r="B205" s="44"/>
      <c r="C205" s="53" t="s">
        <v>26</v>
      </c>
      <c r="D205" s="53"/>
      <c r="E205" s="56">
        <v>325.60044218181781</v>
      </c>
      <c r="F205" s="54">
        <v>325.60044218181781</v>
      </c>
      <c r="G205" s="52"/>
    </row>
    <row r="206" spans="2:7">
      <c r="B206" s="44">
        <v>135</v>
      </c>
      <c r="C206" s="39" t="s">
        <v>68</v>
      </c>
      <c r="D206" s="39"/>
      <c r="E206" s="56"/>
      <c r="F206" s="50"/>
      <c r="G206" s="52"/>
    </row>
    <row r="207" spans="2:7">
      <c r="B207" s="44"/>
      <c r="C207" s="48" t="s">
        <v>69</v>
      </c>
      <c r="D207" s="48"/>
      <c r="E207" s="49">
        <v>0</v>
      </c>
      <c r="F207" s="50">
        <v>0</v>
      </c>
      <c r="G207" s="52"/>
    </row>
    <row r="208" spans="2:7">
      <c r="B208" s="44"/>
      <c r="C208" s="48" t="s">
        <v>70</v>
      </c>
      <c r="D208" s="48"/>
      <c r="E208" s="49">
        <v>0</v>
      </c>
      <c r="F208" s="50">
        <v>0</v>
      </c>
      <c r="G208" s="52"/>
    </row>
    <row r="209" spans="2:7">
      <c r="B209" s="44"/>
      <c r="C209" s="48" t="s">
        <v>71</v>
      </c>
      <c r="D209" s="48"/>
      <c r="E209" s="49">
        <v>0</v>
      </c>
      <c r="F209" s="50">
        <v>0</v>
      </c>
      <c r="G209" s="52"/>
    </row>
    <row r="210" spans="2:7">
      <c r="B210" s="44"/>
      <c r="C210" s="48" t="s">
        <v>72</v>
      </c>
      <c r="D210" s="48"/>
      <c r="E210" s="49">
        <v>0</v>
      </c>
      <c r="F210" s="50">
        <v>0</v>
      </c>
      <c r="G210" s="52"/>
    </row>
    <row r="211" spans="2:7">
      <c r="B211" s="44"/>
      <c r="C211" s="48" t="s">
        <v>73</v>
      </c>
      <c r="D211" s="48"/>
      <c r="E211" s="49">
        <v>177.60024119008227</v>
      </c>
      <c r="F211" s="50">
        <v>177.60024119008227</v>
      </c>
      <c r="G211" s="52"/>
    </row>
    <row r="212" spans="2:7">
      <c r="B212" s="44"/>
      <c r="C212" s="48" t="s">
        <v>74</v>
      </c>
      <c r="D212" s="48"/>
      <c r="E212" s="49">
        <v>0</v>
      </c>
      <c r="F212" s="50">
        <v>0</v>
      </c>
      <c r="G212" s="52"/>
    </row>
    <row r="213" spans="2:7">
      <c r="B213" s="44"/>
      <c r="C213" s="48" t="s">
        <v>75</v>
      </c>
      <c r="D213" s="48"/>
      <c r="E213" s="49">
        <v>841.13447563636271</v>
      </c>
      <c r="F213" s="50">
        <v>841.13447563636271</v>
      </c>
      <c r="G213" s="52"/>
    </row>
    <row r="214" spans="2:7">
      <c r="B214" s="44"/>
      <c r="C214" s="48" t="s">
        <v>76</v>
      </c>
      <c r="D214" s="48"/>
      <c r="E214" s="49">
        <v>0</v>
      </c>
      <c r="F214" s="50">
        <v>0</v>
      </c>
      <c r="G214" s="52"/>
    </row>
    <row r="215" spans="2:7">
      <c r="B215" s="44"/>
      <c r="C215" s="48" t="s">
        <v>77</v>
      </c>
      <c r="D215" s="48"/>
      <c r="E215" s="49">
        <v>0</v>
      </c>
      <c r="F215" s="50">
        <v>0</v>
      </c>
      <c r="G215" s="52"/>
    </row>
    <row r="216" spans="2:7">
      <c r="B216" s="44"/>
      <c r="C216" s="53" t="s">
        <v>26</v>
      </c>
      <c r="D216" s="53"/>
      <c r="E216" s="56">
        <v>1018.734716826445</v>
      </c>
      <c r="F216" s="54">
        <v>1018.734716826445</v>
      </c>
      <c r="G216" s="52"/>
    </row>
    <row r="217" spans="2:7">
      <c r="B217" s="44">
        <v>136</v>
      </c>
      <c r="C217" s="39" t="s">
        <v>78</v>
      </c>
      <c r="D217" s="39"/>
      <c r="E217" s="56"/>
      <c r="F217" s="50"/>
      <c r="G217" s="52"/>
    </row>
    <row r="218" spans="2:7">
      <c r="B218" s="44"/>
      <c r="C218" s="48" t="s">
        <v>79</v>
      </c>
      <c r="D218" s="48"/>
      <c r="E218" s="49">
        <v>0</v>
      </c>
      <c r="F218" s="50">
        <v>0</v>
      </c>
      <c r="G218" s="52"/>
    </row>
    <row r="219" spans="2:7">
      <c r="B219" s="44"/>
      <c r="C219" s="48" t="s">
        <v>80</v>
      </c>
      <c r="D219" s="48"/>
      <c r="E219" s="49">
        <v>0</v>
      </c>
      <c r="F219" s="50">
        <v>0</v>
      </c>
      <c r="G219" s="52"/>
    </row>
    <row r="220" spans="2:7">
      <c r="B220" s="44"/>
      <c r="C220" s="48" t="s">
        <v>81</v>
      </c>
      <c r="D220" s="48"/>
      <c r="E220" s="49">
        <v>0</v>
      </c>
      <c r="F220" s="50">
        <v>0</v>
      </c>
      <c r="G220" s="52"/>
    </row>
    <row r="221" spans="2:7">
      <c r="B221" s="44"/>
      <c r="C221" s="48" t="s">
        <v>82</v>
      </c>
      <c r="D221" s="48"/>
      <c r="E221" s="49">
        <v>0</v>
      </c>
      <c r="F221" s="50">
        <v>0</v>
      </c>
      <c r="G221" s="52"/>
    </row>
    <row r="222" spans="2:7">
      <c r="B222" s="44"/>
      <c r="C222" s="48" t="s">
        <v>83</v>
      </c>
      <c r="D222" s="48"/>
      <c r="E222" s="49">
        <v>0</v>
      </c>
      <c r="F222" s="50">
        <v>0</v>
      </c>
      <c r="G222" s="52"/>
    </row>
    <row r="223" spans="2:7">
      <c r="B223" s="44"/>
      <c r="C223" s="48" t="s">
        <v>84</v>
      </c>
      <c r="D223" s="48"/>
      <c r="E223" s="49">
        <v>0</v>
      </c>
      <c r="F223" s="50">
        <v>0</v>
      </c>
      <c r="G223" s="52"/>
    </row>
    <row r="224" spans="2:7">
      <c r="B224" s="44"/>
      <c r="C224" s="53" t="s">
        <v>26</v>
      </c>
      <c r="D224" s="53"/>
      <c r="E224" s="56">
        <v>0</v>
      </c>
      <c r="F224" s="54">
        <v>0</v>
      </c>
      <c r="G224" s="52"/>
    </row>
    <row r="225" spans="2:7">
      <c r="B225" s="44">
        <v>142</v>
      </c>
      <c r="C225" s="39" t="s">
        <v>85</v>
      </c>
      <c r="D225" s="39"/>
      <c r="E225" s="56"/>
      <c r="F225" s="50"/>
      <c r="G225" s="52"/>
    </row>
    <row r="226" spans="2:7">
      <c r="B226" s="44"/>
      <c r="C226" s="48" t="s">
        <v>86</v>
      </c>
      <c r="D226" s="48"/>
      <c r="E226" s="49">
        <v>0</v>
      </c>
      <c r="F226" s="50">
        <v>0</v>
      </c>
      <c r="G226" s="52"/>
    </row>
    <row r="227" spans="2:7">
      <c r="B227" s="44"/>
      <c r="C227" s="48" t="s">
        <v>87</v>
      </c>
      <c r="D227" s="48"/>
      <c r="E227" s="49">
        <v>0</v>
      </c>
      <c r="F227" s="50">
        <v>0</v>
      </c>
      <c r="G227" s="52"/>
    </row>
    <row r="228" spans="2:7">
      <c r="B228" s="44"/>
      <c r="C228" s="53" t="s">
        <v>26</v>
      </c>
      <c r="D228" s="53"/>
      <c r="E228" s="56">
        <v>0</v>
      </c>
      <c r="F228" s="54">
        <v>0</v>
      </c>
      <c r="G228" s="52"/>
    </row>
    <row r="229" spans="2:7">
      <c r="B229" s="44">
        <v>144</v>
      </c>
      <c r="C229" s="39" t="s">
        <v>88</v>
      </c>
      <c r="D229" s="39"/>
      <c r="E229" s="49">
        <v>0</v>
      </c>
      <c r="F229" s="54">
        <v>0</v>
      </c>
      <c r="G229" s="52"/>
    </row>
    <row r="230" spans="2:7">
      <c r="B230" s="44">
        <v>221</v>
      </c>
      <c r="C230" s="39" t="s">
        <v>89</v>
      </c>
      <c r="D230" s="39"/>
      <c r="E230" s="49">
        <v>0</v>
      </c>
      <c r="F230" s="54">
        <v>0</v>
      </c>
      <c r="G230" s="52"/>
    </row>
    <row r="231" spans="2:7">
      <c r="B231" s="44">
        <v>222</v>
      </c>
      <c r="C231" s="39" t="s">
        <v>90</v>
      </c>
      <c r="D231" s="39"/>
      <c r="E231" s="49">
        <v>0</v>
      </c>
      <c r="F231" s="54">
        <v>0</v>
      </c>
      <c r="G231" s="52"/>
    </row>
    <row r="232" spans="2:7">
      <c r="B232" s="44">
        <v>224</v>
      </c>
      <c r="C232" s="39" t="s">
        <v>91</v>
      </c>
      <c r="D232" s="39"/>
      <c r="E232" s="49">
        <v>0</v>
      </c>
      <c r="F232" s="54">
        <v>0</v>
      </c>
      <c r="G232" s="52"/>
    </row>
    <row r="233" spans="2:7">
      <c r="B233" s="44">
        <v>225</v>
      </c>
      <c r="C233" s="39" t="s">
        <v>92</v>
      </c>
      <c r="D233" s="39"/>
      <c r="E233" s="49">
        <v>0</v>
      </c>
      <c r="F233" s="54">
        <v>0</v>
      </c>
      <c r="G233" s="38"/>
    </row>
    <row r="234" spans="2:7">
      <c r="B234" s="44">
        <v>226</v>
      </c>
      <c r="C234" s="39" t="s">
        <v>93</v>
      </c>
      <c r="D234" s="39"/>
      <c r="E234" s="49">
        <v>0</v>
      </c>
      <c r="F234" s="54">
        <v>0</v>
      </c>
      <c r="G234" s="60"/>
    </row>
    <row r="235" spans="2:7" ht="15.75" thickBot="1">
      <c r="B235" s="61"/>
      <c r="C235" s="62" t="s">
        <v>94</v>
      </c>
      <c r="D235" s="62"/>
      <c r="E235" s="94">
        <v>0</v>
      </c>
      <c r="F235" s="63">
        <v>0</v>
      </c>
      <c r="G235" s="38"/>
    </row>
    <row r="236" spans="2:7">
      <c r="B236" s="64"/>
      <c r="C236" s="65" t="s">
        <v>95</v>
      </c>
      <c r="D236" s="66"/>
      <c r="E236" s="67">
        <v>2713.3370181818141</v>
      </c>
      <c r="F236" s="68">
        <v>2713.3370181818141</v>
      </c>
      <c r="G236" s="69"/>
    </row>
    <row r="237" spans="2:7" ht="15.75" thickBot="1">
      <c r="B237" s="64"/>
      <c r="C237" s="70"/>
      <c r="D237" s="71"/>
      <c r="E237" s="72"/>
      <c r="F237" s="73"/>
      <c r="G237" s="69"/>
    </row>
    <row r="238" spans="2:7" ht="15.75" thickBot="1">
      <c r="B238" s="64"/>
      <c r="C238" s="70" t="s">
        <v>96</v>
      </c>
      <c r="D238" s="71"/>
      <c r="E238" s="74">
        <v>13761.81686677687</v>
      </c>
      <c r="F238" s="75">
        <v>13761.81686677687</v>
      </c>
      <c r="G238" s="76"/>
    </row>
    <row r="239" spans="2:7" ht="8.25" customHeight="1" thickBot="1">
      <c r="B239" s="77"/>
      <c r="C239" s="81"/>
      <c r="D239" s="81"/>
      <c r="E239" s="78"/>
      <c r="F239" s="78"/>
      <c r="G239" s="79"/>
    </row>
    <row r="240" spans="2:7" ht="5.0999999999999996" customHeight="1">
      <c r="B240" s="85"/>
      <c r="C240" s="84"/>
      <c r="D240" s="84"/>
      <c r="E240" s="85"/>
      <c r="F240" s="85"/>
      <c r="G240" s="85"/>
    </row>
    <row r="241" spans="1:7" ht="6" customHeight="1" thickBot="1"/>
    <row r="242" spans="1:7">
      <c r="B242" s="1"/>
      <c r="C242" s="2"/>
      <c r="D242" s="2"/>
      <c r="E242" s="2"/>
      <c r="F242" s="2"/>
      <c r="G242" s="3"/>
    </row>
    <row r="243" spans="1:7">
      <c r="B243" s="4"/>
      <c r="C243" s="5"/>
      <c r="D243" s="5"/>
      <c r="E243" s="5"/>
      <c r="F243" s="5"/>
      <c r="G243" s="6"/>
    </row>
    <row r="244" spans="1:7">
      <c r="B244" s="4"/>
      <c r="C244" s="5"/>
      <c r="D244" s="5"/>
      <c r="E244" s="5"/>
      <c r="F244" s="5"/>
      <c r="G244" s="6"/>
    </row>
    <row r="245" spans="1:7">
      <c r="B245" s="4"/>
      <c r="C245" s="5"/>
      <c r="D245" s="5"/>
      <c r="E245" s="5"/>
      <c r="F245" s="5"/>
      <c r="G245" s="6"/>
    </row>
    <row r="246" spans="1:7">
      <c r="B246" s="4"/>
      <c r="C246" s="5"/>
      <c r="D246" s="5"/>
      <c r="E246" s="5"/>
      <c r="F246" s="5"/>
      <c r="G246" s="6"/>
    </row>
    <row r="247" spans="1:7" ht="16.5" customHeight="1">
      <c r="B247" s="4"/>
      <c r="C247" s="5"/>
      <c r="D247" s="5"/>
      <c r="E247" s="5"/>
      <c r="F247" s="5"/>
      <c r="G247" s="6"/>
    </row>
    <row r="248" spans="1:7" ht="22.5" customHeight="1" thickBot="1">
      <c r="B248" s="4"/>
      <c r="C248" s="95" t="s">
        <v>0</v>
      </c>
      <c r="D248" s="95"/>
      <c r="E248" s="95"/>
      <c r="F248" s="5"/>
      <c r="G248" s="6"/>
    </row>
    <row r="249" spans="1:7" ht="21" thickTop="1">
      <c r="B249" s="4"/>
      <c r="C249" s="7"/>
      <c r="D249" s="7"/>
      <c r="E249" s="5"/>
      <c r="F249" s="5"/>
      <c r="G249" s="6"/>
    </row>
    <row r="250" spans="1:7">
      <c r="B250" s="8" t="s">
        <v>1</v>
      </c>
      <c r="C250" s="9" t="s">
        <v>97</v>
      </c>
      <c r="D250" s="5"/>
      <c r="E250" s="10" t="s">
        <v>2</v>
      </c>
      <c r="F250" s="9" t="s">
        <v>98</v>
      </c>
      <c r="G250" s="6"/>
    </row>
    <row r="251" spans="1:7" ht="3.75" customHeight="1">
      <c r="A251" s="80"/>
      <c r="B251" s="5"/>
      <c r="C251" s="5"/>
      <c r="D251" s="5"/>
      <c r="E251" s="11"/>
      <c r="F251" s="5"/>
      <c r="G251" s="6"/>
    </row>
    <row r="252" spans="1:7">
      <c r="A252" s="80"/>
      <c r="B252" s="12" t="s">
        <v>3</v>
      </c>
      <c r="C252" s="9" t="s">
        <v>99</v>
      </c>
      <c r="D252" s="5"/>
      <c r="E252" s="10" t="s">
        <v>4</v>
      </c>
      <c r="F252" s="82" t="s">
        <v>100</v>
      </c>
      <c r="G252" s="6"/>
    </row>
    <row r="253" spans="1:7" ht="3.75" customHeight="1">
      <c r="A253" s="80"/>
      <c r="B253" s="5"/>
      <c r="C253" s="5"/>
      <c r="D253" s="5"/>
      <c r="E253" s="11"/>
      <c r="F253" s="5"/>
      <c r="G253" s="6"/>
    </row>
    <row r="254" spans="1:7">
      <c r="A254" s="80"/>
      <c r="B254" s="10" t="s">
        <v>5</v>
      </c>
      <c r="C254" s="9" t="s">
        <v>101</v>
      </c>
      <c r="D254" s="5"/>
      <c r="E254" s="10" t="s">
        <v>6</v>
      </c>
      <c r="F254" s="9" t="s">
        <v>107</v>
      </c>
      <c r="G254" s="6"/>
    </row>
    <row r="255" spans="1:7" ht="4.5" customHeight="1">
      <c r="A255" s="80"/>
      <c r="B255" s="13"/>
      <c r="C255" s="5"/>
      <c r="D255" s="5"/>
      <c r="E255" s="11"/>
      <c r="F255" s="5"/>
      <c r="G255" s="6"/>
    </row>
    <row r="256" spans="1:7">
      <c r="A256" s="80"/>
      <c r="B256" s="10" t="s">
        <v>7</v>
      </c>
      <c r="C256" s="9" t="s">
        <v>124</v>
      </c>
      <c r="D256" s="5"/>
      <c r="E256" s="11"/>
      <c r="F256" s="5"/>
      <c r="G256" s="6"/>
    </row>
    <row r="257" spans="1:7" ht="3.75" customHeight="1">
      <c r="A257" s="80"/>
      <c r="B257" s="5"/>
      <c r="C257" s="5"/>
      <c r="D257" s="5"/>
      <c r="E257" s="11"/>
      <c r="F257" s="5"/>
      <c r="G257" s="6"/>
    </row>
    <row r="258" spans="1:7">
      <c r="B258" s="14" t="s">
        <v>8</v>
      </c>
      <c r="C258" s="15" t="s">
        <v>105</v>
      </c>
      <c r="D258" s="5"/>
      <c r="E258" s="86" t="s">
        <v>109</v>
      </c>
      <c r="F258" s="87">
        <v>45352</v>
      </c>
      <c r="G258" s="6"/>
    </row>
    <row r="259" spans="1:7">
      <c r="B259" s="16" t="s">
        <v>9</v>
      </c>
      <c r="C259" s="17" t="s">
        <v>130</v>
      </c>
      <c r="D259" s="5"/>
      <c r="E259" s="88" t="s">
        <v>110</v>
      </c>
      <c r="F259" s="89">
        <v>45382</v>
      </c>
      <c r="G259" s="18"/>
    </row>
    <row r="260" spans="1:7" ht="15.75" thickBot="1">
      <c r="B260" s="4"/>
      <c r="C260" s="19"/>
      <c r="D260" s="19"/>
      <c r="E260" s="20"/>
      <c r="F260" s="21"/>
      <c r="G260" s="18"/>
    </row>
    <row r="261" spans="1:7" ht="18.75" thickBot="1">
      <c r="B261" s="4"/>
      <c r="C261" s="22" t="s">
        <v>10</v>
      </c>
      <c r="D261" s="23"/>
      <c r="E261" s="24"/>
      <c r="F261" s="25" t="s">
        <v>11</v>
      </c>
      <c r="G261" s="18"/>
    </row>
    <row r="262" spans="1:7">
      <c r="B262" s="4"/>
      <c r="C262" s="26" t="s">
        <v>12</v>
      </c>
      <c r="D262" s="26"/>
      <c r="E262" s="27">
        <v>13761.81686677687</v>
      </c>
      <c r="F262" s="28">
        <v>13761.81686677687</v>
      </c>
      <c r="G262" s="29"/>
    </row>
    <row r="263" spans="1:7">
      <c r="B263" s="30">
        <v>143</v>
      </c>
      <c r="C263" s="31" t="s">
        <v>13</v>
      </c>
      <c r="D263" s="31"/>
      <c r="E263" s="27">
        <v>4578.6174545454505</v>
      </c>
      <c r="F263" s="32">
        <v>4578.6174545454505</v>
      </c>
      <c r="G263" s="33"/>
    </row>
    <row r="264" spans="1:7">
      <c r="B264" s="30"/>
      <c r="C264" s="34" t="s">
        <v>14</v>
      </c>
      <c r="D264" s="34"/>
      <c r="E264" s="27">
        <v>0</v>
      </c>
      <c r="F264" s="32">
        <v>0</v>
      </c>
      <c r="G264" s="33"/>
    </row>
    <row r="265" spans="1:7">
      <c r="B265" s="30"/>
      <c r="C265" s="34" t="s">
        <v>15</v>
      </c>
      <c r="D265" s="34"/>
      <c r="E265" s="27">
        <v>0</v>
      </c>
      <c r="F265" s="32">
        <v>0</v>
      </c>
      <c r="G265" s="33"/>
    </row>
    <row r="266" spans="1:7">
      <c r="B266" s="30"/>
      <c r="C266" s="34" t="s">
        <v>16</v>
      </c>
      <c r="D266" s="34"/>
      <c r="E266" s="27">
        <v>0</v>
      </c>
      <c r="F266" s="32">
        <v>0</v>
      </c>
      <c r="G266" s="33"/>
    </row>
    <row r="267" spans="1:7">
      <c r="B267" s="30"/>
      <c r="C267" s="34" t="s">
        <v>17</v>
      </c>
      <c r="D267" s="34"/>
      <c r="E267" s="27">
        <v>0</v>
      </c>
      <c r="F267" s="32">
        <v>0</v>
      </c>
      <c r="G267" s="33"/>
    </row>
    <row r="268" spans="1:7">
      <c r="B268" s="30"/>
      <c r="C268" s="35" t="s">
        <v>18</v>
      </c>
      <c r="D268" s="35"/>
      <c r="E268" s="36">
        <v>18340.434321322318</v>
      </c>
      <c r="F268" s="37">
        <v>18340.434321322318</v>
      </c>
      <c r="G268" s="38"/>
    </row>
    <row r="269" spans="1:7" ht="15.75" thickBot="1">
      <c r="B269" s="30"/>
      <c r="C269" s="39"/>
      <c r="D269" s="39"/>
      <c r="E269" s="40"/>
      <c r="F269" s="41"/>
      <c r="G269" s="38"/>
    </row>
    <row r="270" spans="1:7" ht="18.75" thickBot="1">
      <c r="B270" s="30"/>
      <c r="C270" s="22" t="s">
        <v>19</v>
      </c>
      <c r="D270" s="23"/>
      <c r="E270" s="42"/>
      <c r="F270" s="43"/>
      <c r="G270" s="38"/>
    </row>
    <row r="271" spans="1:7">
      <c r="B271" s="44">
        <v>121</v>
      </c>
      <c r="C271" s="39" t="s">
        <v>20</v>
      </c>
      <c r="D271" s="39"/>
      <c r="E271" s="45"/>
      <c r="F271" s="46"/>
      <c r="G271" s="47"/>
    </row>
    <row r="272" spans="1:7">
      <c r="B272" s="44"/>
      <c r="C272" s="48" t="s">
        <v>21</v>
      </c>
      <c r="D272" s="48"/>
      <c r="E272" s="49">
        <v>0</v>
      </c>
      <c r="F272" s="50">
        <v>0</v>
      </c>
      <c r="G272" s="47"/>
    </row>
    <row r="273" spans="2:7">
      <c r="B273" s="44"/>
      <c r="C273" s="48" t="s">
        <v>22</v>
      </c>
      <c r="D273" s="48"/>
      <c r="E273" s="49">
        <v>0</v>
      </c>
      <c r="F273" s="50">
        <v>0</v>
      </c>
      <c r="G273" s="47"/>
    </row>
    <row r="274" spans="2:7">
      <c r="B274" s="51"/>
      <c r="C274" s="48" t="s">
        <v>23</v>
      </c>
      <c r="D274" s="48"/>
      <c r="E274" s="49">
        <v>0</v>
      </c>
      <c r="F274" s="50">
        <v>0</v>
      </c>
      <c r="G274" s="52"/>
    </row>
    <row r="275" spans="2:7">
      <c r="B275" s="51"/>
      <c r="C275" s="48" t="s">
        <v>24</v>
      </c>
      <c r="D275" s="48"/>
      <c r="E275" s="49">
        <v>814.0011054545447</v>
      </c>
      <c r="F275" s="50">
        <v>814.0011054545447</v>
      </c>
      <c r="G275" s="52"/>
    </row>
    <row r="276" spans="2:7">
      <c r="B276" s="44"/>
      <c r="C276" s="48" t="s">
        <v>25</v>
      </c>
      <c r="D276" s="48"/>
      <c r="E276" s="49">
        <v>0</v>
      </c>
      <c r="F276" s="50">
        <v>0</v>
      </c>
      <c r="G276" s="52"/>
    </row>
    <row r="277" spans="2:7">
      <c r="B277" s="44"/>
      <c r="C277" s="53" t="s">
        <v>26</v>
      </c>
      <c r="D277" s="53"/>
      <c r="E277" s="36">
        <v>814.0011054545447</v>
      </c>
      <c r="F277" s="54">
        <v>814.0011054545447</v>
      </c>
      <c r="G277" s="52"/>
    </row>
    <row r="278" spans="2:7">
      <c r="B278" s="44">
        <v>122</v>
      </c>
      <c r="C278" s="39" t="s">
        <v>27</v>
      </c>
      <c r="D278" s="39"/>
      <c r="E278" s="36"/>
      <c r="F278" s="50"/>
      <c r="G278" s="55"/>
    </row>
    <row r="279" spans="2:7">
      <c r="B279" s="44"/>
      <c r="C279" s="48" t="s">
        <v>28</v>
      </c>
      <c r="D279" s="48"/>
      <c r="E279" s="49">
        <v>0</v>
      </c>
      <c r="F279" s="50">
        <v>0</v>
      </c>
      <c r="G279" s="52"/>
    </row>
    <row r="280" spans="2:7">
      <c r="B280" s="44"/>
      <c r="C280" s="48" t="s">
        <v>29</v>
      </c>
      <c r="D280" s="48"/>
      <c r="E280" s="49">
        <v>0</v>
      </c>
      <c r="F280" s="50">
        <v>0</v>
      </c>
      <c r="G280" s="52"/>
    </row>
    <row r="281" spans="2:7">
      <c r="B281" s="44"/>
      <c r="C281" s="48" t="s">
        <v>30</v>
      </c>
      <c r="D281" s="48"/>
      <c r="E281" s="49">
        <v>0</v>
      </c>
      <c r="F281" s="50">
        <v>0</v>
      </c>
      <c r="G281" s="52"/>
    </row>
    <row r="282" spans="2:7">
      <c r="B282" s="44"/>
      <c r="C282" s="48" t="s">
        <v>31</v>
      </c>
      <c r="D282" s="48"/>
      <c r="E282" s="49">
        <v>0</v>
      </c>
      <c r="F282" s="50">
        <v>0</v>
      </c>
      <c r="G282" s="52"/>
    </row>
    <row r="283" spans="2:7">
      <c r="B283" s="44"/>
      <c r="C283" s="48" t="s">
        <v>32</v>
      </c>
      <c r="D283" s="48"/>
      <c r="E283" s="49">
        <v>271.33370181818157</v>
      </c>
      <c r="F283" s="50">
        <v>271.33370181818157</v>
      </c>
      <c r="G283" s="52"/>
    </row>
    <row r="284" spans="2:7">
      <c r="B284" s="44"/>
      <c r="C284" s="48" t="s">
        <v>33</v>
      </c>
      <c r="D284" s="48"/>
      <c r="E284" s="49">
        <v>0</v>
      </c>
      <c r="F284" s="50">
        <v>0</v>
      </c>
      <c r="G284" s="52"/>
    </row>
    <row r="285" spans="2:7">
      <c r="B285" s="44"/>
      <c r="C285" s="48" t="s">
        <v>34</v>
      </c>
      <c r="D285" s="48"/>
      <c r="E285" s="49">
        <v>0</v>
      </c>
      <c r="F285" s="50">
        <v>0</v>
      </c>
      <c r="G285" s="52"/>
    </row>
    <row r="286" spans="2:7">
      <c r="B286" s="44"/>
      <c r="C286" s="48" t="s">
        <v>35</v>
      </c>
      <c r="D286" s="48"/>
      <c r="E286" s="49">
        <v>0</v>
      </c>
      <c r="F286" s="50">
        <v>0</v>
      </c>
      <c r="G286" s="52"/>
    </row>
    <row r="287" spans="2:7">
      <c r="B287" s="44"/>
      <c r="C287" s="53" t="s">
        <v>26</v>
      </c>
      <c r="D287" s="53"/>
      <c r="E287" s="36">
        <v>271.33370181818157</v>
      </c>
      <c r="F287" s="54">
        <v>271.33370181818157</v>
      </c>
      <c r="G287" s="52"/>
    </row>
    <row r="288" spans="2:7">
      <c r="B288" s="44">
        <v>123</v>
      </c>
      <c r="C288" s="39" t="s">
        <v>36</v>
      </c>
      <c r="D288" s="39"/>
      <c r="E288" s="56"/>
      <c r="F288" s="57"/>
      <c r="G288" s="52"/>
    </row>
    <row r="289" spans="2:7">
      <c r="B289" s="44"/>
      <c r="C289" s="48" t="s">
        <v>37</v>
      </c>
      <c r="D289" s="48"/>
      <c r="E289" s="49">
        <v>222.00030148760285</v>
      </c>
      <c r="F289" s="50">
        <v>222.00030148760285</v>
      </c>
      <c r="G289" s="52"/>
    </row>
    <row r="290" spans="2:7">
      <c r="B290" s="44"/>
      <c r="C290" s="48" t="s">
        <v>38</v>
      </c>
      <c r="D290" s="48"/>
      <c r="E290" s="49">
        <v>1825.3358122314014</v>
      </c>
      <c r="F290" s="50">
        <v>1825.3358122314014</v>
      </c>
      <c r="G290" s="52"/>
    </row>
    <row r="291" spans="2:7">
      <c r="B291" s="44"/>
      <c r="C291" s="48" t="s">
        <v>39</v>
      </c>
      <c r="D291" s="48"/>
      <c r="E291" s="49">
        <v>222.00030148760285</v>
      </c>
      <c r="F291" s="50">
        <v>222.00030148760285</v>
      </c>
      <c r="G291" s="52"/>
    </row>
    <row r="292" spans="2:7">
      <c r="B292" s="44"/>
      <c r="C292" s="48" t="s">
        <v>40</v>
      </c>
      <c r="D292" s="48"/>
      <c r="E292" s="49">
        <v>0</v>
      </c>
      <c r="F292" s="50">
        <v>0</v>
      </c>
      <c r="G292" s="52"/>
    </row>
    <row r="293" spans="2:7">
      <c r="B293" s="44"/>
      <c r="C293" s="48" t="s">
        <v>41</v>
      </c>
      <c r="D293" s="48"/>
      <c r="E293" s="49">
        <v>0</v>
      </c>
      <c r="F293" s="50">
        <v>0</v>
      </c>
      <c r="G293" s="52"/>
    </row>
    <row r="294" spans="2:7">
      <c r="B294" s="44"/>
      <c r="C294" s="48" t="s">
        <v>42</v>
      </c>
      <c r="D294" s="48"/>
      <c r="E294" s="49">
        <v>444.00060297520571</v>
      </c>
      <c r="F294" s="50">
        <v>444.00060297520571</v>
      </c>
      <c r="G294" s="52"/>
    </row>
    <row r="295" spans="2:7">
      <c r="B295" s="44"/>
      <c r="C295" s="53" t="s">
        <v>26</v>
      </c>
      <c r="D295" s="53"/>
      <c r="E295" s="36">
        <v>2713.3370181818127</v>
      </c>
      <c r="F295" s="54">
        <v>2713.3370181818127</v>
      </c>
      <c r="G295" s="52"/>
    </row>
    <row r="296" spans="2:7">
      <c r="B296" s="44">
        <v>124</v>
      </c>
      <c r="C296" s="39" t="s">
        <v>43</v>
      </c>
      <c r="D296" s="39"/>
      <c r="E296" s="56"/>
      <c r="F296" s="57"/>
      <c r="G296" s="52"/>
    </row>
    <row r="297" spans="2:7">
      <c r="B297" s="44"/>
      <c r="C297" s="48" t="s">
        <v>44</v>
      </c>
      <c r="D297" s="48"/>
      <c r="E297" s="49">
        <v>0</v>
      </c>
      <c r="F297" s="50">
        <v>0</v>
      </c>
      <c r="G297" s="52"/>
    </row>
    <row r="298" spans="2:7">
      <c r="B298" s="44"/>
      <c r="C298" s="48" t="s">
        <v>45</v>
      </c>
      <c r="D298" s="48"/>
      <c r="E298" s="49">
        <v>2102.8361890909068</v>
      </c>
      <c r="F298" s="50">
        <v>2102.8361890909068</v>
      </c>
      <c r="G298" s="52"/>
    </row>
    <row r="299" spans="2:7">
      <c r="B299" s="44"/>
      <c r="C299" s="48" t="s">
        <v>46</v>
      </c>
      <c r="D299" s="48"/>
      <c r="E299" s="49">
        <v>0</v>
      </c>
      <c r="F299" s="50">
        <v>0</v>
      </c>
      <c r="G299" s="52"/>
    </row>
    <row r="300" spans="2:7">
      <c r="B300" s="44"/>
      <c r="C300" s="53" t="s">
        <v>26</v>
      </c>
      <c r="D300" s="53"/>
      <c r="E300" s="36">
        <v>2102.8361890909068</v>
      </c>
      <c r="F300" s="54">
        <v>2102.8361890909068</v>
      </c>
      <c r="G300" s="52"/>
    </row>
    <row r="301" spans="2:7">
      <c r="B301" s="44">
        <v>125</v>
      </c>
      <c r="C301" s="39" t="s">
        <v>47</v>
      </c>
      <c r="D301" s="39"/>
      <c r="E301" s="36"/>
      <c r="F301" s="50"/>
      <c r="G301" s="52"/>
    </row>
    <row r="302" spans="2:7">
      <c r="B302" s="44"/>
      <c r="C302" s="48" t="s">
        <v>48</v>
      </c>
      <c r="D302" s="48"/>
      <c r="E302" s="58">
        <v>0</v>
      </c>
      <c r="F302" s="50">
        <v>0</v>
      </c>
      <c r="G302" s="52"/>
    </row>
    <row r="303" spans="2:7">
      <c r="B303" s="44"/>
      <c r="C303" s="48" t="s">
        <v>49</v>
      </c>
      <c r="D303" s="48"/>
      <c r="E303" s="58">
        <v>0</v>
      </c>
      <c r="F303" s="50">
        <v>0</v>
      </c>
      <c r="G303" s="52"/>
    </row>
    <row r="304" spans="2:7">
      <c r="B304" s="44"/>
      <c r="C304" s="48" t="s">
        <v>50</v>
      </c>
      <c r="D304" s="48"/>
      <c r="E304" s="58">
        <v>881.83453090909018</v>
      </c>
      <c r="F304" s="50">
        <v>881.83453090909018</v>
      </c>
      <c r="G304" s="52"/>
    </row>
    <row r="305" spans="2:7">
      <c r="B305" s="44"/>
      <c r="C305" s="48" t="s">
        <v>51</v>
      </c>
      <c r="D305" s="48"/>
      <c r="E305" s="58">
        <v>0</v>
      </c>
      <c r="F305" s="50">
        <v>0</v>
      </c>
      <c r="G305" s="52"/>
    </row>
    <row r="306" spans="2:7">
      <c r="B306" s="44"/>
      <c r="C306" s="53" t="s">
        <v>26</v>
      </c>
      <c r="D306" s="53"/>
      <c r="E306" s="56">
        <v>881.83453090909018</v>
      </c>
      <c r="F306" s="54">
        <v>881.83453090909018</v>
      </c>
      <c r="G306" s="52"/>
    </row>
    <row r="307" spans="2:7">
      <c r="B307" s="44">
        <v>126</v>
      </c>
      <c r="C307" s="39" t="s">
        <v>52</v>
      </c>
      <c r="D307" s="39"/>
      <c r="E307" s="56"/>
      <c r="F307" s="50"/>
      <c r="G307" s="52"/>
    </row>
    <row r="308" spans="2:7">
      <c r="B308" s="44"/>
      <c r="C308" s="48" t="s">
        <v>53</v>
      </c>
      <c r="D308" s="48"/>
      <c r="E308" s="49">
        <v>0</v>
      </c>
      <c r="F308" s="50">
        <v>0</v>
      </c>
      <c r="G308" s="52"/>
    </row>
    <row r="309" spans="2:7">
      <c r="B309" s="44"/>
      <c r="C309" s="48" t="s">
        <v>54</v>
      </c>
      <c r="D309" s="48"/>
      <c r="E309" s="49">
        <v>0</v>
      </c>
      <c r="F309" s="50"/>
      <c r="G309" s="52"/>
    </row>
    <row r="310" spans="2:7">
      <c r="B310" s="44"/>
      <c r="C310" s="48" t="s">
        <v>55</v>
      </c>
      <c r="D310" s="48"/>
      <c r="E310" s="49">
        <v>0</v>
      </c>
      <c r="F310" s="50"/>
      <c r="G310" s="52"/>
    </row>
    <row r="311" spans="2:7">
      <c r="B311" s="44"/>
      <c r="C311" s="48" t="s">
        <v>56</v>
      </c>
      <c r="D311" s="48"/>
      <c r="E311" s="49">
        <v>0</v>
      </c>
      <c r="F311" s="57"/>
      <c r="G311" s="52"/>
    </row>
    <row r="312" spans="2:7">
      <c r="B312" s="44"/>
      <c r="C312" s="53" t="s">
        <v>26</v>
      </c>
      <c r="D312" s="53"/>
      <c r="E312" s="56">
        <v>0</v>
      </c>
      <c r="F312" s="54">
        <v>0</v>
      </c>
      <c r="G312" s="52"/>
    </row>
    <row r="313" spans="2:7">
      <c r="B313" s="44">
        <v>127</v>
      </c>
      <c r="C313" s="39" t="s">
        <v>57</v>
      </c>
      <c r="D313" s="39"/>
      <c r="E313" s="56"/>
      <c r="F313" s="54"/>
      <c r="G313" s="52"/>
    </row>
    <row r="314" spans="2:7">
      <c r="B314" s="44"/>
      <c r="C314" s="48" t="s">
        <v>58</v>
      </c>
      <c r="D314" s="48"/>
      <c r="E314" s="49">
        <v>0</v>
      </c>
      <c r="F314" s="50">
        <v>0</v>
      </c>
      <c r="G314" s="52"/>
    </row>
    <row r="315" spans="2:7">
      <c r="B315" s="44"/>
      <c r="C315" s="48" t="s">
        <v>59</v>
      </c>
      <c r="D315" s="48"/>
      <c r="E315" s="49">
        <v>0</v>
      </c>
      <c r="F315" s="50">
        <v>0</v>
      </c>
      <c r="G315" s="52"/>
    </row>
    <row r="316" spans="2:7">
      <c r="B316" s="44"/>
      <c r="C316" s="48" t="s">
        <v>60</v>
      </c>
      <c r="D316" s="48"/>
      <c r="E316" s="49">
        <v>0</v>
      </c>
      <c r="F316" s="50">
        <v>0</v>
      </c>
      <c r="G316" s="52"/>
    </row>
    <row r="317" spans="2:7">
      <c r="B317" s="44"/>
      <c r="C317" s="59" t="s">
        <v>61</v>
      </c>
      <c r="D317" s="59"/>
      <c r="E317" s="49">
        <v>0</v>
      </c>
      <c r="F317" s="50">
        <v>0</v>
      </c>
      <c r="G317" s="52"/>
    </row>
    <row r="318" spans="2:7">
      <c r="B318" s="44"/>
      <c r="C318" s="53" t="s">
        <v>26</v>
      </c>
      <c r="D318" s="53"/>
      <c r="E318" s="56">
        <v>0</v>
      </c>
      <c r="F318" s="54">
        <v>0</v>
      </c>
      <c r="G318" s="52"/>
    </row>
    <row r="319" spans="2:7">
      <c r="B319" s="44">
        <v>128</v>
      </c>
      <c r="C319" s="39" t="s">
        <v>62</v>
      </c>
      <c r="D319" s="39"/>
      <c r="E319" s="56"/>
      <c r="F319" s="54"/>
      <c r="G319" s="52"/>
    </row>
    <row r="320" spans="2:7">
      <c r="B320" s="44"/>
      <c r="C320" s="48" t="s">
        <v>63</v>
      </c>
      <c r="D320" s="48"/>
      <c r="E320" s="49">
        <v>0</v>
      </c>
      <c r="F320" s="50">
        <v>0</v>
      </c>
      <c r="G320" s="52"/>
    </row>
    <row r="321" spans="2:7">
      <c r="B321" s="44"/>
      <c r="C321" s="48" t="s">
        <v>64</v>
      </c>
      <c r="D321" s="48"/>
      <c r="E321" s="49">
        <v>0</v>
      </c>
      <c r="F321" s="50">
        <v>0</v>
      </c>
      <c r="G321" s="52"/>
    </row>
    <row r="322" spans="2:7">
      <c r="B322" s="44"/>
      <c r="C322" s="48" t="s">
        <v>65</v>
      </c>
      <c r="D322" s="48"/>
      <c r="E322" s="49">
        <v>0</v>
      </c>
      <c r="F322" s="50">
        <v>0</v>
      </c>
      <c r="G322" s="52"/>
    </row>
    <row r="323" spans="2:7">
      <c r="B323" s="44"/>
      <c r="C323" s="48" t="s">
        <v>66</v>
      </c>
      <c r="D323" s="48"/>
      <c r="E323" s="49">
        <v>0</v>
      </c>
      <c r="F323" s="50">
        <v>0</v>
      </c>
      <c r="G323" s="52"/>
    </row>
    <row r="324" spans="2:7">
      <c r="B324" s="44"/>
      <c r="C324" s="48" t="s">
        <v>67</v>
      </c>
      <c r="D324" s="48"/>
      <c r="E324" s="49">
        <v>0</v>
      </c>
      <c r="F324" s="50">
        <v>0</v>
      </c>
      <c r="G324" s="52"/>
    </row>
    <row r="325" spans="2:7">
      <c r="B325" s="44"/>
      <c r="C325" s="53" t="s">
        <v>26</v>
      </c>
      <c r="D325" s="53"/>
      <c r="E325" s="56">
        <v>0</v>
      </c>
      <c r="F325" s="54">
        <v>0</v>
      </c>
      <c r="G325" s="52"/>
    </row>
    <row r="326" spans="2:7">
      <c r="B326" s="44">
        <v>135</v>
      </c>
      <c r="C326" s="39" t="s">
        <v>68</v>
      </c>
      <c r="D326" s="39"/>
      <c r="E326" s="56"/>
      <c r="F326" s="50"/>
      <c r="G326" s="52"/>
    </row>
    <row r="327" spans="2:7">
      <c r="B327" s="44"/>
      <c r="C327" s="48" t="s">
        <v>69</v>
      </c>
      <c r="D327" s="48"/>
      <c r="E327" s="49">
        <v>0</v>
      </c>
      <c r="F327" s="50">
        <v>0</v>
      </c>
      <c r="G327" s="52"/>
    </row>
    <row r="328" spans="2:7">
      <c r="B328" s="44"/>
      <c r="C328" s="48" t="s">
        <v>70</v>
      </c>
      <c r="D328" s="48"/>
      <c r="E328" s="49">
        <v>0</v>
      </c>
      <c r="F328" s="50">
        <v>0</v>
      </c>
      <c r="G328" s="52"/>
    </row>
    <row r="329" spans="2:7">
      <c r="B329" s="44"/>
      <c r="C329" s="48" t="s">
        <v>71</v>
      </c>
      <c r="D329" s="48"/>
      <c r="E329" s="49">
        <v>0</v>
      </c>
      <c r="F329" s="50">
        <v>0</v>
      </c>
      <c r="G329" s="52"/>
    </row>
    <row r="330" spans="2:7">
      <c r="B330" s="44"/>
      <c r="C330" s="48" t="s">
        <v>72</v>
      </c>
      <c r="D330" s="48"/>
      <c r="E330" s="49">
        <v>0</v>
      </c>
      <c r="F330" s="50">
        <v>0</v>
      </c>
      <c r="G330" s="52"/>
    </row>
    <row r="331" spans="2:7">
      <c r="B331" s="44"/>
      <c r="C331" s="48" t="s">
        <v>73</v>
      </c>
      <c r="D331" s="48"/>
      <c r="E331" s="49">
        <v>0</v>
      </c>
      <c r="F331" s="50">
        <v>0</v>
      </c>
      <c r="G331" s="52"/>
    </row>
    <row r="332" spans="2:7">
      <c r="B332" s="44"/>
      <c r="C332" s="48" t="s">
        <v>74</v>
      </c>
      <c r="D332" s="48"/>
      <c r="E332" s="49">
        <v>0</v>
      </c>
      <c r="F332" s="50">
        <v>0</v>
      </c>
      <c r="G332" s="52"/>
    </row>
    <row r="333" spans="2:7">
      <c r="B333" s="44"/>
      <c r="C333" s="48" t="s">
        <v>75</v>
      </c>
      <c r="D333" s="48"/>
      <c r="E333" s="49">
        <v>0</v>
      </c>
      <c r="F333" s="50">
        <v>0</v>
      </c>
      <c r="G333" s="52"/>
    </row>
    <row r="334" spans="2:7">
      <c r="B334" s="44"/>
      <c r="C334" s="48" t="s">
        <v>76</v>
      </c>
      <c r="D334" s="48"/>
      <c r="E334" s="49">
        <v>0</v>
      </c>
      <c r="F334" s="50">
        <v>0</v>
      </c>
      <c r="G334" s="52"/>
    </row>
    <row r="335" spans="2:7">
      <c r="B335" s="44"/>
      <c r="C335" s="48" t="s">
        <v>77</v>
      </c>
      <c r="D335" s="48"/>
      <c r="E335" s="49">
        <v>0</v>
      </c>
      <c r="F335" s="50">
        <v>0</v>
      </c>
      <c r="G335" s="52"/>
    </row>
    <row r="336" spans="2:7">
      <c r="B336" s="44"/>
      <c r="C336" s="53" t="s">
        <v>26</v>
      </c>
      <c r="D336" s="53"/>
      <c r="E336" s="56">
        <v>0</v>
      </c>
      <c r="F336" s="54">
        <v>0</v>
      </c>
      <c r="G336" s="52"/>
    </row>
    <row r="337" spans="2:7">
      <c r="B337" s="44">
        <v>136</v>
      </c>
      <c r="C337" s="39" t="s">
        <v>78</v>
      </c>
      <c r="D337" s="39"/>
      <c r="E337" s="56"/>
      <c r="F337" s="50"/>
      <c r="G337" s="52"/>
    </row>
    <row r="338" spans="2:7">
      <c r="B338" s="44"/>
      <c r="C338" s="48" t="s">
        <v>79</v>
      </c>
      <c r="D338" s="48"/>
      <c r="E338" s="49">
        <v>0</v>
      </c>
      <c r="F338" s="50">
        <v>0</v>
      </c>
      <c r="G338" s="52"/>
    </row>
    <row r="339" spans="2:7">
      <c r="B339" s="44"/>
      <c r="C339" s="48" t="s">
        <v>80</v>
      </c>
      <c r="D339" s="48"/>
      <c r="E339" s="49">
        <v>0</v>
      </c>
      <c r="F339" s="50">
        <v>0</v>
      </c>
      <c r="G339" s="52"/>
    </row>
    <row r="340" spans="2:7">
      <c r="B340" s="44"/>
      <c r="C340" s="48" t="s">
        <v>81</v>
      </c>
      <c r="D340" s="48"/>
      <c r="E340" s="49">
        <v>0</v>
      </c>
      <c r="F340" s="50">
        <v>0</v>
      </c>
      <c r="G340" s="52"/>
    </row>
    <row r="341" spans="2:7">
      <c r="B341" s="44"/>
      <c r="C341" s="48" t="s">
        <v>82</v>
      </c>
      <c r="D341" s="48"/>
      <c r="E341" s="49">
        <v>0</v>
      </c>
      <c r="F341" s="50">
        <v>0</v>
      </c>
      <c r="G341" s="52"/>
    </row>
    <row r="342" spans="2:7">
      <c r="B342" s="44"/>
      <c r="C342" s="48" t="s">
        <v>83</v>
      </c>
      <c r="D342" s="48"/>
      <c r="E342" s="49">
        <v>0</v>
      </c>
      <c r="F342" s="50">
        <v>0</v>
      </c>
      <c r="G342" s="52"/>
    </row>
    <row r="343" spans="2:7">
      <c r="B343" s="44"/>
      <c r="C343" s="48" t="s">
        <v>84</v>
      </c>
      <c r="D343" s="48"/>
      <c r="E343" s="49">
        <v>0</v>
      </c>
      <c r="F343" s="50">
        <v>0</v>
      </c>
      <c r="G343" s="52"/>
    </row>
    <row r="344" spans="2:7">
      <c r="B344" s="44"/>
      <c r="C344" s="53" t="s">
        <v>26</v>
      </c>
      <c r="D344" s="53"/>
      <c r="E344" s="56">
        <v>0</v>
      </c>
      <c r="F344" s="54">
        <v>0</v>
      </c>
      <c r="G344" s="52"/>
    </row>
    <row r="345" spans="2:7">
      <c r="B345" s="44">
        <v>142</v>
      </c>
      <c r="C345" s="39" t="s">
        <v>85</v>
      </c>
      <c r="D345" s="39"/>
      <c r="E345" s="56"/>
      <c r="F345" s="50"/>
      <c r="G345" s="52"/>
    </row>
    <row r="346" spans="2:7">
      <c r="B346" s="44"/>
      <c r="C346" s="48" t="s">
        <v>86</v>
      </c>
      <c r="D346" s="48"/>
      <c r="E346" s="49">
        <v>0</v>
      </c>
      <c r="F346" s="50">
        <v>0</v>
      </c>
      <c r="G346" s="52"/>
    </row>
    <row r="347" spans="2:7">
      <c r="B347" s="44"/>
      <c r="C347" s="48" t="s">
        <v>87</v>
      </c>
      <c r="D347" s="48"/>
      <c r="E347" s="49">
        <v>0</v>
      </c>
      <c r="F347" s="50">
        <v>0</v>
      </c>
      <c r="G347" s="52"/>
    </row>
    <row r="348" spans="2:7">
      <c r="B348" s="44"/>
      <c r="C348" s="53" t="s">
        <v>26</v>
      </c>
      <c r="D348" s="53"/>
      <c r="E348" s="56">
        <v>0</v>
      </c>
      <c r="F348" s="54">
        <v>0</v>
      </c>
      <c r="G348" s="52"/>
    </row>
    <row r="349" spans="2:7">
      <c r="B349" s="44">
        <v>144</v>
      </c>
      <c r="C349" s="39" t="s">
        <v>88</v>
      </c>
      <c r="D349" s="39"/>
      <c r="E349" s="49">
        <v>0</v>
      </c>
      <c r="F349" s="54">
        <v>0</v>
      </c>
      <c r="G349" s="52"/>
    </row>
    <row r="350" spans="2:7">
      <c r="B350" s="44">
        <v>221</v>
      </c>
      <c r="C350" s="39" t="s">
        <v>89</v>
      </c>
      <c r="D350" s="39"/>
      <c r="E350" s="49">
        <v>0</v>
      </c>
      <c r="F350" s="54">
        <v>0</v>
      </c>
      <c r="G350" s="52"/>
    </row>
    <row r="351" spans="2:7">
      <c r="B351" s="44">
        <v>222</v>
      </c>
      <c r="C351" s="39" t="s">
        <v>90</v>
      </c>
      <c r="D351" s="39"/>
      <c r="E351" s="49">
        <v>0</v>
      </c>
      <c r="F351" s="54">
        <v>0</v>
      </c>
      <c r="G351" s="52"/>
    </row>
    <row r="352" spans="2:7">
      <c r="B352" s="44">
        <v>224</v>
      </c>
      <c r="C352" s="39" t="s">
        <v>91</v>
      </c>
      <c r="D352" s="39"/>
      <c r="E352" s="49">
        <v>0</v>
      </c>
      <c r="F352" s="54">
        <v>0</v>
      </c>
      <c r="G352" s="52"/>
    </row>
    <row r="353" spans="2:7">
      <c r="B353" s="44">
        <v>225</v>
      </c>
      <c r="C353" s="39" t="s">
        <v>92</v>
      </c>
      <c r="D353" s="39"/>
      <c r="E353" s="49">
        <v>0</v>
      </c>
      <c r="F353" s="54">
        <v>0</v>
      </c>
      <c r="G353" s="38"/>
    </row>
    <row r="354" spans="2:7">
      <c r="B354" s="44">
        <v>226</v>
      </c>
      <c r="C354" s="39" t="s">
        <v>93</v>
      </c>
      <c r="D354" s="39"/>
      <c r="E354" s="49">
        <v>0</v>
      </c>
      <c r="F354" s="54">
        <v>0</v>
      </c>
      <c r="G354" s="60"/>
    </row>
    <row r="355" spans="2:7" ht="15.75" thickBot="1">
      <c r="B355" s="61"/>
      <c r="C355" s="62" t="s">
        <v>94</v>
      </c>
      <c r="D355" s="62"/>
      <c r="E355" s="94">
        <v>0</v>
      </c>
      <c r="F355" s="63">
        <v>0</v>
      </c>
      <c r="G355" s="38"/>
    </row>
    <row r="356" spans="2:7">
      <c r="B356" s="64"/>
      <c r="C356" s="65" t="s">
        <v>95</v>
      </c>
      <c r="D356" s="66"/>
      <c r="E356" s="67">
        <v>6783.3425454545359</v>
      </c>
      <c r="F356" s="68">
        <v>6783.3425454545359</v>
      </c>
      <c r="G356" s="69"/>
    </row>
    <row r="357" spans="2:7" ht="15.75" thickBot="1">
      <c r="B357" s="64"/>
      <c r="C357" s="70"/>
      <c r="D357" s="71"/>
      <c r="E357" s="72"/>
      <c r="F357" s="73"/>
      <c r="G357" s="69"/>
    </row>
    <row r="358" spans="2:7" ht="15.75" thickBot="1">
      <c r="B358" s="64"/>
      <c r="C358" s="70" t="s">
        <v>96</v>
      </c>
      <c r="D358" s="71"/>
      <c r="E358" s="74">
        <v>11557.091775867782</v>
      </c>
      <c r="F358" s="75">
        <v>11557.091775867782</v>
      </c>
      <c r="G358" s="76"/>
    </row>
    <row r="359" spans="2:7" ht="8.25" customHeight="1" thickBot="1">
      <c r="B359" s="77"/>
      <c r="C359" s="81"/>
      <c r="D359" s="81"/>
      <c r="E359" s="78"/>
      <c r="F359" s="78"/>
      <c r="G359" s="79"/>
    </row>
    <row r="360" spans="2:7" ht="5.0999999999999996" customHeight="1">
      <c r="B360" s="85"/>
      <c r="C360" s="84"/>
      <c r="D360" s="84"/>
      <c r="E360" s="85"/>
      <c r="F360" s="85"/>
      <c r="G360" s="85"/>
    </row>
  </sheetData>
  <mergeCells count="3">
    <mergeCell ref="C8:E8"/>
    <mergeCell ref="C128:E128"/>
    <mergeCell ref="C248:E248"/>
  </mergeCells>
  <dataValidations count="1">
    <dataValidation type="list" allowBlank="1" showInputMessage="1" showErrorMessage="1" sqref="C136 C16 C256" xr:uid="{313932D1-37A7-4086-B27B-23FA1E180B01}">
      <formula1>FacList</formula1>
    </dataValidation>
  </dataValidations>
  <hyperlinks>
    <hyperlink ref="F12" r:id="rId1" xr:uid="{25DC697D-742F-48D2-801D-B4BA133596D3}"/>
    <hyperlink ref="F132" r:id="rId2" xr:uid="{06FD234D-84E8-4C5E-A30E-33C45DA29772}"/>
    <hyperlink ref="F252" r:id="rId3" xr:uid="{3C05634B-DA6A-469A-8056-E3A7F5E43400}"/>
  </hyperlinks>
  <pageMargins left="0.7" right="0.7" top="0.75" bottom="0.75" header="0.3" footer="0.3"/>
  <drawing r:id="rId4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085F-F0FA-413E-B547-D8AE67367AD4}">
  <dimension ref="A1:G360"/>
  <sheetViews>
    <sheetView zoomScale="90" zoomScaleNormal="90" workbookViewId="0">
      <selection sqref="A1:XFD1048576"/>
    </sheetView>
  </sheetViews>
  <sheetFormatPr defaultColWidth="8.85546875" defaultRowHeight="15"/>
  <cols>
    <col min="1" max="1" width="1.140625" customWidth="1"/>
    <col min="2" max="2" width="27.42578125" customWidth="1"/>
    <col min="3" max="3" width="42.7109375" bestFit="1" customWidth="1"/>
    <col min="4" max="4" width="4" customWidth="1"/>
    <col min="5" max="5" width="25.42578125" customWidth="1"/>
    <col min="6" max="6" width="27.42578125" customWidth="1"/>
    <col min="7" max="7" width="4.7109375" customWidth="1"/>
  </cols>
  <sheetData>
    <row r="1" spans="1:7" ht="6" customHeight="1" thickBot="1"/>
    <row r="2" spans="1:7">
      <c r="B2" s="1"/>
      <c r="C2" s="2"/>
      <c r="D2" s="2"/>
      <c r="E2" s="2"/>
      <c r="F2" s="2"/>
      <c r="G2" s="3"/>
    </row>
    <row r="3" spans="1:7">
      <c r="B3" s="4"/>
      <c r="C3" s="5"/>
      <c r="D3" s="5"/>
      <c r="E3" s="5"/>
      <c r="F3" s="5"/>
      <c r="G3" s="6"/>
    </row>
    <row r="4" spans="1:7">
      <c r="B4" s="4"/>
      <c r="C4" s="5"/>
      <c r="D4" s="5"/>
      <c r="E4" s="5"/>
      <c r="F4" s="5"/>
      <c r="G4" s="6"/>
    </row>
    <row r="5" spans="1:7">
      <c r="B5" s="4"/>
      <c r="C5" s="5"/>
      <c r="D5" s="5"/>
      <c r="E5" s="5"/>
      <c r="F5" s="5"/>
      <c r="G5" s="6"/>
    </row>
    <row r="6" spans="1:7">
      <c r="B6" s="4"/>
      <c r="C6" s="5"/>
      <c r="D6" s="5"/>
      <c r="E6" s="5"/>
      <c r="F6" s="5"/>
      <c r="G6" s="6"/>
    </row>
    <row r="7" spans="1:7" ht="16.5" customHeight="1">
      <c r="B7" s="4"/>
      <c r="C7" s="5"/>
      <c r="D7" s="5"/>
      <c r="E7" s="5"/>
      <c r="F7" s="5"/>
      <c r="G7" s="6"/>
    </row>
    <row r="8" spans="1:7" ht="22.5" customHeight="1" thickBot="1">
      <c r="B8" s="4"/>
      <c r="C8" s="95" t="s">
        <v>0</v>
      </c>
      <c r="D8" s="95"/>
      <c r="E8" s="95"/>
      <c r="F8" s="5"/>
      <c r="G8" s="6"/>
    </row>
    <row r="9" spans="1:7" ht="21" thickTop="1">
      <c r="B9" s="4"/>
      <c r="C9" s="7"/>
      <c r="D9" s="7"/>
      <c r="E9" s="5"/>
      <c r="F9" s="5"/>
      <c r="G9" s="6"/>
    </row>
    <row r="10" spans="1:7">
      <c r="B10" s="8" t="s">
        <v>1</v>
      </c>
      <c r="C10" s="9" t="s">
        <v>97</v>
      </c>
      <c r="D10" s="5"/>
      <c r="E10" s="10" t="s">
        <v>2</v>
      </c>
      <c r="F10" s="9" t="s">
        <v>98</v>
      </c>
      <c r="G10" s="6"/>
    </row>
    <row r="11" spans="1:7" ht="3.75" customHeight="1">
      <c r="A11" s="80"/>
      <c r="B11" s="5"/>
      <c r="C11" s="5"/>
      <c r="D11" s="5"/>
      <c r="E11" s="11"/>
      <c r="F11" s="5"/>
      <c r="G11" s="6"/>
    </row>
    <row r="12" spans="1:7">
      <c r="A12" s="80"/>
      <c r="B12" s="12" t="s">
        <v>3</v>
      </c>
      <c r="C12" s="9" t="s">
        <v>99</v>
      </c>
      <c r="D12" s="5"/>
      <c r="E12" s="10" t="s">
        <v>4</v>
      </c>
      <c r="F12" s="82" t="s">
        <v>100</v>
      </c>
      <c r="G12" s="6"/>
    </row>
    <row r="13" spans="1:7" ht="3.75" customHeight="1">
      <c r="A13" s="80"/>
      <c r="B13" s="5"/>
      <c r="C13" s="5"/>
      <c r="D13" s="5"/>
      <c r="E13" s="11"/>
      <c r="F13" s="5"/>
      <c r="G13" s="6"/>
    </row>
    <row r="14" spans="1:7">
      <c r="A14" s="80"/>
      <c r="B14" s="10" t="s">
        <v>5</v>
      </c>
      <c r="C14" s="9" t="s">
        <v>101</v>
      </c>
      <c r="D14" s="5"/>
      <c r="E14" s="10" t="s">
        <v>6</v>
      </c>
      <c r="F14" s="9" t="s">
        <v>107</v>
      </c>
      <c r="G14" s="6"/>
    </row>
    <row r="15" spans="1:7" ht="4.5" customHeight="1">
      <c r="A15" s="80"/>
      <c r="B15" s="13"/>
      <c r="C15" s="5"/>
      <c r="D15" s="5"/>
      <c r="E15" s="11"/>
      <c r="F15" s="5"/>
      <c r="G15" s="6"/>
    </row>
    <row r="16" spans="1:7">
      <c r="A16" s="80"/>
      <c r="B16" s="10" t="s">
        <v>7</v>
      </c>
      <c r="C16" s="9" t="s">
        <v>125</v>
      </c>
      <c r="D16" s="5"/>
      <c r="E16" s="11"/>
      <c r="F16" s="5"/>
      <c r="G16" s="6"/>
    </row>
    <row r="17" spans="1:7" ht="3.75" customHeight="1">
      <c r="A17" s="80"/>
      <c r="B17" s="5"/>
      <c r="C17" s="5"/>
      <c r="D17" s="5"/>
      <c r="E17" s="11"/>
      <c r="F17" s="5"/>
      <c r="G17" s="6"/>
    </row>
    <row r="18" spans="1:7">
      <c r="B18" s="14" t="s">
        <v>8</v>
      </c>
      <c r="C18" s="15" t="s">
        <v>103</v>
      </c>
      <c r="D18" s="5"/>
      <c r="E18" s="86" t="s">
        <v>109</v>
      </c>
      <c r="F18" s="87">
        <v>45292</v>
      </c>
      <c r="G18" s="6"/>
    </row>
    <row r="19" spans="1:7">
      <c r="B19" s="16" t="s">
        <v>9</v>
      </c>
      <c r="C19" s="17" t="s">
        <v>130</v>
      </c>
      <c r="D19" s="5"/>
      <c r="E19" s="88" t="s">
        <v>110</v>
      </c>
      <c r="F19" s="89">
        <v>45322</v>
      </c>
      <c r="G19" s="18"/>
    </row>
    <row r="20" spans="1:7" ht="15.75" thickBot="1">
      <c r="B20" s="4"/>
      <c r="C20" s="19"/>
      <c r="D20" s="19"/>
      <c r="E20" s="20"/>
      <c r="F20" s="21"/>
      <c r="G20" s="18"/>
    </row>
    <row r="21" spans="1:7" ht="18.75" thickBot="1">
      <c r="B21" s="4"/>
      <c r="C21" s="22" t="s">
        <v>10</v>
      </c>
      <c r="D21" s="23"/>
      <c r="E21" s="24"/>
      <c r="F21" s="25" t="s">
        <v>11</v>
      </c>
      <c r="G21" s="18"/>
    </row>
    <row r="22" spans="1:7">
      <c r="B22" s="4"/>
      <c r="C22" s="26" t="s">
        <v>12</v>
      </c>
      <c r="D22" s="26"/>
      <c r="E22" s="27">
        <v>10709.59024859505</v>
      </c>
      <c r="F22" s="28">
        <v>10709.59024859505</v>
      </c>
      <c r="G22" s="29"/>
    </row>
    <row r="23" spans="1:7">
      <c r="B23" s="30">
        <v>143</v>
      </c>
      <c r="C23" s="31" t="s">
        <v>13</v>
      </c>
      <c r="D23" s="31"/>
      <c r="E23" s="27">
        <v>4578.6174545454505</v>
      </c>
      <c r="F23" s="32">
        <v>4578.6174545454505</v>
      </c>
      <c r="G23" s="33"/>
    </row>
    <row r="24" spans="1:7">
      <c r="B24" s="30"/>
      <c r="C24" s="34" t="s">
        <v>14</v>
      </c>
      <c r="D24" s="34"/>
      <c r="E24" s="27">
        <v>0</v>
      </c>
      <c r="F24" s="32">
        <v>0</v>
      </c>
      <c r="G24" s="33"/>
    </row>
    <row r="25" spans="1:7">
      <c r="B25" s="30"/>
      <c r="C25" s="34" t="s">
        <v>15</v>
      </c>
      <c r="D25" s="34"/>
      <c r="E25" s="27">
        <v>0</v>
      </c>
      <c r="F25" s="32">
        <v>0</v>
      </c>
      <c r="G25" s="33"/>
    </row>
    <row r="26" spans="1:7">
      <c r="B26" s="30"/>
      <c r="C26" s="34" t="s">
        <v>16</v>
      </c>
      <c r="D26" s="34"/>
      <c r="E26" s="27">
        <v>0</v>
      </c>
      <c r="F26" s="32">
        <v>0</v>
      </c>
      <c r="G26" s="33"/>
    </row>
    <row r="27" spans="1:7">
      <c r="B27" s="30"/>
      <c r="C27" s="34" t="s">
        <v>17</v>
      </c>
      <c r="D27" s="34"/>
      <c r="E27" s="27">
        <v>0</v>
      </c>
      <c r="F27" s="32">
        <v>0</v>
      </c>
      <c r="G27" s="33"/>
    </row>
    <row r="28" spans="1:7">
      <c r="B28" s="30"/>
      <c r="C28" s="35" t="s">
        <v>18</v>
      </c>
      <c r="D28" s="35"/>
      <c r="E28" s="36">
        <v>15288.207703140501</v>
      </c>
      <c r="F28" s="37">
        <v>15288.207703140501</v>
      </c>
      <c r="G28" s="38"/>
    </row>
    <row r="29" spans="1:7" ht="15.75" thickBot="1">
      <c r="B29" s="30"/>
      <c r="C29" s="39"/>
      <c r="D29" s="39"/>
      <c r="E29" s="40"/>
      <c r="F29" s="41"/>
      <c r="G29" s="38"/>
    </row>
    <row r="30" spans="1:7" ht="18.75" thickBot="1">
      <c r="B30" s="30"/>
      <c r="C30" s="22" t="s">
        <v>19</v>
      </c>
      <c r="D30" s="23"/>
      <c r="E30" s="42"/>
      <c r="F30" s="43"/>
      <c r="G30" s="38"/>
    </row>
    <row r="31" spans="1:7">
      <c r="B31" s="44">
        <v>121</v>
      </c>
      <c r="C31" s="39" t="s">
        <v>20</v>
      </c>
      <c r="D31" s="39"/>
      <c r="E31" s="45"/>
      <c r="F31" s="46"/>
      <c r="G31" s="47"/>
    </row>
    <row r="32" spans="1:7">
      <c r="B32" s="44"/>
      <c r="C32" s="48" t="s">
        <v>21</v>
      </c>
      <c r="D32" s="48"/>
      <c r="E32" s="49">
        <v>296.77123636363604</v>
      </c>
      <c r="F32" s="50">
        <v>296.77123636363604</v>
      </c>
      <c r="G32" s="47"/>
    </row>
    <row r="33" spans="2:7">
      <c r="B33" s="44"/>
      <c r="C33" s="48" t="s">
        <v>22</v>
      </c>
      <c r="D33" s="48"/>
      <c r="E33" s="49">
        <v>305.25041454545385</v>
      </c>
      <c r="F33" s="50">
        <v>305.25041454545385</v>
      </c>
      <c r="G33" s="47"/>
    </row>
    <row r="34" spans="2:7">
      <c r="B34" s="51"/>
      <c r="C34" s="48" t="s">
        <v>23</v>
      </c>
      <c r="D34" s="48"/>
      <c r="E34" s="49">
        <v>364.60466181818146</v>
      </c>
      <c r="F34" s="50">
        <v>364.60466181818146</v>
      </c>
      <c r="G34" s="52"/>
    </row>
    <row r="35" spans="2:7">
      <c r="B35" s="51"/>
      <c r="C35" s="48" t="s">
        <v>24</v>
      </c>
      <c r="D35" s="48"/>
      <c r="E35" s="49">
        <v>249.75033917355319</v>
      </c>
      <c r="F35" s="50">
        <v>249.75033917355319</v>
      </c>
      <c r="G35" s="52"/>
    </row>
    <row r="36" spans="2:7">
      <c r="B36" s="44"/>
      <c r="C36" s="48" t="s">
        <v>25</v>
      </c>
      <c r="D36" s="48"/>
      <c r="E36" s="49">
        <v>0</v>
      </c>
      <c r="F36" s="50">
        <v>0</v>
      </c>
      <c r="G36" s="52"/>
    </row>
    <row r="37" spans="2:7">
      <c r="B37" s="44"/>
      <c r="C37" s="53" t="s">
        <v>26</v>
      </c>
      <c r="D37" s="53"/>
      <c r="E37" s="36">
        <v>1216.3766519008245</v>
      </c>
      <c r="F37" s="54">
        <v>1216.3766519008245</v>
      </c>
      <c r="G37" s="52"/>
    </row>
    <row r="38" spans="2:7">
      <c r="B38" s="44">
        <v>122</v>
      </c>
      <c r="C38" s="39" t="s">
        <v>27</v>
      </c>
      <c r="D38" s="39"/>
      <c r="E38" s="36"/>
      <c r="F38" s="50"/>
      <c r="G38" s="55"/>
    </row>
    <row r="39" spans="2:7">
      <c r="B39" s="44"/>
      <c r="C39" s="48" t="s">
        <v>28</v>
      </c>
      <c r="D39" s="48"/>
      <c r="E39" s="49">
        <v>144.14602909090897</v>
      </c>
      <c r="F39" s="50">
        <v>144.14602909090897</v>
      </c>
      <c r="G39" s="52"/>
    </row>
    <row r="40" spans="2:7">
      <c r="B40" s="44"/>
      <c r="C40" s="48" t="s">
        <v>29</v>
      </c>
      <c r="D40" s="48"/>
      <c r="E40" s="49">
        <v>0</v>
      </c>
      <c r="F40" s="50">
        <v>0</v>
      </c>
      <c r="G40" s="52"/>
    </row>
    <row r="41" spans="2:7">
      <c r="B41" s="44"/>
      <c r="C41" s="48" t="s">
        <v>30</v>
      </c>
      <c r="D41" s="48"/>
      <c r="E41" s="49">
        <v>191.16692628099148</v>
      </c>
      <c r="F41" s="50">
        <v>191.16692628099148</v>
      </c>
      <c r="G41" s="52"/>
    </row>
    <row r="42" spans="2:7">
      <c r="B42" s="44"/>
      <c r="C42" s="48" t="s">
        <v>31</v>
      </c>
      <c r="D42" s="48"/>
      <c r="E42" s="49">
        <v>33.916712727272696</v>
      </c>
      <c r="F42" s="50">
        <v>33.916712727272696</v>
      </c>
      <c r="G42" s="52"/>
    </row>
    <row r="43" spans="2:7">
      <c r="B43" s="44"/>
      <c r="C43" s="48" t="s">
        <v>32</v>
      </c>
      <c r="D43" s="48"/>
      <c r="E43" s="49">
        <v>135.66685090909078</v>
      </c>
      <c r="F43" s="50">
        <v>135.66685090909078</v>
      </c>
      <c r="G43" s="52"/>
    </row>
    <row r="44" spans="2:7">
      <c r="B44" s="44"/>
      <c r="C44" s="48" t="s">
        <v>33</v>
      </c>
      <c r="D44" s="48"/>
      <c r="E44" s="49">
        <v>0</v>
      </c>
      <c r="F44" s="50">
        <v>0</v>
      </c>
      <c r="G44" s="52"/>
    </row>
    <row r="45" spans="2:7">
      <c r="B45" s="44"/>
      <c r="C45" s="48" t="s">
        <v>34</v>
      </c>
      <c r="D45" s="48"/>
      <c r="E45" s="49">
        <v>0</v>
      </c>
      <c r="F45" s="50">
        <v>0</v>
      </c>
      <c r="G45" s="52"/>
    </row>
    <row r="46" spans="2:7">
      <c r="B46" s="44"/>
      <c r="C46" s="48" t="s">
        <v>35</v>
      </c>
      <c r="D46" s="48"/>
      <c r="E46" s="49">
        <v>0</v>
      </c>
      <c r="F46" s="50">
        <v>0</v>
      </c>
      <c r="G46" s="52"/>
    </row>
    <row r="47" spans="2:7">
      <c r="B47" s="44"/>
      <c r="C47" s="53" t="s">
        <v>26</v>
      </c>
      <c r="D47" s="53"/>
      <c r="E47" s="36">
        <v>504.89651900826391</v>
      </c>
      <c r="F47" s="54">
        <v>504.89651900826391</v>
      </c>
      <c r="G47" s="52"/>
    </row>
    <row r="48" spans="2:7">
      <c r="B48" s="44">
        <v>123</v>
      </c>
      <c r="C48" s="39" t="s">
        <v>36</v>
      </c>
      <c r="D48" s="39"/>
      <c r="E48" s="56"/>
      <c r="F48" s="57"/>
      <c r="G48" s="52"/>
    </row>
    <row r="49" spans="2:7">
      <c r="B49" s="44"/>
      <c r="C49" s="48" t="s">
        <v>37</v>
      </c>
      <c r="D49" s="48"/>
      <c r="E49" s="49">
        <v>123.33350082644611</v>
      </c>
      <c r="F49" s="50">
        <v>123.33350082644611</v>
      </c>
      <c r="G49" s="52"/>
    </row>
    <row r="50" spans="2:7">
      <c r="B50" s="44"/>
      <c r="C50" s="48" t="s">
        <v>38</v>
      </c>
      <c r="D50" s="48"/>
      <c r="E50" s="49">
        <v>0</v>
      </c>
      <c r="F50" s="50">
        <v>0</v>
      </c>
      <c r="G50" s="52"/>
    </row>
    <row r="51" spans="2:7">
      <c r="B51" s="44"/>
      <c r="C51" s="48" t="s">
        <v>39</v>
      </c>
      <c r="D51" s="48"/>
      <c r="E51" s="49">
        <v>144.91686347107415</v>
      </c>
      <c r="F51" s="50">
        <v>144.91686347107415</v>
      </c>
      <c r="G51" s="52"/>
    </row>
    <row r="52" spans="2:7">
      <c r="B52" s="44"/>
      <c r="C52" s="48" t="s">
        <v>40</v>
      </c>
      <c r="D52" s="48"/>
      <c r="E52" s="49">
        <v>111.00015074380143</v>
      </c>
      <c r="F52" s="50">
        <v>111.00015074380143</v>
      </c>
      <c r="G52" s="52"/>
    </row>
    <row r="53" spans="2:7">
      <c r="B53" s="44"/>
      <c r="C53" s="48" t="s">
        <v>41</v>
      </c>
      <c r="D53" s="48"/>
      <c r="E53" s="49">
        <v>0</v>
      </c>
      <c r="F53" s="50">
        <v>0</v>
      </c>
      <c r="G53" s="52"/>
    </row>
    <row r="54" spans="2:7">
      <c r="B54" s="44"/>
      <c r="C54" s="48" t="s">
        <v>42</v>
      </c>
      <c r="D54" s="48"/>
      <c r="E54" s="49">
        <v>195.02109818181799</v>
      </c>
      <c r="F54" s="50">
        <v>195.02109818181799</v>
      </c>
      <c r="G54" s="52"/>
    </row>
    <row r="55" spans="2:7">
      <c r="B55" s="44"/>
      <c r="C55" s="53" t="s">
        <v>26</v>
      </c>
      <c r="D55" s="53"/>
      <c r="E55" s="36">
        <v>574.27161322313964</v>
      </c>
      <c r="F55" s="54">
        <v>574.27161322313964</v>
      </c>
      <c r="G55" s="52"/>
    </row>
    <row r="56" spans="2:7">
      <c r="B56" s="44">
        <v>124</v>
      </c>
      <c r="C56" s="39" t="s">
        <v>43</v>
      </c>
      <c r="D56" s="39"/>
      <c r="E56" s="56"/>
      <c r="F56" s="57"/>
      <c r="G56" s="52"/>
    </row>
    <row r="57" spans="2:7">
      <c r="B57" s="44"/>
      <c r="C57" s="48" t="s">
        <v>44</v>
      </c>
      <c r="D57" s="48"/>
      <c r="E57" s="49">
        <v>366.91716495867701</v>
      </c>
      <c r="F57" s="50">
        <v>366.91716495867701</v>
      </c>
      <c r="G57" s="52"/>
    </row>
    <row r="58" spans="2:7">
      <c r="B58" s="44"/>
      <c r="C58" s="48" t="s">
        <v>45</v>
      </c>
      <c r="D58" s="48"/>
      <c r="E58" s="49">
        <v>0</v>
      </c>
      <c r="F58" s="50">
        <v>0</v>
      </c>
      <c r="G58" s="52"/>
    </row>
    <row r="59" spans="2:7">
      <c r="B59" s="44"/>
      <c r="C59" s="48" t="s">
        <v>46</v>
      </c>
      <c r="D59" s="48"/>
      <c r="E59" s="49">
        <v>0</v>
      </c>
      <c r="F59" s="50">
        <v>0</v>
      </c>
      <c r="G59" s="52"/>
    </row>
    <row r="60" spans="2:7">
      <c r="B60" s="44"/>
      <c r="C60" s="53" t="s">
        <v>26</v>
      </c>
      <c r="D60" s="53"/>
      <c r="E60" s="36">
        <v>366.91716495867701</v>
      </c>
      <c r="F60" s="54">
        <v>366.91716495867701</v>
      </c>
      <c r="G60" s="52"/>
    </row>
    <row r="61" spans="2:7">
      <c r="B61" s="44">
        <v>125</v>
      </c>
      <c r="C61" s="39" t="s">
        <v>47</v>
      </c>
      <c r="D61" s="39"/>
      <c r="E61" s="36"/>
      <c r="F61" s="50"/>
      <c r="G61" s="52"/>
    </row>
    <row r="62" spans="2:7">
      <c r="B62" s="44"/>
      <c r="C62" s="48" t="s">
        <v>48</v>
      </c>
      <c r="D62" s="48"/>
      <c r="E62" s="58">
        <v>0</v>
      </c>
      <c r="F62" s="50">
        <v>0</v>
      </c>
      <c r="G62" s="52"/>
    </row>
    <row r="63" spans="2:7">
      <c r="B63" s="44"/>
      <c r="C63" s="48" t="s">
        <v>49</v>
      </c>
      <c r="D63" s="48"/>
      <c r="E63" s="58">
        <v>0</v>
      </c>
      <c r="F63" s="50">
        <v>0</v>
      </c>
      <c r="G63" s="52"/>
    </row>
    <row r="64" spans="2:7">
      <c r="B64" s="44"/>
      <c r="C64" s="48" t="s">
        <v>50</v>
      </c>
      <c r="D64" s="48"/>
      <c r="E64" s="58">
        <v>593.54247272727218</v>
      </c>
      <c r="F64" s="50">
        <v>593.54247272727218</v>
      </c>
      <c r="G64" s="52"/>
    </row>
    <row r="65" spans="2:7">
      <c r="B65" s="44"/>
      <c r="C65" s="48" t="s">
        <v>51</v>
      </c>
      <c r="D65" s="48"/>
      <c r="E65" s="58">
        <v>135.66685090909078</v>
      </c>
      <c r="F65" s="50">
        <v>135.66685090909078</v>
      </c>
      <c r="G65" s="52"/>
    </row>
    <row r="66" spans="2:7">
      <c r="B66" s="44"/>
      <c r="C66" s="53" t="s">
        <v>26</v>
      </c>
      <c r="D66" s="53"/>
      <c r="E66" s="56">
        <v>729.20932363636302</v>
      </c>
      <c r="F66" s="54">
        <v>729.20932363636302</v>
      </c>
      <c r="G66" s="52"/>
    </row>
    <row r="67" spans="2:7">
      <c r="B67" s="44">
        <v>126</v>
      </c>
      <c r="C67" s="39" t="s">
        <v>52</v>
      </c>
      <c r="D67" s="39"/>
      <c r="E67" s="56"/>
      <c r="F67" s="50"/>
      <c r="G67" s="52"/>
    </row>
    <row r="68" spans="2:7">
      <c r="B68" s="44"/>
      <c r="C68" s="48" t="s">
        <v>53</v>
      </c>
      <c r="D68" s="48"/>
      <c r="E68" s="49">
        <v>0</v>
      </c>
      <c r="F68" s="50">
        <v>0</v>
      </c>
      <c r="G68" s="52"/>
    </row>
    <row r="69" spans="2:7">
      <c r="B69" s="44"/>
      <c r="C69" s="48" t="s">
        <v>54</v>
      </c>
      <c r="D69" s="48"/>
      <c r="E69" s="49">
        <v>0</v>
      </c>
      <c r="F69" s="50"/>
      <c r="G69" s="52"/>
    </row>
    <row r="70" spans="2:7">
      <c r="B70" s="44"/>
      <c r="C70" s="48" t="s">
        <v>55</v>
      </c>
      <c r="D70" s="48"/>
      <c r="E70" s="49">
        <v>0</v>
      </c>
      <c r="F70" s="50"/>
      <c r="G70" s="52"/>
    </row>
    <row r="71" spans="2:7">
      <c r="B71" s="44"/>
      <c r="C71" s="48" t="s">
        <v>56</v>
      </c>
      <c r="D71" s="48"/>
      <c r="E71" s="49">
        <v>0</v>
      </c>
      <c r="F71" s="57"/>
      <c r="G71" s="52"/>
    </row>
    <row r="72" spans="2:7">
      <c r="B72" s="44"/>
      <c r="C72" s="53" t="s">
        <v>26</v>
      </c>
      <c r="D72" s="53"/>
      <c r="E72" s="56">
        <v>0</v>
      </c>
      <c r="F72" s="54">
        <v>0</v>
      </c>
      <c r="G72" s="52"/>
    </row>
    <row r="73" spans="2:7">
      <c r="B73" s="44">
        <v>127</v>
      </c>
      <c r="C73" s="39" t="s">
        <v>57</v>
      </c>
      <c r="D73" s="39"/>
      <c r="E73" s="56"/>
      <c r="F73" s="54"/>
      <c r="G73" s="52"/>
    </row>
    <row r="74" spans="2:7">
      <c r="B74" s="44"/>
      <c r="C74" s="48" t="s">
        <v>58</v>
      </c>
      <c r="D74" s="48"/>
      <c r="E74" s="49">
        <v>0</v>
      </c>
      <c r="F74" s="50">
        <v>0</v>
      </c>
      <c r="G74" s="52"/>
    </row>
    <row r="75" spans="2:7">
      <c r="B75" s="44"/>
      <c r="C75" s="48" t="s">
        <v>59</v>
      </c>
      <c r="D75" s="48"/>
      <c r="E75" s="49">
        <v>0</v>
      </c>
      <c r="F75" s="50">
        <v>0</v>
      </c>
      <c r="G75" s="52"/>
    </row>
    <row r="76" spans="2:7">
      <c r="B76" s="44"/>
      <c r="C76" s="48" t="s">
        <v>60</v>
      </c>
      <c r="D76" s="48"/>
      <c r="E76" s="49">
        <v>0</v>
      </c>
      <c r="F76" s="50">
        <v>0</v>
      </c>
      <c r="G76" s="52"/>
    </row>
    <row r="77" spans="2:7">
      <c r="B77" s="44"/>
      <c r="C77" s="59" t="s">
        <v>61</v>
      </c>
      <c r="D77" s="59"/>
      <c r="E77" s="49">
        <v>0</v>
      </c>
      <c r="F77" s="50">
        <v>0</v>
      </c>
      <c r="G77" s="52"/>
    </row>
    <row r="78" spans="2:7">
      <c r="B78" s="44"/>
      <c r="C78" s="53" t="s">
        <v>26</v>
      </c>
      <c r="D78" s="53"/>
      <c r="E78" s="56">
        <v>0</v>
      </c>
      <c r="F78" s="54">
        <v>0</v>
      </c>
      <c r="G78" s="52"/>
    </row>
    <row r="79" spans="2:7">
      <c r="B79" s="44">
        <v>128</v>
      </c>
      <c r="C79" s="39" t="s">
        <v>62</v>
      </c>
      <c r="D79" s="39"/>
      <c r="E79" s="56"/>
      <c r="F79" s="54"/>
      <c r="G79" s="52"/>
    </row>
    <row r="80" spans="2:7">
      <c r="B80" s="44"/>
      <c r="C80" s="48" t="s">
        <v>63</v>
      </c>
      <c r="D80" s="48"/>
      <c r="E80" s="49">
        <v>0</v>
      </c>
      <c r="F80" s="50">
        <v>0</v>
      </c>
      <c r="G80" s="52"/>
    </row>
    <row r="81" spans="2:7">
      <c r="B81" s="44"/>
      <c r="C81" s="48" t="s">
        <v>64</v>
      </c>
      <c r="D81" s="48"/>
      <c r="E81" s="49">
        <v>0</v>
      </c>
      <c r="F81" s="50">
        <v>0</v>
      </c>
      <c r="G81" s="52"/>
    </row>
    <row r="82" spans="2:7">
      <c r="B82" s="44"/>
      <c r="C82" s="48" t="s">
        <v>65</v>
      </c>
      <c r="D82" s="48"/>
      <c r="E82" s="49">
        <v>0</v>
      </c>
      <c r="F82" s="50">
        <v>0</v>
      </c>
      <c r="G82" s="52"/>
    </row>
    <row r="83" spans="2:7">
      <c r="B83" s="44"/>
      <c r="C83" s="48" t="s">
        <v>66</v>
      </c>
      <c r="D83" s="48"/>
      <c r="E83" s="49">
        <v>0</v>
      </c>
      <c r="F83" s="50">
        <v>0</v>
      </c>
      <c r="G83" s="52"/>
    </row>
    <row r="84" spans="2:7">
      <c r="B84" s="44"/>
      <c r="C84" s="48" t="s">
        <v>67</v>
      </c>
      <c r="D84" s="48"/>
      <c r="E84" s="49">
        <v>0</v>
      </c>
      <c r="F84" s="50">
        <v>0</v>
      </c>
      <c r="G84" s="52"/>
    </row>
    <row r="85" spans="2:7">
      <c r="B85" s="44"/>
      <c r="C85" s="53" t="s">
        <v>26</v>
      </c>
      <c r="D85" s="53"/>
      <c r="E85" s="56">
        <v>0</v>
      </c>
      <c r="F85" s="54">
        <v>0</v>
      </c>
      <c r="G85" s="52"/>
    </row>
    <row r="86" spans="2:7">
      <c r="B86" s="44">
        <v>135</v>
      </c>
      <c r="C86" s="39" t="s">
        <v>68</v>
      </c>
      <c r="D86" s="39"/>
      <c r="E86" s="56"/>
      <c r="F86" s="50"/>
      <c r="G86" s="52"/>
    </row>
    <row r="87" spans="2:7">
      <c r="B87" s="44"/>
      <c r="C87" s="48" t="s">
        <v>69</v>
      </c>
      <c r="D87" s="48"/>
      <c r="E87" s="49">
        <v>0</v>
      </c>
      <c r="F87" s="50">
        <v>0</v>
      </c>
      <c r="G87" s="52"/>
    </row>
    <row r="88" spans="2:7">
      <c r="B88" s="44"/>
      <c r="C88" s="48" t="s">
        <v>70</v>
      </c>
      <c r="D88" s="48"/>
      <c r="E88" s="49">
        <v>0</v>
      </c>
      <c r="F88" s="50">
        <v>0</v>
      </c>
      <c r="G88" s="52"/>
    </row>
    <row r="89" spans="2:7">
      <c r="B89" s="44"/>
      <c r="C89" s="48" t="s">
        <v>71</v>
      </c>
      <c r="D89" s="48"/>
      <c r="E89" s="49">
        <v>0</v>
      </c>
      <c r="F89" s="50">
        <v>0</v>
      </c>
      <c r="G89" s="52"/>
    </row>
    <row r="90" spans="2:7">
      <c r="B90" s="44"/>
      <c r="C90" s="48" t="s">
        <v>72</v>
      </c>
      <c r="D90" s="48"/>
      <c r="E90" s="49">
        <v>0</v>
      </c>
      <c r="F90" s="50">
        <v>0</v>
      </c>
      <c r="G90" s="52"/>
    </row>
    <row r="91" spans="2:7">
      <c r="B91" s="44"/>
      <c r="C91" s="48" t="s">
        <v>73</v>
      </c>
      <c r="D91" s="48"/>
      <c r="E91" s="49">
        <v>0</v>
      </c>
      <c r="F91" s="50">
        <v>0</v>
      </c>
      <c r="G91" s="52"/>
    </row>
    <row r="92" spans="2:7">
      <c r="B92" s="44"/>
      <c r="C92" s="48" t="s">
        <v>74</v>
      </c>
      <c r="D92" s="48"/>
      <c r="E92" s="49">
        <v>0</v>
      </c>
      <c r="F92" s="50">
        <v>0</v>
      </c>
      <c r="G92" s="52"/>
    </row>
    <row r="93" spans="2:7">
      <c r="B93" s="44"/>
      <c r="C93" s="48" t="s">
        <v>75</v>
      </c>
      <c r="D93" s="48"/>
      <c r="E93" s="49">
        <v>0</v>
      </c>
      <c r="F93" s="50">
        <v>0</v>
      </c>
      <c r="G93" s="52"/>
    </row>
    <row r="94" spans="2:7">
      <c r="B94" s="44"/>
      <c r="C94" s="48" t="s">
        <v>76</v>
      </c>
      <c r="D94" s="48"/>
      <c r="E94" s="49">
        <v>0</v>
      </c>
      <c r="F94" s="50">
        <v>0</v>
      </c>
      <c r="G94" s="52"/>
    </row>
    <row r="95" spans="2:7">
      <c r="B95" s="44"/>
      <c r="C95" s="48" t="s">
        <v>77</v>
      </c>
      <c r="D95" s="48"/>
      <c r="E95" s="49">
        <v>0</v>
      </c>
      <c r="F95" s="50">
        <v>0</v>
      </c>
      <c r="G95" s="52"/>
    </row>
    <row r="96" spans="2:7">
      <c r="B96" s="44"/>
      <c r="C96" s="53" t="s">
        <v>26</v>
      </c>
      <c r="D96" s="53"/>
      <c r="E96" s="56">
        <v>0</v>
      </c>
      <c r="F96" s="54">
        <v>0</v>
      </c>
      <c r="G96" s="52"/>
    </row>
    <row r="97" spans="2:7">
      <c r="B97" s="44">
        <v>136</v>
      </c>
      <c r="C97" s="39" t="s">
        <v>78</v>
      </c>
      <c r="D97" s="39"/>
      <c r="E97" s="56"/>
      <c r="F97" s="50"/>
      <c r="G97" s="52"/>
    </row>
    <row r="98" spans="2:7">
      <c r="B98" s="44"/>
      <c r="C98" s="48" t="s">
        <v>79</v>
      </c>
      <c r="D98" s="48"/>
      <c r="E98" s="49">
        <v>0</v>
      </c>
      <c r="F98" s="50">
        <v>0</v>
      </c>
      <c r="G98" s="52"/>
    </row>
    <row r="99" spans="2:7">
      <c r="B99" s="44"/>
      <c r="C99" s="48" t="s">
        <v>80</v>
      </c>
      <c r="D99" s="48"/>
      <c r="E99" s="49">
        <v>0</v>
      </c>
      <c r="F99" s="50">
        <v>0</v>
      </c>
      <c r="G99" s="52"/>
    </row>
    <row r="100" spans="2:7">
      <c r="B100" s="44"/>
      <c r="C100" s="48" t="s">
        <v>81</v>
      </c>
      <c r="D100" s="48"/>
      <c r="E100" s="49">
        <v>0</v>
      </c>
      <c r="F100" s="50">
        <v>0</v>
      </c>
      <c r="G100" s="52"/>
    </row>
    <row r="101" spans="2:7">
      <c r="B101" s="44"/>
      <c r="C101" s="48" t="s">
        <v>82</v>
      </c>
      <c r="D101" s="48"/>
      <c r="E101" s="49">
        <v>0</v>
      </c>
      <c r="F101" s="50">
        <v>0</v>
      </c>
      <c r="G101" s="52"/>
    </row>
    <row r="102" spans="2:7">
      <c r="B102" s="44"/>
      <c r="C102" s="48" t="s">
        <v>83</v>
      </c>
      <c r="D102" s="48"/>
      <c r="E102" s="49">
        <v>0</v>
      </c>
      <c r="F102" s="50">
        <v>0</v>
      </c>
      <c r="G102" s="52"/>
    </row>
    <row r="103" spans="2:7">
      <c r="B103" s="44"/>
      <c r="C103" s="48" t="s">
        <v>84</v>
      </c>
      <c r="D103" s="48"/>
      <c r="E103" s="49">
        <v>0</v>
      </c>
      <c r="F103" s="50">
        <v>0</v>
      </c>
      <c r="G103" s="52"/>
    </row>
    <row r="104" spans="2:7">
      <c r="B104" s="44"/>
      <c r="C104" s="53" t="s">
        <v>26</v>
      </c>
      <c r="D104" s="53"/>
      <c r="E104" s="56">
        <v>0</v>
      </c>
      <c r="F104" s="54">
        <v>0</v>
      </c>
      <c r="G104" s="52"/>
    </row>
    <row r="105" spans="2:7">
      <c r="B105" s="44">
        <v>142</v>
      </c>
      <c r="C105" s="39" t="s">
        <v>85</v>
      </c>
      <c r="D105" s="39"/>
      <c r="E105" s="56"/>
      <c r="F105" s="50"/>
      <c r="G105" s="52"/>
    </row>
    <row r="106" spans="2:7">
      <c r="B106" s="44"/>
      <c r="C106" s="48" t="s">
        <v>86</v>
      </c>
      <c r="D106" s="48"/>
      <c r="E106" s="49">
        <v>0</v>
      </c>
      <c r="F106" s="50">
        <v>0</v>
      </c>
      <c r="G106" s="52"/>
    </row>
    <row r="107" spans="2:7">
      <c r="B107" s="44"/>
      <c r="C107" s="48" t="s">
        <v>87</v>
      </c>
      <c r="D107" s="48"/>
      <c r="E107" s="49">
        <v>0</v>
      </c>
      <c r="F107" s="50">
        <v>0</v>
      </c>
      <c r="G107" s="52"/>
    </row>
    <row r="108" spans="2:7">
      <c r="B108" s="44"/>
      <c r="C108" s="53" t="s">
        <v>26</v>
      </c>
      <c r="D108" s="53"/>
      <c r="E108" s="56">
        <v>0</v>
      </c>
      <c r="F108" s="54">
        <v>0</v>
      </c>
      <c r="G108" s="52"/>
    </row>
    <row r="109" spans="2:7">
      <c r="B109" s="44">
        <v>144</v>
      </c>
      <c r="C109" s="39" t="s">
        <v>88</v>
      </c>
      <c r="D109" s="39"/>
      <c r="E109" s="49">
        <v>0</v>
      </c>
      <c r="F109" s="54">
        <v>0</v>
      </c>
      <c r="G109" s="52"/>
    </row>
    <row r="110" spans="2:7">
      <c r="B110" s="44">
        <v>221</v>
      </c>
      <c r="C110" s="39" t="s">
        <v>89</v>
      </c>
      <c r="D110" s="39"/>
      <c r="E110" s="49">
        <v>0</v>
      </c>
      <c r="F110" s="54">
        <v>0</v>
      </c>
      <c r="G110" s="52"/>
    </row>
    <row r="111" spans="2:7">
      <c r="B111" s="44">
        <v>222</v>
      </c>
      <c r="C111" s="39" t="s">
        <v>90</v>
      </c>
      <c r="D111" s="39"/>
      <c r="E111" s="49">
        <v>0</v>
      </c>
      <c r="F111" s="54">
        <v>0</v>
      </c>
      <c r="G111" s="52"/>
    </row>
    <row r="112" spans="2:7">
      <c r="B112" s="44">
        <v>224</v>
      </c>
      <c r="C112" s="39" t="s">
        <v>91</v>
      </c>
      <c r="D112" s="39"/>
      <c r="E112" s="49">
        <v>0</v>
      </c>
      <c r="F112" s="54">
        <v>0</v>
      </c>
      <c r="G112" s="52"/>
    </row>
    <row r="113" spans="2:7">
      <c r="B113" s="44">
        <v>225</v>
      </c>
      <c r="C113" s="39" t="s">
        <v>92</v>
      </c>
      <c r="D113" s="39"/>
      <c r="E113" s="49">
        <v>0</v>
      </c>
      <c r="F113" s="54">
        <v>0</v>
      </c>
      <c r="G113" s="38"/>
    </row>
    <row r="114" spans="2:7">
      <c r="B114" s="44">
        <v>226</v>
      </c>
      <c r="C114" s="39" t="s">
        <v>93</v>
      </c>
      <c r="D114" s="39"/>
      <c r="E114" s="49">
        <v>0</v>
      </c>
      <c r="F114" s="54">
        <v>0</v>
      </c>
      <c r="G114" s="60"/>
    </row>
    <row r="115" spans="2:7" ht="15.75" thickBot="1">
      <c r="B115" s="61"/>
      <c r="C115" s="62" t="s">
        <v>94</v>
      </c>
      <c r="D115" s="62"/>
      <c r="E115" s="90">
        <v>0</v>
      </c>
      <c r="F115" s="63">
        <v>0</v>
      </c>
      <c r="G115" s="38"/>
    </row>
    <row r="116" spans="2:7">
      <c r="B116" s="64"/>
      <c r="C116" s="65" t="s">
        <v>95</v>
      </c>
      <c r="D116" s="66"/>
      <c r="E116" s="91">
        <v>3391.6712727272684</v>
      </c>
      <c r="F116" s="68">
        <v>3391.6712727272684</v>
      </c>
      <c r="G116" s="69"/>
    </row>
    <row r="117" spans="2:7" ht="15.75" thickBot="1">
      <c r="B117" s="64"/>
      <c r="C117" s="70"/>
      <c r="D117" s="71"/>
      <c r="E117" s="92"/>
      <c r="F117" s="73"/>
      <c r="G117" s="69"/>
    </row>
    <row r="118" spans="2:7" ht="15.75" thickBot="1">
      <c r="B118" s="64"/>
      <c r="C118" s="70" t="s">
        <v>96</v>
      </c>
      <c r="D118" s="71"/>
      <c r="E118" s="93">
        <v>11896.536430413233</v>
      </c>
      <c r="F118" s="75">
        <v>11896.536430413233</v>
      </c>
      <c r="G118" s="76"/>
    </row>
    <row r="119" spans="2:7" ht="8.25" customHeight="1" thickBot="1">
      <c r="B119" s="77"/>
      <c r="C119" s="81"/>
      <c r="D119" s="81"/>
      <c r="E119" s="78"/>
      <c r="F119" s="78"/>
      <c r="G119" s="79"/>
    </row>
    <row r="120" spans="2:7">
      <c r="B120" s="83"/>
      <c r="C120" s="84"/>
      <c r="D120" s="84"/>
      <c r="E120" s="85"/>
      <c r="F120" s="83"/>
      <c r="G120" s="85"/>
    </row>
    <row r="121" spans="2:7" ht="6" customHeight="1" thickBot="1"/>
    <row r="122" spans="2:7">
      <c r="B122" s="1"/>
      <c r="C122" s="2"/>
      <c r="D122" s="2"/>
      <c r="E122" s="2"/>
      <c r="F122" s="2"/>
      <c r="G122" s="3"/>
    </row>
    <row r="123" spans="2:7">
      <c r="B123" s="4"/>
      <c r="C123" s="5"/>
      <c r="D123" s="5"/>
      <c r="E123" s="5"/>
      <c r="F123" s="5"/>
      <c r="G123" s="6"/>
    </row>
    <row r="124" spans="2:7">
      <c r="B124" s="4"/>
      <c r="C124" s="5"/>
      <c r="D124" s="5"/>
      <c r="E124" s="5"/>
      <c r="F124" s="5"/>
      <c r="G124" s="6"/>
    </row>
    <row r="125" spans="2:7">
      <c r="B125" s="4"/>
      <c r="C125" s="5"/>
      <c r="D125" s="5"/>
      <c r="E125" s="5"/>
      <c r="F125" s="5"/>
      <c r="G125" s="6"/>
    </row>
    <row r="126" spans="2:7">
      <c r="B126" s="4"/>
      <c r="C126" s="5"/>
      <c r="D126" s="5"/>
      <c r="E126" s="5"/>
      <c r="F126" s="5"/>
      <c r="G126" s="6"/>
    </row>
    <row r="127" spans="2:7" ht="16.5" customHeight="1">
      <c r="B127" s="4"/>
      <c r="C127" s="5"/>
      <c r="D127" s="5"/>
      <c r="E127" s="5"/>
      <c r="F127" s="5"/>
      <c r="G127" s="6"/>
    </row>
    <row r="128" spans="2:7" ht="22.5" customHeight="1" thickBot="1">
      <c r="B128" s="4"/>
      <c r="C128" s="95" t="s">
        <v>0</v>
      </c>
      <c r="D128" s="95"/>
      <c r="E128" s="95"/>
      <c r="F128" s="5"/>
      <c r="G128" s="6"/>
    </row>
    <row r="129" spans="1:7" ht="21" thickTop="1">
      <c r="B129" s="4"/>
      <c r="C129" s="7"/>
      <c r="D129" s="7"/>
      <c r="E129" s="5"/>
      <c r="F129" s="5"/>
      <c r="G129" s="6"/>
    </row>
    <row r="130" spans="1:7">
      <c r="B130" s="8" t="s">
        <v>1</v>
      </c>
      <c r="C130" s="9" t="s">
        <v>97</v>
      </c>
      <c r="D130" s="5"/>
      <c r="E130" s="10" t="s">
        <v>2</v>
      </c>
      <c r="F130" s="9" t="s">
        <v>98</v>
      </c>
      <c r="G130" s="6"/>
    </row>
    <row r="131" spans="1:7" ht="3.75" customHeight="1">
      <c r="A131" s="80"/>
      <c r="B131" s="5"/>
      <c r="C131" s="5"/>
      <c r="D131" s="5"/>
      <c r="E131" s="11"/>
      <c r="F131" s="5"/>
      <c r="G131" s="6"/>
    </row>
    <row r="132" spans="1:7">
      <c r="A132" s="80"/>
      <c r="B132" s="12" t="s">
        <v>3</v>
      </c>
      <c r="C132" s="9" t="s">
        <v>99</v>
      </c>
      <c r="D132" s="5"/>
      <c r="E132" s="10" t="s">
        <v>4</v>
      </c>
      <c r="F132" s="82" t="s">
        <v>100</v>
      </c>
      <c r="G132" s="6"/>
    </row>
    <row r="133" spans="1:7" ht="3.75" customHeight="1">
      <c r="A133" s="80"/>
      <c r="B133" s="5"/>
      <c r="C133" s="5"/>
      <c r="D133" s="5"/>
      <c r="E133" s="11"/>
      <c r="F133" s="5"/>
      <c r="G133" s="6"/>
    </row>
    <row r="134" spans="1:7">
      <c r="A134" s="80"/>
      <c r="B134" s="10" t="s">
        <v>5</v>
      </c>
      <c r="C134" s="9" t="s">
        <v>101</v>
      </c>
      <c r="D134" s="5"/>
      <c r="E134" s="10" t="s">
        <v>6</v>
      </c>
      <c r="F134" s="9" t="s">
        <v>107</v>
      </c>
      <c r="G134" s="6"/>
    </row>
    <row r="135" spans="1:7" ht="4.5" customHeight="1">
      <c r="A135" s="80"/>
      <c r="B135" s="13"/>
      <c r="C135" s="5"/>
      <c r="D135" s="5"/>
      <c r="E135" s="11"/>
      <c r="F135" s="5"/>
      <c r="G135" s="6"/>
    </row>
    <row r="136" spans="1:7">
      <c r="A136" s="80"/>
      <c r="B136" s="10" t="s">
        <v>7</v>
      </c>
      <c r="C136" s="9" t="s">
        <v>125</v>
      </c>
      <c r="D136" s="5"/>
      <c r="E136" s="11"/>
      <c r="F136" s="5"/>
      <c r="G136" s="6"/>
    </row>
    <row r="137" spans="1:7" ht="3.75" customHeight="1">
      <c r="A137" s="80"/>
      <c r="B137" s="5"/>
      <c r="C137" s="5"/>
      <c r="D137" s="5"/>
      <c r="E137" s="11"/>
      <c r="F137" s="5"/>
      <c r="G137" s="6"/>
    </row>
    <row r="138" spans="1:7">
      <c r="B138" s="14" t="s">
        <v>8</v>
      </c>
      <c r="C138" s="15" t="s">
        <v>104</v>
      </c>
      <c r="D138" s="5"/>
      <c r="E138" s="86" t="s">
        <v>109</v>
      </c>
      <c r="F138" s="87">
        <v>45323</v>
      </c>
      <c r="G138" s="6"/>
    </row>
    <row r="139" spans="1:7">
      <c r="B139" s="16" t="s">
        <v>9</v>
      </c>
      <c r="C139" s="17" t="s">
        <v>130</v>
      </c>
      <c r="D139" s="5"/>
      <c r="E139" s="88" t="s">
        <v>110</v>
      </c>
      <c r="F139" s="89">
        <v>45351</v>
      </c>
      <c r="G139" s="18"/>
    </row>
    <row r="140" spans="1:7" ht="15.75" thickBot="1">
      <c r="B140" s="4"/>
      <c r="C140" s="19"/>
      <c r="D140" s="19"/>
      <c r="E140" s="20"/>
      <c r="F140" s="21"/>
      <c r="G140" s="18"/>
    </row>
    <row r="141" spans="1:7" ht="18.75" thickBot="1">
      <c r="B141" s="4"/>
      <c r="C141" s="22" t="s">
        <v>10</v>
      </c>
      <c r="D141" s="23"/>
      <c r="E141" s="24"/>
      <c r="F141" s="25" t="s">
        <v>11</v>
      </c>
      <c r="G141" s="18"/>
    </row>
    <row r="142" spans="1:7">
      <c r="B142" s="4"/>
      <c r="C142" s="26" t="s">
        <v>12</v>
      </c>
      <c r="D142" s="26"/>
      <c r="E142" s="27">
        <v>11896.536430413233</v>
      </c>
      <c r="F142" s="28">
        <v>11896.536430413233</v>
      </c>
      <c r="G142" s="29"/>
    </row>
    <row r="143" spans="1:7">
      <c r="B143" s="30">
        <v>143</v>
      </c>
      <c r="C143" s="31" t="s">
        <v>13</v>
      </c>
      <c r="D143" s="31"/>
      <c r="E143" s="27">
        <v>4578.6174545454505</v>
      </c>
      <c r="F143" s="32">
        <v>4578.6174545454505</v>
      </c>
      <c r="G143" s="33"/>
    </row>
    <row r="144" spans="1:7">
      <c r="B144" s="30"/>
      <c r="C144" s="34" t="s">
        <v>14</v>
      </c>
      <c r="D144" s="34"/>
      <c r="E144" s="27">
        <v>0</v>
      </c>
      <c r="F144" s="32">
        <v>0</v>
      </c>
      <c r="G144" s="33"/>
    </row>
    <row r="145" spans="2:7">
      <c r="B145" s="30"/>
      <c r="C145" s="34" t="s">
        <v>15</v>
      </c>
      <c r="D145" s="34"/>
      <c r="E145" s="27">
        <v>0</v>
      </c>
      <c r="F145" s="32">
        <v>0</v>
      </c>
      <c r="G145" s="33"/>
    </row>
    <row r="146" spans="2:7">
      <c r="B146" s="30"/>
      <c r="C146" s="34" t="s">
        <v>16</v>
      </c>
      <c r="D146" s="34"/>
      <c r="E146" s="27">
        <v>0</v>
      </c>
      <c r="F146" s="32">
        <v>0</v>
      </c>
      <c r="G146" s="33"/>
    </row>
    <row r="147" spans="2:7">
      <c r="B147" s="30"/>
      <c r="C147" s="34" t="s">
        <v>17</v>
      </c>
      <c r="D147" s="34"/>
      <c r="E147" s="27">
        <v>0</v>
      </c>
      <c r="F147" s="32">
        <v>0</v>
      </c>
      <c r="G147" s="33"/>
    </row>
    <row r="148" spans="2:7">
      <c r="B148" s="30"/>
      <c r="C148" s="35" t="s">
        <v>18</v>
      </c>
      <c r="D148" s="35"/>
      <c r="E148" s="36">
        <v>16475.153884958683</v>
      </c>
      <c r="F148" s="37">
        <v>16475.153884958683</v>
      </c>
      <c r="G148" s="38"/>
    </row>
    <row r="149" spans="2:7" ht="15.75" thickBot="1">
      <c r="B149" s="30"/>
      <c r="C149" s="39"/>
      <c r="D149" s="39"/>
      <c r="E149" s="40"/>
      <c r="F149" s="41"/>
      <c r="G149" s="38"/>
    </row>
    <row r="150" spans="2:7" ht="18.75" thickBot="1">
      <c r="B150" s="30"/>
      <c r="C150" s="22" t="s">
        <v>19</v>
      </c>
      <c r="D150" s="23"/>
      <c r="E150" s="42"/>
      <c r="F150" s="43"/>
      <c r="G150" s="38"/>
    </row>
    <row r="151" spans="2:7">
      <c r="B151" s="44">
        <v>121</v>
      </c>
      <c r="C151" s="39" t="s">
        <v>20</v>
      </c>
      <c r="D151" s="39"/>
      <c r="E151" s="45"/>
      <c r="F151" s="46"/>
      <c r="G151" s="47"/>
    </row>
    <row r="152" spans="2:7">
      <c r="B152" s="44"/>
      <c r="C152" s="48" t="s">
        <v>21</v>
      </c>
      <c r="D152" s="48"/>
      <c r="E152" s="49">
        <v>0</v>
      </c>
      <c r="F152" s="50">
        <v>0</v>
      </c>
      <c r="G152" s="47"/>
    </row>
    <row r="153" spans="2:7">
      <c r="B153" s="44"/>
      <c r="C153" s="48" t="s">
        <v>22</v>
      </c>
      <c r="D153" s="48"/>
      <c r="E153" s="49">
        <v>0</v>
      </c>
      <c r="F153" s="50">
        <v>0</v>
      </c>
      <c r="G153" s="47"/>
    </row>
    <row r="154" spans="2:7">
      <c r="B154" s="51"/>
      <c r="C154" s="48" t="s">
        <v>23</v>
      </c>
      <c r="D154" s="48"/>
      <c r="E154" s="49">
        <v>0</v>
      </c>
      <c r="F154" s="50">
        <v>0</v>
      </c>
      <c r="G154" s="52"/>
    </row>
    <row r="155" spans="2:7">
      <c r="B155" s="51"/>
      <c r="C155" s="48" t="s">
        <v>24</v>
      </c>
      <c r="D155" s="48"/>
      <c r="E155" s="49">
        <v>0</v>
      </c>
      <c r="F155" s="50">
        <v>0</v>
      </c>
      <c r="G155" s="52"/>
    </row>
    <row r="156" spans="2:7">
      <c r="B156" s="44"/>
      <c r="C156" s="48" t="s">
        <v>25</v>
      </c>
      <c r="D156" s="48"/>
      <c r="E156" s="49">
        <v>0</v>
      </c>
      <c r="F156" s="50">
        <v>0</v>
      </c>
      <c r="G156" s="52"/>
    </row>
    <row r="157" spans="2:7">
      <c r="B157" s="44"/>
      <c r="C157" s="53" t="s">
        <v>26</v>
      </c>
      <c r="D157" s="53"/>
      <c r="E157" s="36">
        <v>0</v>
      </c>
      <c r="F157" s="54">
        <v>0</v>
      </c>
      <c r="G157" s="52"/>
    </row>
    <row r="158" spans="2:7">
      <c r="B158" s="44">
        <v>122</v>
      </c>
      <c r="C158" s="39" t="s">
        <v>27</v>
      </c>
      <c r="D158" s="39"/>
      <c r="E158" s="36"/>
      <c r="F158" s="50"/>
      <c r="G158" s="55"/>
    </row>
    <row r="159" spans="2:7">
      <c r="B159" s="44"/>
      <c r="C159" s="48" t="s">
        <v>28</v>
      </c>
      <c r="D159" s="48"/>
      <c r="E159" s="49">
        <v>0</v>
      </c>
      <c r="F159" s="50">
        <v>0</v>
      </c>
      <c r="G159" s="52"/>
    </row>
    <row r="160" spans="2:7">
      <c r="B160" s="44"/>
      <c r="C160" s="48" t="s">
        <v>29</v>
      </c>
      <c r="D160" s="48"/>
      <c r="E160" s="49">
        <v>0</v>
      </c>
      <c r="F160" s="50">
        <v>0</v>
      </c>
      <c r="G160" s="52"/>
    </row>
    <row r="161" spans="2:7">
      <c r="B161" s="44"/>
      <c r="C161" s="48" t="s">
        <v>30</v>
      </c>
      <c r="D161" s="48"/>
      <c r="E161" s="49">
        <v>0</v>
      </c>
      <c r="F161" s="50">
        <v>0</v>
      </c>
      <c r="G161" s="52"/>
    </row>
    <row r="162" spans="2:7">
      <c r="B162" s="44"/>
      <c r="C162" s="48" t="s">
        <v>31</v>
      </c>
      <c r="D162" s="48"/>
      <c r="E162" s="49">
        <v>0</v>
      </c>
      <c r="F162" s="50">
        <v>0</v>
      </c>
      <c r="G162" s="52"/>
    </row>
    <row r="163" spans="2:7">
      <c r="B163" s="44"/>
      <c r="C163" s="48" t="s">
        <v>32</v>
      </c>
      <c r="D163" s="48"/>
      <c r="E163" s="49">
        <v>88.800120595041136</v>
      </c>
      <c r="F163" s="50">
        <v>88.800120595041136</v>
      </c>
      <c r="G163" s="52"/>
    </row>
    <row r="164" spans="2:7">
      <c r="B164" s="44"/>
      <c r="C164" s="48" t="s">
        <v>33</v>
      </c>
      <c r="D164" s="48"/>
      <c r="E164" s="49">
        <v>0</v>
      </c>
      <c r="F164" s="50">
        <v>0</v>
      </c>
      <c r="G164" s="52"/>
    </row>
    <row r="165" spans="2:7">
      <c r="B165" s="44"/>
      <c r="C165" s="48" t="s">
        <v>34</v>
      </c>
      <c r="D165" s="48"/>
      <c r="E165" s="49">
        <v>0</v>
      </c>
      <c r="F165" s="50">
        <v>0</v>
      </c>
      <c r="G165" s="52"/>
    </row>
    <row r="166" spans="2:7">
      <c r="B166" s="44"/>
      <c r="C166" s="48" t="s">
        <v>35</v>
      </c>
      <c r="D166" s="48"/>
      <c r="E166" s="49">
        <v>0</v>
      </c>
      <c r="F166" s="50">
        <v>0</v>
      </c>
      <c r="G166" s="52"/>
    </row>
    <row r="167" spans="2:7">
      <c r="B167" s="44"/>
      <c r="C167" s="53" t="s">
        <v>26</v>
      </c>
      <c r="D167" s="53"/>
      <c r="E167" s="36">
        <v>88.800120595041136</v>
      </c>
      <c r="F167" s="54">
        <v>88.800120595041136</v>
      </c>
      <c r="G167" s="52"/>
    </row>
    <row r="168" spans="2:7">
      <c r="B168" s="44">
        <v>123</v>
      </c>
      <c r="C168" s="39" t="s">
        <v>36</v>
      </c>
      <c r="D168" s="39"/>
      <c r="E168" s="56"/>
      <c r="F168" s="57"/>
      <c r="G168" s="52"/>
    </row>
    <row r="169" spans="2:7">
      <c r="B169" s="44"/>
      <c r="C169" s="48" t="s">
        <v>37</v>
      </c>
      <c r="D169" s="48"/>
      <c r="E169" s="49">
        <v>88.800120595041136</v>
      </c>
      <c r="F169" s="50">
        <v>88.800120595041136</v>
      </c>
      <c r="G169" s="52"/>
    </row>
    <row r="170" spans="2:7">
      <c r="B170" s="44"/>
      <c r="C170" s="48" t="s">
        <v>38</v>
      </c>
      <c r="D170" s="48"/>
      <c r="E170" s="49">
        <v>0</v>
      </c>
      <c r="F170" s="50">
        <v>0</v>
      </c>
      <c r="G170" s="52"/>
    </row>
    <row r="171" spans="2:7">
      <c r="B171" s="44"/>
      <c r="C171" s="48" t="s">
        <v>39</v>
      </c>
      <c r="D171" s="48"/>
      <c r="E171" s="49">
        <v>769.60104515702335</v>
      </c>
      <c r="F171" s="50">
        <v>769.60104515702335</v>
      </c>
      <c r="G171" s="52"/>
    </row>
    <row r="172" spans="2:7">
      <c r="B172" s="44"/>
      <c r="C172" s="48" t="s">
        <v>40</v>
      </c>
      <c r="D172" s="48"/>
      <c r="E172" s="49">
        <v>0</v>
      </c>
      <c r="F172" s="50">
        <v>0</v>
      </c>
      <c r="G172" s="52"/>
    </row>
    <row r="173" spans="2:7">
      <c r="B173" s="44"/>
      <c r="C173" s="48" t="s">
        <v>41</v>
      </c>
      <c r="D173" s="48"/>
      <c r="E173" s="49">
        <v>0</v>
      </c>
      <c r="F173" s="50">
        <v>0</v>
      </c>
      <c r="G173" s="52"/>
    </row>
    <row r="174" spans="2:7">
      <c r="B174" s="44"/>
      <c r="C174" s="48" t="s">
        <v>42</v>
      </c>
      <c r="D174" s="48"/>
      <c r="E174" s="49">
        <v>177.60024119008227</v>
      </c>
      <c r="F174" s="50">
        <v>177.60024119008227</v>
      </c>
      <c r="G174" s="52"/>
    </row>
    <row r="175" spans="2:7">
      <c r="B175" s="44"/>
      <c r="C175" s="53" t="s">
        <v>26</v>
      </c>
      <c r="D175" s="53"/>
      <c r="E175" s="36">
        <v>1036.0014069421468</v>
      </c>
      <c r="F175" s="54">
        <v>1036.0014069421468</v>
      </c>
      <c r="G175" s="52"/>
    </row>
    <row r="176" spans="2:7">
      <c r="B176" s="44">
        <v>124</v>
      </c>
      <c r="C176" s="39" t="s">
        <v>43</v>
      </c>
      <c r="D176" s="39"/>
      <c r="E176" s="56"/>
      <c r="F176" s="57"/>
      <c r="G176" s="52"/>
    </row>
    <row r="177" spans="2:7">
      <c r="B177" s="44"/>
      <c r="C177" s="48" t="s">
        <v>44</v>
      </c>
      <c r="D177" s="48"/>
      <c r="E177" s="49">
        <v>135.66685090909075</v>
      </c>
      <c r="F177" s="50">
        <v>135.66685090909075</v>
      </c>
      <c r="G177" s="52"/>
    </row>
    <row r="178" spans="2:7">
      <c r="B178" s="44"/>
      <c r="C178" s="48" t="s">
        <v>45</v>
      </c>
      <c r="D178" s="48"/>
      <c r="E178" s="49">
        <v>0</v>
      </c>
      <c r="F178" s="50">
        <v>0</v>
      </c>
      <c r="G178" s="52"/>
    </row>
    <row r="179" spans="2:7">
      <c r="B179" s="44"/>
      <c r="C179" s="48" t="s">
        <v>46</v>
      </c>
      <c r="D179" s="48"/>
      <c r="E179" s="49">
        <v>0</v>
      </c>
      <c r="F179" s="50">
        <v>0</v>
      </c>
      <c r="G179" s="52"/>
    </row>
    <row r="180" spans="2:7">
      <c r="B180" s="44"/>
      <c r="C180" s="53" t="s">
        <v>26</v>
      </c>
      <c r="D180" s="53"/>
      <c r="E180" s="36">
        <v>135.66685090909075</v>
      </c>
      <c r="F180" s="54">
        <v>135.66685090909075</v>
      </c>
      <c r="G180" s="52"/>
    </row>
    <row r="181" spans="2:7">
      <c r="B181" s="44">
        <v>125</v>
      </c>
      <c r="C181" s="39" t="s">
        <v>47</v>
      </c>
      <c r="D181" s="39"/>
      <c r="E181" s="36"/>
      <c r="F181" s="50"/>
      <c r="G181" s="52"/>
    </row>
    <row r="182" spans="2:7">
      <c r="B182" s="44"/>
      <c r="C182" s="48" t="s">
        <v>48</v>
      </c>
      <c r="D182" s="48"/>
      <c r="E182" s="58">
        <v>0</v>
      </c>
      <c r="F182" s="50">
        <v>0</v>
      </c>
      <c r="G182" s="52"/>
    </row>
    <row r="183" spans="2:7">
      <c r="B183" s="44"/>
      <c r="C183" s="48" t="s">
        <v>49</v>
      </c>
      <c r="D183" s="48"/>
      <c r="E183" s="58">
        <v>0</v>
      </c>
      <c r="F183" s="50">
        <v>0</v>
      </c>
      <c r="G183" s="52"/>
    </row>
    <row r="184" spans="2:7">
      <c r="B184" s="44"/>
      <c r="C184" s="48" t="s">
        <v>50</v>
      </c>
      <c r="D184" s="48"/>
      <c r="E184" s="58">
        <v>108.5334807272726</v>
      </c>
      <c r="F184" s="50">
        <v>108.5334807272726</v>
      </c>
      <c r="G184" s="52"/>
    </row>
    <row r="185" spans="2:7">
      <c r="B185" s="44"/>
      <c r="C185" s="48" t="s">
        <v>51</v>
      </c>
      <c r="D185" s="48"/>
      <c r="E185" s="58">
        <v>0</v>
      </c>
      <c r="F185" s="50">
        <v>0</v>
      </c>
      <c r="G185" s="52"/>
    </row>
    <row r="186" spans="2:7">
      <c r="B186" s="44"/>
      <c r="C186" s="53" t="s">
        <v>26</v>
      </c>
      <c r="D186" s="53"/>
      <c r="E186" s="56">
        <v>108.5334807272726</v>
      </c>
      <c r="F186" s="54">
        <v>108.5334807272726</v>
      </c>
      <c r="G186" s="52"/>
    </row>
    <row r="187" spans="2:7">
      <c r="B187" s="44">
        <v>126</v>
      </c>
      <c r="C187" s="39" t="s">
        <v>52</v>
      </c>
      <c r="D187" s="39"/>
      <c r="E187" s="56"/>
      <c r="F187" s="50"/>
      <c r="G187" s="52"/>
    </row>
    <row r="188" spans="2:7">
      <c r="B188" s="44"/>
      <c r="C188" s="48" t="s">
        <v>53</v>
      </c>
      <c r="D188" s="48"/>
      <c r="E188" s="49">
        <v>0</v>
      </c>
      <c r="F188" s="50">
        <v>0</v>
      </c>
      <c r="G188" s="52"/>
    </row>
    <row r="189" spans="2:7">
      <c r="B189" s="44"/>
      <c r="C189" s="48" t="s">
        <v>54</v>
      </c>
      <c r="D189" s="48"/>
      <c r="E189" s="49">
        <v>0</v>
      </c>
      <c r="F189" s="50"/>
      <c r="G189" s="52"/>
    </row>
    <row r="190" spans="2:7">
      <c r="B190" s="44"/>
      <c r="C190" s="48" t="s">
        <v>55</v>
      </c>
      <c r="D190" s="48"/>
      <c r="E190" s="49">
        <v>0</v>
      </c>
      <c r="F190" s="50"/>
      <c r="G190" s="52"/>
    </row>
    <row r="191" spans="2:7">
      <c r="B191" s="44"/>
      <c r="C191" s="48" t="s">
        <v>56</v>
      </c>
      <c r="D191" s="48"/>
      <c r="E191" s="49">
        <v>0</v>
      </c>
      <c r="F191" s="57"/>
      <c r="G191" s="52"/>
    </row>
    <row r="192" spans="2:7">
      <c r="B192" s="44"/>
      <c r="C192" s="53" t="s">
        <v>26</v>
      </c>
      <c r="D192" s="53"/>
      <c r="E192" s="56">
        <v>0</v>
      </c>
      <c r="F192" s="54">
        <v>0</v>
      </c>
      <c r="G192" s="52"/>
    </row>
    <row r="193" spans="2:7">
      <c r="B193" s="44">
        <v>127</v>
      </c>
      <c r="C193" s="39" t="s">
        <v>57</v>
      </c>
      <c r="D193" s="39"/>
      <c r="E193" s="56"/>
      <c r="F193" s="54"/>
      <c r="G193" s="52"/>
    </row>
    <row r="194" spans="2:7">
      <c r="B194" s="44"/>
      <c r="C194" s="48" t="s">
        <v>58</v>
      </c>
      <c r="D194" s="48"/>
      <c r="E194" s="49">
        <v>0</v>
      </c>
      <c r="F194" s="50">
        <v>0</v>
      </c>
      <c r="G194" s="52"/>
    </row>
    <row r="195" spans="2:7">
      <c r="B195" s="44"/>
      <c r="C195" s="48" t="s">
        <v>59</v>
      </c>
      <c r="D195" s="48"/>
      <c r="E195" s="49">
        <v>0</v>
      </c>
      <c r="F195" s="50">
        <v>0</v>
      </c>
      <c r="G195" s="52"/>
    </row>
    <row r="196" spans="2:7">
      <c r="B196" s="44"/>
      <c r="C196" s="48" t="s">
        <v>60</v>
      </c>
      <c r="D196" s="48"/>
      <c r="E196" s="49">
        <v>0</v>
      </c>
      <c r="F196" s="50">
        <v>0</v>
      </c>
      <c r="G196" s="52"/>
    </row>
    <row r="197" spans="2:7">
      <c r="B197" s="44"/>
      <c r="C197" s="59" t="s">
        <v>61</v>
      </c>
      <c r="D197" s="59"/>
      <c r="E197" s="49">
        <v>0</v>
      </c>
      <c r="F197" s="50">
        <v>0</v>
      </c>
      <c r="G197" s="52"/>
    </row>
    <row r="198" spans="2:7">
      <c r="B198" s="44"/>
      <c r="C198" s="53" t="s">
        <v>26</v>
      </c>
      <c r="D198" s="53"/>
      <c r="E198" s="56">
        <v>0</v>
      </c>
      <c r="F198" s="54">
        <v>0</v>
      </c>
      <c r="G198" s="52"/>
    </row>
    <row r="199" spans="2:7">
      <c r="B199" s="44">
        <v>128</v>
      </c>
      <c r="C199" s="39" t="s">
        <v>62</v>
      </c>
      <c r="D199" s="39"/>
      <c r="E199" s="56"/>
      <c r="F199" s="54"/>
      <c r="G199" s="52"/>
    </row>
    <row r="200" spans="2:7">
      <c r="B200" s="44"/>
      <c r="C200" s="48" t="s">
        <v>63</v>
      </c>
      <c r="D200" s="48"/>
      <c r="E200" s="49">
        <v>0</v>
      </c>
      <c r="F200" s="50">
        <v>0</v>
      </c>
      <c r="G200" s="52"/>
    </row>
    <row r="201" spans="2:7">
      <c r="B201" s="44"/>
      <c r="C201" s="48" t="s">
        <v>64</v>
      </c>
      <c r="D201" s="48"/>
      <c r="E201" s="49">
        <v>0</v>
      </c>
      <c r="F201" s="50">
        <v>0</v>
      </c>
      <c r="G201" s="52"/>
    </row>
    <row r="202" spans="2:7">
      <c r="B202" s="44"/>
      <c r="C202" s="48" t="s">
        <v>65</v>
      </c>
      <c r="D202" s="48"/>
      <c r="E202" s="49">
        <v>325.60044218181781</v>
      </c>
      <c r="F202" s="50">
        <v>325.60044218181781</v>
      </c>
      <c r="G202" s="52"/>
    </row>
    <row r="203" spans="2:7">
      <c r="B203" s="44"/>
      <c r="C203" s="48" t="s">
        <v>66</v>
      </c>
      <c r="D203" s="48"/>
      <c r="E203" s="49">
        <v>0</v>
      </c>
      <c r="F203" s="50">
        <v>0</v>
      </c>
      <c r="G203" s="52"/>
    </row>
    <row r="204" spans="2:7">
      <c r="B204" s="44"/>
      <c r="C204" s="48" t="s">
        <v>67</v>
      </c>
      <c r="D204" s="48"/>
      <c r="E204" s="49">
        <v>0</v>
      </c>
      <c r="F204" s="50">
        <v>0</v>
      </c>
      <c r="G204" s="52"/>
    </row>
    <row r="205" spans="2:7">
      <c r="B205" s="44"/>
      <c r="C205" s="53" t="s">
        <v>26</v>
      </c>
      <c r="D205" s="53"/>
      <c r="E205" s="56">
        <v>325.60044218181781</v>
      </c>
      <c r="F205" s="54">
        <v>325.60044218181781</v>
      </c>
      <c r="G205" s="52"/>
    </row>
    <row r="206" spans="2:7">
      <c r="B206" s="44">
        <v>135</v>
      </c>
      <c r="C206" s="39" t="s">
        <v>68</v>
      </c>
      <c r="D206" s="39"/>
      <c r="E206" s="56"/>
      <c r="F206" s="50"/>
      <c r="G206" s="52"/>
    </row>
    <row r="207" spans="2:7">
      <c r="B207" s="44"/>
      <c r="C207" s="48" t="s">
        <v>69</v>
      </c>
      <c r="D207" s="48"/>
      <c r="E207" s="49">
        <v>0</v>
      </c>
      <c r="F207" s="50">
        <v>0</v>
      </c>
      <c r="G207" s="52"/>
    </row>
    <row r="208" spans="2:7">
      <c r="B208" s="44"/>
      <c r="C208" s="48" t="s">
        <v>70</v>
      </c>
      <c r="D208" s="48"/>
      <c r="E208" s="49">
        <v>0</v>
      </c>
      <c r="F208" s="50">
        <v>0</v>
      </c>
      <c r="G208" s="52"/>
    </row>
    <row r="209" spans="2:7">
      <c r="B209" s="44"/>
      <c r="C209" s="48" t="s">
        <v>71</v>
      </c>
      <c r="D209" s="48"/>
      <c r="E209" s="49">
        <v>0</v>
      </c>
      <c r="F209" s="50">
        <v>0</v>
      </c>
      <c r="G209" s="52"/>
    </row>
    <row r="210" spans="2:7">
      <c r="B210" s="44"/>
      <c r="C210" s="48" t="s">
        <v>72</v>
      </c>
      <c r="D210" s="48"/>
      <c r="E210" s="49">
        <v>0</v>
      </c>
      <c r="F210" s="50">
        <v>0</v>
      </c>
      <c r="G210" s="52"/>
    </row>
    <row r="211" spans="2:7">
      <c r="B211" s="44"/>
      <c r="C211" s="48" t="s">
        <v>73</v>
      </c>
      <c r="D211" s="48"/>
      <c r="E211" s="49">
        <v>177.60024119008227</v>
      </c>
      <c r="F211" s="50">
        <v>177.60024119008227</v>
      </c>
      <c r="G211" s="52"/>
    </row>
    <row r="212" spans="2:7">
      <c r="B212" s="44"/>
      <c r="C212" s="48" t="s">
        <v>74</v>
      </c>
      <c r="D212" s="48"/>
      <c r="E212" s="49">
        <v>0</v>
      </c>
      <c r="F212" s="50">
        <v>0</v>
      </c>
      <c r="G212" s="52"/>
    </row>
    <row r="213" spans="2:7">
      <c r="B213" s="44"/>
      <c r="C213" s="48" t="s">
        <v>75</v>
      </c>
      <c r="D213" s="48"/>
      <c r="E213" s="49">
        <v>841.13447563636271</v>
      </c>
      <c r="F213" s="50">
        <v>841.13447563636271</v>
      </c>
      <c r="G213" s="52"/>
    </row>
    <row r="214" spans="2:7">
      <c r="B214" s="44"/>
      <c r="C214" s="48" t="s">
        <v>76</v>
      </c>
      <c r="D214" s="48"/>
      <c r="E214" s="49">
        <v>0</v>
      </c>
      <c r="F214" s="50">
        <v>0</v>
      </c>
      <c r="G214" s="52"/>
    </row>
    <row r="215" spans="2:7">
      <c r="B215" s="44"/>
      <c r="C215" s="48" t="s">
        <v>77</v>
      </c>
      <c r="D215" s="48"/>
      <c r="E215" s="49">
        <v>0</v>
      </c>
      <c r="F215" s="50">
        <v>0</v>
      </c>
      <c r="G215" s="52"/>
    </row>
    <row r="216" spans="2:7">
      <c r="B216" s="44"/>
      <c r="C216" s="53" t="s">
        <v>26</v>
      </c>
      <c r="D216" s="53"/>
      <c r="E216" s="56">
        <v>1018.734716826445</v>
      </c>
      <c r="F216" s="54">
        <v>1018.734716826445</v>
      </c>
      <c r="G216" s="52"/>
    </row>
    <row r="217" spans="2:7">
      <c r="B217" s="44">
        <v>136</v>
      </c>
      <c r="C217" s="39" t="s">
        <v>78</v>
      </c>
      <c r="D217" s="39"/>
      <c r="E217" s="56"/>
      <c r="F217" s="50"/>
      <c r="G217" s="52"/>
    </row>
    <row r="218" spans="2:7">
      <c r="B218" s="44"/>
      <c r="C218" s="48" t="s">
        <v>79</v>
      </c>
      <c r="D218" s="48"/>
      <c r="E218" s="49">
        <v>0</v>
      </c>
      <c r="F218" s="50">
        <v>0</v>
      </c>
      <c r="G218" s="52"/>
    </row>
    <row r="219" spans="2:7">
      <c r="B219" s="44"/>
      <c r="C219" s="48" t="s">
        <v>80</v>
      </c>
      <c r="D219" s="48"/>
      <c r="E219" s="49">
        <v>0</v>
      </c>
      <c r="F219" s="50">
        <v>0</v>
      </c>
      <c r="G219" s="52"/>
    </row>
    <row r="220" spans="2:7">
      <c r="B220" s="44"/>
      <c r="C220" s="48" t="s">
        <v>81</v>
      </c>
      <c r="D220" s="48"/>
      <c r="E220" s="49">
        <v>0</v>
      </c>
      <c r="F220" s="50">
        <v>0</v>
      </c>
      <c r="G220" s="52"/>
    </row>
    <row r="221" spans="2:7">
      <c r="B221" s="44"/>
      <c r="C221" s="48" t="s">
        <v>82</v>
      </c>
      <c r="D221" s="48"/>
      <c r="E221" s="49">
        <v>0</v>
      </c>
      <c r="F221" s="50">
        <v>0</v>
      </c>
      <c r="G221" s="52"/>
    </row>
    <row r="222" spans="2:7">
      <c r="B222" s="44"/>
      <c r="C222" s="48" t="s">
        <v>83</v>
      </c>
      <c r="D222" s="48"/>
      <c r="E222" s="49">
        <v>0</v>
      </c>
      <c r="F222" s="50">
        <v>0</v>
      </c>
      <c r="G222" s="52"/>
    </row>
    <row r="223" spans="2:7">
      <c r="B223" s="44"/>
      <c r="C223" s="48" t="s">
        <v>84</v>
      </c>
      <c r="D223" s="48"/>
      <c r="E223" s="49">
        <v>0</v>
      </c>
      <c r="F223" s="50">
        <v>0</v>
      </c>
      <c r="G223" s="52"/>
    </row>
    <row r="224" spans="2:7">
      <c r="B224" s="44"/>
      <c r="C224" s="53" t="s">
        <v>26</v>
      </c>
      <c r="D224" s="53"/>
      <c r="E224" s="56">
        <v>0</v>
      </c>
      <c r="F224" s="54">
        <v>0</v>
      </c>
      <c r="G224" s="52"/>
    </row>
    <row r="225" spans="2:7">
      <c r="B225" s="44">
        <v>142</v>
      </c>
      <c r="C225" s="39" t="s">
        <v>85</v>
      </c>
      <c r="D225" s="39"/>
      <c r="E225" s="56"/>
      <c r="F225" s="50"/>
      <c r="G225" s="52"/>
    </row>
    <row r="226" spans="2:7">
      <c r="B226" s="44"/>
      <c r="C226" s="48" t="s">
        <v>86</v>
      </c>
      <c r="D226" s="48"/>
      <c r="E226" s="49">
        <v>0</v>
      </c>
      <c r="F226" s="50">
        <v>0</v>
      </c>
      <c r="G226" s="52"/>
    </row>
    <row r="227" spans="2:7">
      <c r="B227" s="44"/>
      <c r="C227" s="48" t="s">
        <v>87</v>
      </c>
      <c r="D227" s="48"/>
      <c r="E227" s="49">
        <v>0</v>
      </c>
      <c r="F227" s="50">
        <v>0</v>
      </c>
      <c r="G227" s="52"/>
    </row>
    <row r="228" spans="2:7">
      <c r="B228" s="44"/>
      <c r="C228" s="53" t="s">
        <v>26</v>
      </c>
      <c r="D228" s="53"/>
      <c r="E228" s="56">
        <v>0</v>
      </c>
      <c r="F228" s="54">
        <v>0</v>
      </c>
      <c r="G228" s="52"/>
    </row>
    <row r="229" spans="2:7">
      <c r="B229" s="44">
        <v>144</v>
      </c>
      <c r="C229" s="39" t="s">
        <v>88</v>
      </c>
      <c r="D229" s="39"/>
      <c r="E229" s="49">
        <v>0</v>
      </c>
      <c r="F229" s="54">
        <v>0</v>
      </c>
      <c r="G229" s="52"/>
    </row>
    <row r="230" spans="2:7">
      <c r="B230" s="44">
        <v>221</v>
      </c>
      <c r="C230" s="39" t="s">
        <v>89</v>
      </c>
      <c r="D230" s="39"/>
      <c r="E230" s="49">
        <v>0</v>
      </c>
      <c r="F230" s="54">
        <v>0</v>
      </c>
      <c r="G230" s="52"/>
    </row>
    <row r="231" spans="2:7">
      <c r="B231" s="44">
        <v>222</v>
      </c>
      <c r="C231" s="39" t="s">
        <v>90</v>
      </c>
      <c r="D231" s="39"/>
      <c r="E231" s="49">
        <v>0</v>
      </c>
      <c r="F231" s="54">
        <v>0</v>
      </c>
      <c r="G231" s="52"/>
    </row>
    <row r="232" spans="2:7">
      <c r="B232" s="44">
        <v>224</v>
      </c>
      <c r="C232" s="39" t="s">
        <v>91</v>
      </c>
      <c r="D232" s="39"/>
      <c r="E232" s="49">
        <v>0</v>
      </c>
      <c r="F232" s="54">
        <v>0</v>
      </c>
      <c r="G232" s="52"/>
    </row>
    <row r="233" spans="2:7">
      <c r="B233" s="44">
        <v>225</v>
      </c>
      <c r="C233" s="39" t="s">
        <v>92</v>
      </c>
      <c r="D233" s="39"/>
      <c r="E233" s="49">
        <v>0</v>
      </c>
      <c r="F233" s="54">
        <v>0</v>
      </c>
      <c r="G233" s="38"/>
    </row>
    <row r="234" spans="2:7">
      <c r="B234" s="44">
        <v>226</v>
      </c>
      <c r="C234" s="39" t="s">
        <v>93</v>
      </c>
      <c r="D234" s="39"/>
      <c r="E234" s="49">
        <v>0</v>
      </c>
      <c r="F234" s="54">
        <v>0</v>
      </c>
      <c r="G234" s="60"/>
    </row>
    <row r="235" spans="2:7" ht="15.75" thickBot="1">
      <c r="B235" s="61"/>
      <c r="C235" s="62" t="s">
        <v>94</v>
      </c>
      <c r="D235" s="62"/>
      <c r="E235" s="94">
        <v>0</v>
      </c>
      <c r="F235" s="63">
        <v>0</v>
      </c>
      <c r="G235" s="38"/>
    </row>
    <row r="236" spans="2:7">
      <c r="B236" s="64"/>
      <c r="C236" s="65" t="s">
        <v>95</v>
      </c>
      <c r="D236" s="66"/>
      <c r="E236" s="67">
        <v>2713.3370181818141</v>
      </c>
      <c r="F236" s="68">
        <v>2713.3370181818141</v>
      </c>
      <c r="G236" s="69"/>
    </row>
    <row r="237" spans="2:7" ht="15.75" thickBot="1">
      <c r="B237" s="64"/>
      <c r="C237" s="70"/>
      <c r="D237" s="71"/>
      <c r="E237" s="72"/>
      <c r="F237" s="73"/>
      <c r="G237" s="69"/>
    </row>
    <row r="238" spans="2:7" ht="15.75" thickBot="1">
      <c r="B238" s="64"/>
      <c r="C238" s="70" t="s">
        <v>96</v>
      </c>
      <c r="D238" s="71"/>
      <c r="E238" s="74">
        <v>13761.81686677687</v>
      </c>
      <c r="F238" s="75">
        <v>13761.81686677687</v>
      </c>
      <c r="G238" s="76"/>
    </row>
    <row r="239" spans="2:7" ht="8.25" customHeight="1" thickBot="1">
      <c r="B239" s="77"/>
      <c r="C239" s="81"/>
      <c r="D239" s="81"/>
      <c r="E239" s="78"/>
      <c r="F239" s="78"/>
      <c r="G239" s="79"/>
    </row>
    <row r="240" spans="2:7">
      <c r="B240" s="85"/>
      <c r="C240" s="84"/>
      <c r="D240" s="84"/>
      <c r="E240" s="85"/>
      <c r="F240" s="85"/>
      <c r="G240" s="85"/>
    </row>
    <row r="241" spans="1:7" ht="6" customHeight="1" thickBot="1"/>
    <row r="242" spans="1:7">
      <c r="B242" s="1"/>
      <c r="C242" s="2"/>
      <c r="D242" s="2"/>
      <c r="E242" s="2"/>
      <c r="F242" s="2"/>
      <c r="G242" s="3"/>
    </row>
    <row r="243" spans="1:7">
      <c r="B243" s="4"/>
      <c r="C243" s="5"/>
      <c r="D243" s="5"/>
      <c r="E243" s="5"/>
      <c r="F243" s="5"/>
      <c r="G243" s="6"/>
    </row>
    <row r="244" spans="1:7">
      <c r="B244" s="4"/>
      <c r="C244" s="5"/>
      <c r="D244" s="5"/>
      <c r="E244" s="5"/>
      <c r="F244" s="5"/>
      <c r="G244" s="6"/>
    </row>
    <row r="245" spans="1:7">
      <c r="B245" s="4"/>
      <c r="C245" s="5"/>
      <c r="D245" s="5"/>
      <c r="E245" s="5"/>
      <c r="F245" s="5"/>
      <c r="G245" s="6"/>
    </row>
    <row r="246" spans="1:7">
      <c r="B246" s="4"/>
      <c r="C246" s="5"/>
      <c r="D246" s="5"/>
      <c r="E246" s="5"/>
      <c r="F246" s="5"/>
      <c r="G246" s="6"/>
    </row>
    <row r="247" spans="1:7" ht="16.5" customHeight="1">
      <c r="B247" s="4"/>
      <c r="C247" s="5"/>
      <c r="D247" s="5"/>
      <c r="E247" s="5"/>
      <c r="F247" s="5"/>
      <c r="G247" s="6"/>
    </row>
    <row r="248" spans="1:7" ht="22.5" customHeight="1" thickBot="1">
      <c r="B248" s="4"/>
      <c r="C248" s="95" t="s">
        <v>0</v>
      </c>
      <c r="D248" s="95"/>
      <c r="E248" s="95"/>
      <c r="F248" s="5"/>
      <c r="G248" s="6"/>
    </row>
    <row r="249" spans="1:7" ht="21" thickTop="1">
      <c r="B249" s="4"/>
      <c r="C249" s="7"/>
      <c r="D249" s="7"/>
      <c r="E249" s="5"/>
      <c r="F249" s="5"/>
      <c r="G249" s="6"/>
    </row>
    <row r="250" spans="1:7">
      <c r="B250" s="8" t="s">
        <v>1</v>
      </c>
      <c r="C250" s="9" t="s">
        <v>97</v>
      </c>
      <c r="D250" s="5"/>
      <c r="E250" s="10" t="s">
        <v>2</v>
      </c>
      <c r="F250" s="9" t="s">
        <v>98</v>
      </c>
      <c r="G250" s="6"/>
    </row>
    <row r="251" spans="1:7" ht="3.75" customHeight="1">
      <c r="A251" s="80"/>
      <c r="B251" s="5"/>
      <c r="C251" s="5"/>
      <c r="D251" s="5"/>
      <c r="E251" s="11"/>
      <c r="F251" s="5"/>
      <c r="G251" s="6"/>
    </row>
    <row r="252" spans="1:7">
      <c r="A252" s="80"/>
      <c r="B252" s="12" t="s">
        <v>3</v>
      </c>
      <c r="C252" s="9" t="s">
        <v>99</v>
      </c>
      <c r="D252" s="5"/>
      <c r="E252" s="10" t="s">
        <v>4</v>
      </c>
      <c r="F252" s="82" t="s">
        <v>100</v>
      </c>
      <c r="G252" s="6"/>
    </row>
    <row r="253" spans="1:7" ht="3.75" customHeight="1">
      <c r="A253" s="80"/>
      <c r="B253" s="5"/>
      <c r="C253" s="5"/>
      <c r="D253" s="5"/>
      <c r="E253" s="11"/>
      <c r="F253" s="5"/>
      <c r="G253" s="6"/>
    </row>
    <row r="254" spans="1:7">
      <c r="A254" s="80"/>
      <c r="B254" s="10" t="s">
        <v>5</v>
      </c>
      <c r="C254" s="9" t="s">
        <v>101</v>
      </c>
      <c r="D254" s="5"/>
      <c r="E254" s="10" t="s">
        <v>6</v>
      </c>
      <c r="F254" s="9" t="s">
        <v>107</v>
      </c>
      <c r="G254" s="6"/>
    </row>
    <row r="255" spans="1:7" ht="4.5" customHeight="1">
      <c r="A255" s="80"/>
      <c r="B255" s="13"/>
      <c r="C255" s="5"/>
      <c r="D255" s="5"/>
      <c r="E255" s="11"/>
      <c r="F255" s="5"/>
      <c r="G255" s="6"/>
    </row>
    <row r="256" spans="1:7">
      <c r="A256" s="80"/>
      <c r="B256" s="10" t="s">
        <v>7</v>
      </c>
      <c r="C256" s="9" t="s">
        <v>125</v>
      </c>
      <c r="D256" s="5"/>
      <c r="E256" s="11"/>
      <c r="F256" s="5"/>
      <c r="G256" s="6"/>
    </row>
    <row r="257" spans="1:7" ht="3.75" customHeight="1">
      <c r="A257" s="80"/>
      <c r="B257" s="5"/>
      <c r="C257" s="5"/>
      <c r="D257" s="5"/>
      <c r="E257" s="11"/>
      <c r="F257" s="5"/>
      <c r="G257" s="6"/>
    </row>
    <row r="258" spans="1:7">
      <c r="B258" s="14" t="s">
        <v>8</v>
      </c>
      <c r="C258" s="15" t="s">
        <v>105</v>
      </c>
      <c r="D258" s="5"/>
      <c r="E258" s="86" t="s">
        <v>109</v>
      </c>
      <c r="F258" s="87">
        <v>45352</v>
      </c>
      <c r="G258" s="6"/>
    </row>
    <row r="259" spans="1:7">
      <c r="B259" s="16" t="s">
        <v>9</v>
      </c>
      <c r="C259" s="17" t="s">
        <v>130</v>
      </c>
      <c r="D259" s="5"/>
      <c r="E259" s="88" t="s">
        <v>110</v>
      </c>
      <c r="F259" s="89">
        <v>45382</v>
      </c>
      <c r="G259" s="18"/>
    </row>
    <row r="260" spans="1:7" ht="15.75" thickBot="1">
      <c r="B260" s="4"/>
      <c r="C260" s="19"/>
      <c r="D260" s="19"/>
      <c r="E260" s="20"/>
      <c r="F260" s="21"/>
      <c r="G260" s="18"/>
    </row>
    <row r="261" spans="1:7" ht="18.75" thickBot="1">
      <c r="B261" s="4"/>
      <c r="C261" s="22" t="s">
        <v>10</v>
      </c>
      <c r="D261" s="23"/>
      <c r="E261" s="24"/>
      <c r="F261" s="25" t="s">
        <v>11</v>
      </c>
      <c r="G261" s="18"/>
    </row>
    <row r="262" spans="1:7">
      <c r="B262" s="4"/>
      <c r="C262" s="26" t="s">
        <v>12</v>
      </c>
      <c r="D262" s="26"/>
      <c r="E262" s="27">
        <v>13761.81686677687</v>
      </c>
      <c r="F262" s="28">
        <v>13761.81686677687</v>
      </c>
      <c r="G262" s="29"/>
    </row>
    <row r="263" spans="1:7">
      <c r="B263" s="30">
        <v>143</v>
      </c>
      <c r="C263" s="31" t="s">
        <v>13</v>
      </c>
      <c r="D263" s="31"/>
      <c r="E263" s="27">
        <v>4578.6174545454505</v>
      </c>
      <c r="F263" s="32">
        <v>4578.6174545454505</v>
      </c>
      <c r="G263" s="33"/>
    </row>
    <row r="264" spans="1:7">
      <c r="B264" s="30"/>
      <c r="C264" s="34" t="s">
        <v>14</v>
      </c>
      <c r="D264" s="34"/>
      <c r="E264" s="27">
        <v>0</v>
      </c>
      <c r="F264" s="32">
        <v>0</v>
      </c>
      <c r="G264" s="33"/>
    </row>
    <row r="265" spans="1:7">
      <c r="B265" s="30"/>
      <c r="C265" s="34" t="s">
        <v>15</v>
      </c>
      <c r="D265" s="34"/>
      <c r="E265" s="27">
        <v>0</v>
      </c>
      <c r="F265" s="32">
        <v>0</v>
      </c>
      <c r="G265" s="33"/>
    </row>
    <row r="266" spans="1:7">
      <c r="B266" s="30"/>
      <c r="C266" s="34" t="s">
        <v>16</v>
      </c>
      <c r="D266" s="34"/>
      <c r="E266" s="27">
        <v>0</v>
      </c>
      <c r="F266" s="32">
        <v>0</v>
      </c>
      <c r="G266" s="33"/>
    </row>
    <row r="267" spans="1:7">
      <c r="B267" s="30"/>
      <c r="C267" s="34" t="s">
        <v>17</v>
      </c>
      <c r="D267" s="34"/>
      <c r="E267" s="27">
        <v>0</v>
      </c>
      <c r="F267" s="32">
        <v>0</v>
      </c>
      <c r="G267" s="33"/>
    </row>
    <row r="268" spans="1:7">
      <c r="B268" s="30"/>
      <c r="C268" s="35" t="s">
        <v>18</v>
      </c>
      <c r="D268" s="35"/>
      <c r="E268" s="36">
        <v>18340.434321322318</v>
      </c>
      <c r="F268" s="37">
        <v>18340.434321322318</v>
      </c>
      <c r="G268" s="38"/>
    </row>
    <row r="269" spans="1:7" ht="15.75" thickBot="1">
      <c r="B269" s="30"/>
      <c r="C269" s="39"/>
      <c r="D269" s="39"/>
      <c r="E269" s="40"/>
      <c r="F269" s="41"/>
      <c r="G269" s="38"/>
    </row>
    <row r="270" spans="1:7" ht="18.75" thickBot="1">
      <c r="B270" s="30"/>
      <c r="C270" s="22" t="s">
        <v>19</v>
      </c>
      <c r="D270" s="23"/>
      <c r="E270" s="42"/>
      <c r="F270" s="43"/>
      <c r="G270" s="38"/>
    </row>
    <row r="271" spans="1:7">
      <c r="B271" s="44">
        <v>121</v>
      </c>
      <c r="C271" s="39" t="s">
        <v>20</v>
      </c>
      <c r="D271" s="39"/>
      <c r="E271" s="45"/>
      <c r="F271" s="46"/>
      <c r="G271" s="47"/>
    </row>
    <row r="272" spans="1:7">
      <c r="B272" s="44"/>
      <c r="C272" s="48" t="s">
        <v>21</v>
      </c>
      <c r="D272" s="48"/>
      <c r="E272" s="49">
        <v>0</v>
      </c>
      <c r="F272" s="50">
        <v>0</v>
      </c>
      <c r="G272" s="47"/>
    </row>
    <row r="273" spans="2:7">
      <c r="B273" s="44"/>
      <c r="C273" s="48" t="s">
        <v>22</v>
      </c>
      <c r="D273" s="48"/>
      <c r="E273" s="49">
        <v>0</v>
      </c>
      <c r="F273" s="50">
        <v>0</v>
      </c>
      <c r="G273" s="47"/>
    </row>
    <row r="274" spans="2:7">
      <c r="B274" s="51"/>
      <c r="C274" s="48" t="s">
        <v>23</v>
      </c>
      <c r="D274" s="48"/>
      <c r="E274" s="49">
        <v>0</v>
      </c>
      <c r="F274" s="50">
        <v>0</v>
      </c>
      <c r="G274" s="52"/>
    </row>
    <row r="275" spans="2:7">
      <c r="B275" s="51"/>
      <c r="C275" s="48" t="s">
        <v>24</v>
      </c>
      <c r="D275" s="48"/>
      <c r="E275" s="49">
        <v>814.0011054545447</v>
      </c>
      <c r="F275" s="50">
        <v>814.0011054545447</v>
      </c>
      <c r="G275" s="52"/>
    </row>
    <row r="276" spans="2:7">
      <c r="B276" s="44"/>
      <c r="C276" s="48" t="s">
        <v>25</v>
      </c>
      <c r="D276" s="48"/>
      <c r="E276" s="49">
        <v>0</v>
      </c>
      <c r="F276" s="50">
        <v>0</v>
      </c>
      <c r="G276" s="52"/>
    </row>
    <row r="277" spans="2:7">
      <c r="B277" s="44"/>
      <c r="C277" s="53" t="s">
        <v>26</v>
      </c>
      <c r="D277" s="53"/>
      <c r="E277" s="36">
        <v>814.0011054545447</v>
      </c>
      <c r="F277" s="54">
        <v>814.0011054545447</v>
      </c>
      <c r="G277" s="52"/>
    </row>
    <row r="278" spans="2:7">
      <c r="B278" s="44">
        <v>122</v>
      </c>
      <c r="C278" s="39" t="s">
        <v>27</v>
      </c>
      <c r="D278" s="39"/>
      <c r="E278" s="36"/>
      <c r="F278" s="50"/>
      <c r="G278" s="55"/>
    </row>
    <row r="279" spans="2:7">
      <c r="B279" s="44"/>
      <c r="C279" s="48" t="s">
        <v>28</v>
      </c>
      <c r="D279" s="48"/>
      <c r="E279" s="49">
        <v>0</v>
      </c>
      <c r="F279" s="50">
        <v>0</v>
      </c>
      <c r="G279" s="52"/>
    </row>
    <row r="280" spans="2:7">
      <c r="B280" s="44"/>
      <c r="C280" s="48" t="s">
        <v>29</v>
      </c>
      <c r="D280" s="48"/>
      <c r="E280" s="49">
        <v>0</v>
      </c>
      <c r="F280" s="50">
        <v>0</v>
      </c>
      <c r="G280" s="52"/>
    </row>
    <row r="281" spans="2:7">
      <c r="B281" s="44"/>
      <c r="C281" s="48" t="s">
        <v>30</v>
      </c>
      <c r="D281" s="48"/>
      <c r="E281" s="49">
        <v>0</v>
      </c>
      <c r="F281" s="50">
        <v>0</v>
      </c>
      <c r="G281" s="52"/>
    </row>
    <row r="282" spans="2:7">
      <c r="B282" s="44"/>
      <c r="C282" s="48" t="s">
        <v>31</v>
      </c>
      <c r="D282" s="48"/>
      <c r="E282" s="49">
        <v>0</v>
      </c>
      <c r="F282" s="50">
        <v>0</v>
      </c>
      <c r="G282" s="52"/>
    </row>
    <row r="283" spans="2:7">
      <c r="B283" s="44"/>
      <c r="C283" s="48" t="s">
        <v>32</v>
      </c>
      <c r="D283" s="48"/>
      <c r="E283" s="49">
        <v>271.33370181818157</v>
      </c>
      <c r="F283" s="50">
        <v>271.33370181818157</v>
      </c>
      <c r="G283" s="52"/>
    </row>
    <row r="284" spans="2:7">
      <c r="B284" s="44"/>
      <c r="C284" s="48" t="s">
        <v>33</v>
      </c>
      <c r="D284" s="48"/>
      <c r="E284" s="49">
        <v>0</v>
      </c>
      <c r="F284" s="50">
        <v>0</v>
      </c>
      <c r="G284" s="52"/>
    </row>
    <row r="285" spans="2:7">
      <c r="B285" s="44"/>
      <c r="C285" s="48" t="s">
        <v>34</v>
      </c>
      <c r="D285" s="48"/>
      <c r="E285" s="49">
        <v>0</v>
      </c>
      <c r="F285" s="50">
        <v>0</v>
      </c>
      <c r="G285" s="52"/>
    </row>
    <row r="286" spans="2:7">
      <c r="B286" s="44"/>
      <c r="C286" s="48" t="s">
        <v>35</v>
      </c>
      <c r="D286" s="48"/>
      <c r="E286" s="49">
        <v>0</v>
      </c>
      <c r="F286" s="50">
        <v>0</v>
      </c>
      <c r="G286" s="52"/>
    </row>
    <row r="287" spans="2:7">
      <c r="B287" s="44"/>
      <c r="C287" s="53" t="s">
        <v>26</v>
      </c>
      <c r="D287" s="53"/>
      <c r="E287" s="36">
        <v>271.33370181818157</v>
      </c>
      <c r="F287" s="54">
        <v>271.33370181818157</v>
      </c>
      <c r="G287" s="52"/>
    </row>
    <row r="288" spans="2:7">
      <c r="B288" s="44">
        <v>123</v>
      </c>
      <c r="C288" s="39" t="s">
        <v>36</v>
      </c>
      <c r="D288" s="39"/>
      <c r="E288" s="56"/>
      <c r="F288" s="57"/>
      <c r="G288" s="52"/>
    </row>
    <row r="289" spans="2:7">
      <c r="B289" s="44"/>
      <c r="C289" s="48" t="s">
        <v>37</v>
      </c>
      <c r="D289" s="48"/>
      <c r="E289" s="49">
        <v>222.00030148760285</v>
      </c>
      <c r="F289" s="50">
        <v>222.00030148760285</v>
      </c>
      <c r="G289" s="52"/>
    </row>
    <row r="290" spans="2:7">
      <c r="B290" s="44"/>
      <c r="C290" s="48" t="s">
        <v>38</v>
      </c>
      <c r="D290" s="48"/>
      <c r="E290" s="49">
        <v>1825.3358122314014</v>
      </c>
      <c r="F290" s="50">
        <v>1825.3358122314014</v>
      </c>
      <c r="G290" s="52"/>
    </row>
    <row r="291" spans="2:7">
      <c r="B291" s="44"/>
      <c r="C291" s="48" t="s">
        <v>39</v>
      </c>
      <c r="D291" s="48"/>
      <c r="E291" s="49">
        <v>222.00030148760285</v>
      </c>
      <c r="F291" s="50">
        <v>222.00030148760285</v>
      </c>
      <c r="G291" s="52"/>
    </row>
    <row r="292" spans="2:7">
      <c r="B292" s="44"/>
      <c r="C292" s="48" t="s">
        <v>40</v>
      </c>
      <c r="D292" s="48"/>
      <c r="E292" s="49">
        <v>0</v>
      </c>
      <c r="F292" s="50">
        <v>0</v>
      </c>
      <c r="G292" s="52"/>
    </row>
    <row r="293" spans="2:7">
      <c r="B293" s="44"/>
      <c r="C293" s="48" t="s">
        <v>41</v>
      </c>
      <c r="D293" s="48"/>
      <c r="E293" s="49">
        <v>0</v>
      </c>
      <c r="F293" s="50">
        <v>0</v>
      </c>
      <c r="G293" s="52"/>
    </row>
    <row r="294" spans="2:7">
      <c r="B294" s="44"/>
      <c r="C294" s="48" t="s">
        <v>42</v>
      </c>
      <c r="D294" s="48"/>
      <c r="E294" s="49">
        <v>444.00060297520571</v>
      </c>
      <c r="F294" s="50">
        <v>444.00060297520571</v>
      </c>
      <c r="G294" s="52"/>
    </row>
    <row r="295" spans="2:7">
      <c r="B295" s="44"/>
      <c r="C295" s="53" t="s">
        <v>26</v>
      </c>
      <c r="D295" s="53"/>
      <c r="E295" s="36">
        <v>2713.3370181818127</v>
      </c>
      <c r="F295" s="54">
        <v>2713.3370181818127</v>
      </c>
      <c r="G295" s="52"/>
    </row>
    <row r="296" spans="2:7">
      <c r="B296" s="44">
        <v>124</v>
      </c>
      <c r="C296" s="39" t="s">
        <v>43</v>
      </c>
      <c r="D296" s="39"/>
      <c r="E296" s="56"/>
      <c r="F296" s="57"/>
      <c r="G296" s="52"/>
    </row>
    <row r="297" spans="2:7">
      <c r="B297" s="44"/>
      <c r="C297" s="48" t="s">
        <v>44</v>
      </c>
      <c r="D297" s="48"/>
      <c r="E297" s="49">
        <v>0</v>
      </c>
      <c r="F297" s="50">
        <v>0</v>
      </c>
      <c r="G297" s="52"/>
    </row>
    <row r="298" spans="2:7">
      <c r="B298" s="44"/>
      <c r="C298" s="48" t="s">
        <v>45</v>
      </c>
      <c r="D298" s="48"/>
      <c r="E298" s="49">
        <v>2102.8361890909068</v>
      </c>
      <c r="F298" s="50">
        <v>2102.8361890909068</v>
      </c>
      <c r="G298" s="52"/>
    </row>
    <row r="299" spans="2:7">
      <c r="B299" s="44"/>
      <c r="C299" s="48" t="s">
        <v>46</v>
      </c>
      <c r="D299" s="48"/>
      <c r="E299" s="49">
        <v>0</v>
      </c>
      <c r="F299" s="50">
        <v>0</v>
      </c>
      <c r="G299" s="52"/>
    </row>
    <row r="300" spans="2:7">
      <c r="B300" s="44"/>
      <c r="C300" s="53" t="s">
        <v>26</v>
      </c>
      <c r="D300" s="53"/>
      <c r="E300" s="36">
        <v>2102.8361890909068</v>
      </c>
      <c r="F300" s="54">
        <v>2102.8361890909068</v>
      </c>
      <c r="G300" s="52"/>
    </row>
    <row r="301" spans="2:7">
      <c r="B301" s="44">
        <v>125</v>
      </c>
      <c r="C301" s="39" t="s">
        <v>47</v>
      </c>
      <c r="D301" s="39"/>
      <c r="E301" s="36"/>
      <c r="F301" s="50"/>
      <c r="G301" s="52"/>
    </row>
    <row r="302" spans="2:7">
      <c r="B302" s="44"/>
      <c r="C302" s="48" t="s">
        <v>48</v>
      </c>
      <c r="D302" s="48"/>
      <c r="E302" s="58">
        <v>0</v>
      </c>
      <c r="F302" s="50">
        <v>0</v>
      </c>
      <c r="G302" s="52"/>
    </row>
    <row r="303" spans="2:7">
      <c r="B303" s="44"/>
      <c r="C303" s="48" t="s">
        <v>49</v>
      </c>
      <c r="D303" s="48"/>
      <c r="E303" s="58">
        <v>0</v>
      </c>
      <c r="F303" s="50">
        <v>0</v>
      </c>
      <c r="G303" s="52"/>
    </row>
    <row r="304" spans="2:7">
      <c r="B304" s="44"/>
      <c r="C304" s="48" t="s">
        <v>50</v>
      </c>
      <c r="D304" s="48"/>
      <c r="E304" s="58">
        <v>881.83453090909018</v>
      </c>
      <c r="F304" s="50">
        <v>881.83453090909018</v>
      </c>
      <c r="G304" s="52"/>
    </row>
    <row r="305" spans="2:7">
      <c r="B305" s="44"/>
      <c r="C305" s="48" t="s">
        <v>51</v>
      </c>
      <c r="D305" s="48"/>
      <c r="E305" s="58">
        <v>0</v>
      </c>
      <c r="F305" s="50">
        <v>0</v>
      </c>
      <c r="G305" s="52"/>
    </row>
    <row r="306" spans="2:7">
      <c r="B306" s="44"/>
      <c r="C306" s="53" t="s">
        <v>26</v>
      </c>
      <c r="D306" s="53"/>
      <c r="E306" s="56">
        <v>881.83453090909018</v>
      </c>
      <c r="F306" s="54">
        <v>881.83453090909018</v>
      </c>
      <c r="G306" s="52"/>
    </row>
    <row r="307" spans="2:7">
      <c r="B307" s="44">
        <v>126</v>
      </c>
      <c r="C307" s="39" t="s">
        <v>52</v>
      </c>
      <c r="D307" s="39"/>
      <c r="E307" s="56"/>
      <c r="F307" s="50"/>
      <c r="G307" s="52"/>
    </row>
    <row r="308" spans="2:7">
      <c r="B308" s="44"/>
      <c r="C308" s="48" t="s">
        <v>53</v>
      </c>
      <c r="D308" s="48"/>
      <c r="E308" s="49">
        <v>0</v>
      </c>
      <c r="F308" s="50">
        <v>0</v>
      </c>
      <c r="G308" s="52"/>
    </row>
    <row r="309" spans="2:7">
      <c r="B309" s="44"/>
      <c r="C309" s="48" t="s">
        <v>54</v>
      </c>
      <c r="D309" s="48"/>
      <c r="E309" s="49">
        <v>0</v>
      </c>
      <c r="F309" s="50"/>
      <c r="G309" s="52"/>
    </row>
    <row r="310" spans="2:7">
      <c r="B310" s="44"/>
      <c r="C310" s="48" t="s">
        <v>55</v>
      </c>
      <c r="D310" s="48"/>
      <c r="E310" s="49">
        <v>0</v>
      </c>
      <c r="F310" s="50"/>
      <c r="G310" s="52"/>
    </row>
    <row r="311" spans="2:7">
      <c r="B311" s="44"/>
      <c r="C311" s="48" t="s">
        <v>56</v>
      </c>
      <c r="D311" s="48"/>
      <c r="E311" s="49">
        <v>0</v>
      </c>
      <c r="F311" s="57"/>
      <c r="G311" s="52"/>
    </row>
    <row r="312" spans="2:7">
      <c r="B312" s="44"/>
      <c r="C312" s="53" t="s">
        <v>26</v>
      </c>
      <c r="D312" s="53"/>
      <c r="E312" s="56">
        <v>0</v>
      </c>
      <c r="F312" s="54">
        <v>0</v>
      </c>
      <c r="G312" s="52"/>
    </row>
    <row r="313" spans="2:7">
      <c r="B313" s="44">
        <v>127</v>
      </c>
      <c r="C313" s="39" t="s">
        <v>57</v>
      </c>
      <c r="D313" s="39"/>
      <c r="E313" s="56"/>
      <c r="F313" s="54"/>
      <c r="G313" s="52"/>
    </row>
    <row r="314" spans="2:7">
      <c r="B314" s="44"/>
      <c r="C314" s="48" t="s">
        <v>58</v>
      </c>
      <c r="D314" s="48"/>
      <c r="E314" s="49">
        <v>0</v>
      </c>
      <c r="F314" s="50">
        <v>0</v>
      </c>
      <c r="G314" s="52"/>
    </row>
    <row r="315" spans="2:7">
      <c r="B315" s="44"/>
      <c r="C315" s="48" t="s">
        <v>59</v>
      </c>
      <c r="D315" s="48"/>
      <c r="E315" s="49">
        <v>0</v>
      </c>
      <c r="F315" s="50">
        <v>0</v>
      </c>
      <c r="G315" s="52"/>
    </row>
    <row r="316" spans="2:7">
      <c r="B316" s="44"/>
      <c r="C316" s="48" t="s">
        <v>60</v>
      </c>
      <c r="D316" s="48"/>
      <c r="E316" s="49">
        <v>0</v>
      </c>
      <c r="F316" s="50">
        <v>0</v>
      </c>
      <c r="G316" s="52"/>
    </row>
    <row r="317" spans="2:7">
      <c r="B317" s="44"/>
      <c r="C317" s="59" t="s">
        <v>61</v>
      </c>
      <c r="D317" s="59"/>
      <c r="E317" s="49">
        <v>0</v>
      </c>
      <c r="F317" s="50">
        <v>0</v>
      </c>
      <c r="G317" s="52"/>
    </row>
    <row r="318" spans="2:7">
      <c r="B318" s="44"/>
      <c r="C318" s="53" t="s">
        <v>26</v>
      </c>
      <c r="D318" s="53"/>
      <c r="E318" s="56">
        <v>0</v>
      </c>
      <c r="F318" s="54">
        <v>0</v>
      </c>
      <c r="G318" s="52"/>
    </row>
    <row r="319" spans="2:7">
      <c r="B319" s="44">
        <v>128</v>
      </c>
      <c r="C319" s="39" t="s">
        <v>62</v>
      </c>
      <c r="D319" s="39"/>
      <c r="E319" s="56"/>
      <c r="F319" s="54"/>
      <c r="G319" s="52"/>
    </row>
    <row r="320" spans="2:7">
      <c r="B320" s="44"/>
      <c r="C320" s="48" t="s">
        <v>63</v>
      </c>
      <c r="D320" s="48"/>
      <c r="E320" s="49">
        <v>0</v>
      </c>
      <c r="F320" s="50">
        <v>0</v>
      </c>
      <c r="G320" s="52"/>
    </row>
    <row r="321" spans="2:7">
      <c r="B321" s="44"/>
      <c r="C321" s="48" t="s">
        <v>64</v>
      </c>
      <c r="D321" s="48"/>
      <c r="E321" s="49">
        <v>0</v>
      </c>
      <c r="F321" s="50">
        <v>0</v>
      </c>
      <c r="G321" s="52"/>
    </row>
    <row r="322" spans="2:7">
      <c r="B322" s="44"/>
      <c r="C322" s="48" t="s">
        <v>65</v>
      </c>
      <c r="D322" s="48"/>
      <c r="E322" s="49">
        <v>0</v>
      </c>
      <c r="F322" s="50">
        <v>0</v>
      </c>
      <c r="G322" s="52"/>
    </row>
    <row r="323" spans="2:7">
      <c r="B323" s="44"/>
      <c r="C323" s="48" t="s">
        <v>66</v>
      </c>
      <c r="D323" s="48"/>
      <c r="E323" s="49">
        <v>0</v>
      </c>
      <c r="F323" s="50">
        <v>0</v>
      </c>
      <c r="G323" s="52"/>
    </row>
    <row r="324" spans="2:7">
      <c r="B324" s="44"/>
      <c r="C324" s="48" t="s">
        <v>67</v>
      </c>
      <c r="D324" s="48"/>
      <c r="E324" s="49">
        <v>0</v>
      </c>
      <c r="F324" s="50">
        <v>0</v>
      </c>
      <c r="G324" s="52"/>
    </row>
    <row r="325" spans="2:7">
      <c r="B325" s="44"/>
      <c r="C325" s="53" t="s">
        <v>26</v>
      </c>
      <c r="D325" s="53"/>
      <c r="E325" s="56">
        <v>0</v>
      </c>
      <c r="F325" s="54">
        <v>0</v>
      </c>
      <c r="G325" s="52"/>
    </row>
    <row r="326" spans="2:7">
      <c r="B326" s="44">
        <v>135</v>
      </c>
      <c r="C326" s="39" t="s">
        <v>68</v>
      </c>
      <c r="D326" s="39"/>
      <c r="E326" s="56"/>
      <c r="F326" s="50"/>
      <c r="G326" s="52"/>
    </row>
    <row r="327" spans="2:7">
      <c r="B327" s="44"/>
      <c r="C327" s="48" t="s">
        <v>69</v>
      </c>
      <c r="D327" s="48"/>
      <c r="E327" s="49">
        <v>0</v>
      </c>
      <c r="F327" s="50">
        <v>0</v>
      </c>
      <c r="G327" s="52"/>
    </row>
    <row r="328" spans="2:7">
      <c r="B328" s="44"/>
      <c r="C328" s="48" t="s">
        <v>70</v>
      </c>
      <c r="D328" s="48"/>
      <c r="E328" s="49">
        <v>0</v>
      </c>
      <c r="F328" s="50">
        <v>0</v>
      </c>
      <c r="G328" s="52"/>
    </row>
    <row r="329" spans="2:7">
      <c r="B329" s="44"/>
      <c r="C329" s="48" t="s">
        <v>71</v>
      </c>
      <c r="D329" s="48"/>
      <c r="E329" s="49">
        <v>0</v>
      </c>
      <c r="F329" s="50">
        <v>0</v>
      </c>
      <c r="G329" s="52"/>
    </row>
    <row r="330" spans="2:7">
      <c r="B330" s="44"/>
      <c r="C330" s="48" t="s">
        <v>72</v>
      </c>
      <c r="D330" s="48"/>
      <c r="E330" s="49">
        <v>0</v>
      </c>
      <c r="F330" s="50">
        <v>0</v>
      </c>
      <c r="G330" s="52"/>
    </row>
    <row r="331" spans="2:7">
      <c r="B331" s="44"/>
      <c r="C331" s="48" t="s">
        <v>73</v>
      </c>
      <c r="D331" s="48"/>
      <c r="E331" s="49">
        <v>0</v>
      </c>
      <c r="F331" s="50">
        <v>0</v>
      </c>
      <c r="G331" s="52"/>
    </row>
    <row r="332" spans="2:7">
      <c r="B332" s="44"/>
      <c r="C332" s="48" t="s">
        <v>74</v>
      </c>
      <c r="D332" s="48"/>
      <c r="E332" s="49">
        <v>0</v>
      </c>
      <c r="F332" s="50">
        <v>0</v>
      </c>
      <c r="G332" s="52"/>
    </row>
    <row r="333" spans="2:7">
      <c r="B333" s="44"/>
      <c r="C333" s="48" t="s">
        <v>75</v>
      </c>
      <c r="D333" s="48"/>
      <c r="E333" s="49">
        <v>0</v>
      </c>
      <c r="F333" s="50">
        <v>0</v>
      </c>
      <c r="G333" s="52"/>
    </row>
    <row r="334" spans="2:7">
      <c r="B334" s="44"/>
      <c r="C334" s="48" t="s">
        <v>76</v>
      </c>
      <c r="D334" s="48"/>
      <c r="E334" s="49">
        <v>0</v>
      </c>
      <c r="F334" s="50">
        <v>0</v>
      </c>
      <c r="G334" s="52"/>
    </row>
    <row r="335" spans="2:7">
      <c r="B335" s="44"/>
      <c r="C335" s="48" t="s">
        <v>77</v>
      </c>
      <c r="D335" s="48"/>
      <c r="E335" s="49">
        <v>0</v>
      </c>
      <c r="F335" s="50">
        <v>0</v>
      </c>
      <c r="G335" s="52"/>
    </row>
    <row r="336" spans="2:7">
      <c r="B336" s="44"/>
      <c r="C336" s="53" t="s">
        <v>26</v>
      </c>
      <c r="D336" s="53"/>
      <c r="E336" s="56">
        <v>0</v>
      </c>
      <c r="F336" s="54">
        <v>0</v>
      </c>
      <c r="G336" s="52"/>
    </row>
    <row r="337" spans="2:7">
      <c r="B337" s="44">
        <v>136</v>
      </c>
      <c r="C337" s="39" t="s">
        <v>78</v>
      </c>
      <c r="D337" s="39"/>
      <c r="E337" s="56"/>
      <c r="F337" s="50"/>
      <c r="G337" s="52"/>
    </row>
    <row r="338" spans="2:7">
      <c r="B338" s="44"/>
      <c r="C338" s="48" t="s">
        <v>79</v>
      </c>
      <c r="D338" s="48"/>
      <c r="E338" s="49">
        <v>0</v>
      </c>
      <c r="F338" s="50">
        <v>0</v>
      </c>
      <c r="G338" s="52"/>
    </row>
    <row r="339" spans="2:7">
      <c r="B339" s="44"/>
      <c r="C339" s="48" t="s">
        <v>80</v>
      </c>
      <c r="D339" s="48"/>
      <c r="E339" s="49">
        <v>0</v>
      </c>
      <c r="F339" s="50">
        <v>0</v>
      </c>
      <c r="G339" s="52"/>
    </row>
    <row r="340" spans="2:7">
      <c r="B340" s="44"/>
      <c r="C340" s="48" t="s">
        <v>81</v>
      </c>
      <c r="D340" s="48"/>
      <c r="E340" s="49">
        <v>0</v>
      </c>
      <c r="F340" s="50">
        <v>0</v>
      </c>
      <c r="G340" s="52"/>
    </row>
    <row r="341" spans="2:7">
      <c r="B341" s="44"/>
      <c r="C341" s="48" t="s">
        <v>82</v>
      </c>
      <c r="D341" s="48"/>
      <c r="E341" s="49">
        <v>0</v>
      </c>
      <c r="F341" s="50">
        <v>0</v>
      </c>
      <c r="G341" s="52"/>
    </row>
    <row r="342" spans="2:7">
      <c r="B342" s="44"/>
      <c r="C342" s="48" t="s">
        <v>83</v>
      </c>
      <c r="D342" s="48"/>
      <c r="E342" s="49">
        <v>0</v>
      </c>
      <c r="F342" s="50">
        <v>0</v>
      </c>
      <c r="G342" s="52"/>
    </row>
    <row r="343" spans="2:7">
      <c r="B343" s="44"/>
      <c r="C343" s="48" t="s">
        <v>84</v>
      </c>
      <c r="D343" s="48"/>
      <c r="E343" s="49">
        <v>0</v>
      </c>
      <c r="F343" s="50">
        <v>0</v>
      </c>
      <c r="G343" s="52"/>
    </row>
    <row r="344" spans="2:7">
      <c r="B344" s="44"/>
      <c r="C344" s="53" t="s">
        <v>26</v>
      </c>
      <c r="D344" s="53"/>
      <c r="E344" s="56">
        <v>0</v>
      </c>
      <c r="F344" s="54">
        <v>0</v>
      </c>
      <c r="G344" s="52"/>
    </row>
    <row r="345" spans="2:7">
      <c r="B345" s="44">
        <v>142</v>
      </c>
      <c r="C345" s="39" t="s">
        <v>85</v>
      </c>
      <c r="D345" s="39"/>
      <c r="E345" s="56"/>
      <c r="F345" s="50"/>
      <c r="G345" s="52"/>
    </row>
    <row r="346" spans="2:7">
      <c r="B346" s="44"/>
      <c r="C346" s="48" t="s">
        <v>86</v>
      </c>
      <c r="D346" s="48"/>
      <c r="E346" s="49">
        <v>0</v>
      </c>
      <c r="F346" s="50">
        <v>0</v>
      </c>
      <c r="G346" s="52"/>
    </row>
    <row r="347" spans="2:7">
      <c r="B347" s="44"/>
      <c r="C347" s="48" t="s">
        <v>87</v>
      </c>
      <c r="D347" s="48"/>
      <c r="E347" s="49">
        <v>0</v>
      </c>
      <c r="F347" s="50">
        <v>0</v>
      </c>
      <c r="G347" s="52"/>
    </row>
    <row r="348" spans="2:7">
      <c r="B348" s="44"/>
      <c r="C348" s="53" t="s">
        <v>26</v>
      </c>
      <c r="D348" s="53"/>
      <c r="E348" s="56">
        <v>0</v>
      </c>
      <c r="F348" s="54">
        <v>0</v>
      </c>
      <c r="G348" s="52"/>
    </row>
    <row r="349" spans="2:7">
      <c r="B349" s="44">
        <v>144</v>
      </c>
      <c r="C349" s="39" t="s">
        <v>88</v>
      </c>
      <c r="D349" s="39"/>
      <c r="E349" s="49">
        <v>0</v>
      </c>
      <c r="F349" s="54">
        <v>0</v>
      </c>
      <c r="G349" s="52"/>
    </row>
    <row r="350" spans="2:7">
      <c r="B350" s="44">
        <v>221</v>
      </c>
      <c r="C350" s="39" t="s">
        <v>89</v>
      </c>
      <c r="D350" s="39"/>
      <c r="E350" s="49">
        <v>0</v>
      </c>
      <c r="F350" s="54">
        <v>0</v>
      </c>
      <c r="G350" s="52"/>
    </row>
    <row r="351" spans="2:7">
      <c r="B351" s="44">
        <v>222</v>
      </c>
      <c r="C351" s="39" t="s">
        <v>90</v>
      </c>
      <c r="D351" s="39"/>
      <c r="E351" s="49">
        <v>0</v>
      </c>
      <c r="F351" s="54">
        <v>0</v>
      </c>
      <c r="G351" s="52"/>
    </row>
    <row r="352" spans="2:7">
      <c r="B352" s="44">
        <v>224</v>
      </c>
      <c r="C352" s="39" t="s">
        <v>91</v>
      </c>
      <c r="D352" s="39"/>
      <c r="E352" s="49">
        <v>0</v>
      </c>
      <c r="F352" s="54">
        <v>0</v>
      </c>
      <c r="G352" s="52"/>
    </row>
    <row r="353" spans="2:7">
      <c r="B353" s="44">
        <v>225</v>
      </c>
      <c r="C353" s="39" t="s">
        <v>92</v>
      </c>
      <c r="D353" s="39"/>
      <c r="E353" s="49">
        <v>0</v>
      </c>
      <c r="F353" s="54">
        <v>0</v>
      </c>
      <c r="G353" s="38"/>
    </row>
    <row r="354" spans="2:7">
      <c r="B354" s="44">
        <v>226</v>
      </c>
      <c r="C354" s="39" t="s">
        <v>93</v>
      </c>
      <c r="D354" s="39"/>
      <c r="E354" s="49">
        <v>0</v>
      </c>
      <c r="F354" s="54">
        <v>0</v>
      </c>
      <c r="G354" s="60"/>
    </row>
    <row r="355" spans="2:7" ht="15.75" thickBot="1">
      <c r="B355" s="61"/>
      <c r="C355" s="62" t="s">
        <v>94</v>
      </c>
      <c r="D355" s="62"/>
      <c r="E355" s="94">
        <v>0</v>
      </c>
      <c r="F355" s="63">
        <v>0</v>
      </c>
      <c r="G355" s="38"/>
    </row>
    <row r="356" spans="2:7">
      <c r="B356" s="64"/>
      <c r="C356" s="65" t="s">
        <v>95</v>
      </c>
      <c r="D356" s="66"/>
      <c r="E356" s="67">
        <v>6783.3425454545359</v>
      </c>
      <c r="F356" s="68">
        <v>6783.3425454545359</v>
      </c>
      <c r="G356" s="69"/>
    </row>
    <row r="357" spans="2:7" ht="15.75" thickBot="1">
      <c r="B357" s="64"/>
      <c r="C357" s="70"/>
      <c r="D357" s="71"/>
      <c r="E357" s="72"/>
      <c r="F357" s="73"/>
      <c r="G357" s="69"/>
    </row>
    <row r="358" spans="2:7" ht="15.75" thickBot="1">
      <c r="B358" s="64"/>
      <c r="C358" s="70" t="s">
        <v>96</v>
      </c>
      <c r="D358" s="71"/>
      <c r="E358" s="74">
        <v>11557.091775867782</v>
      </c>
      <c r="F358" s="75">
        <v>11557.091775867782</v>
      </c>
      <c r="G358" s="76"/>
    </row>
    <row r="359" spans="2:7" ht="8.25" customHeight="1" thickBot="1">
      <c r="B359" s="77"/>
      <c r="C359" s="81"/>
      <c r="D359" s="81"/>
      <c r="E359" s="78"/>
      <c r="F359" s="78"/>
      <c r="G359" s="79"/>
    </row>
    <row r="360" spans="2:7">
      <c r="B360" s="85"/>
      <c r="C360" s="84"/>
      <c r="D360" s="84"/>
      <c r="E360" s="85"/>
      <c r="F360" s="85"/>
      <c r="G360" s="85"/>
    </row>
  </sheetData>
  <mergeCells count="3">
    <mergeCell ref="C8:E8"/>
    <mergeCell ref="C128:E128"/>
    <mergeCell ref="C248:E248"/>
  </mergeCells>
  <dataValidations count="1">
    <dataValidation type="list" allowBlank="1" showInputMessage="1" showErrorMessage="1" sqref="C136 C16 C256" xr:uid="{81F194B7-7008-411C-A7EA-AB38A5625DD8}">
      <formula1>FacList</formula1>
    </dataValidation>
  </dataValidations>
  <hyperlinks>
    <hyperlink ref="F12" r:id="rId1" xr:uid="{EF7B7E86-1D4C-4F69-AC93-4E9F40128C9F}"/>
    <hyperlink ref="F132" r:id="rId2" xr:uid="{4A89820F-B85D-4002-881A-22ACEA04FF01}"/>
    <hyperlink ref="F252" r:id="rId3" xr:uid="{C74A9535-4EB2-4F29-B4D5-14B83895E9F7}"/>
  </hyperlinks>
  <pageMargins left="0.7" right="0.7" top="0.75" bottom="0.75" header="0.3" footer="0.3"/>
  <drawing r:id="rId4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08F7-8C6D-46E1-A1A9-30FE5AB29E89}">
  <dimension ref="A1:G360"/>
  <sheetViews>
    <sheetView zoomScale="90" zoomScaleNormal="90" workbookViewId="0">
      <selection sqref="A1:XFD1048576"/>
    </sheetView>
  </sheetViews>
  <sheetFormatPr defaultColWidth="8.85546875" defaultRowHeight="15"/>
  <cols>
    <col min="1" max="1" width="1.140625" customWidth="1"/>
    <col min="2" max="2" width="27.42578125" customWidth="1"/>
    <col min="3" max="3" width="42.7109375" bestFit="1" customWidth="1"/>
    <col min="4" max="4" width="4" customWidth="1"/>
    <col min="5" max="5" width="25.42578125" customWidth="1"/>
    <col min="6" max="6" width="27.42578125" customWidth="1"/>
    <col min="7" max="7" width="4.7109375" customWidth="1"/>
  </cols>
  <sheetData>
    <row r="1" spans="1:7" ht="6" customHeight="1" thickBot="1"/>
    <row r="2" spans="1:7">
      <c r="B2" s="1"/>
      <c r="C2" s="2"/>
      <c r="D2" s="2"/>
      <c r="E2" s="2"/>
      <c r="F2" s="2"/>
      <c r="G2" s="3"/>
    </row>
    <row r="3" spans="1:7">
      <c r="B3" s="4"/>
      <c r="C3" s="5"/>
      <c r="D3" s="5"/>
      <c r="E3" s="5"/>
      <c r="F3" s="5"/>
      <c r="G3" s="6"/>
    </row>
    <row r="4" spans="1:7">
      <c r="B4" s="4"/>
      <c r="C4" s="5"/>
      <c r="D4" s="5"/>
      <c r="E4" s="5"/>
      <c r="F4" s="5"/>
      <c r="G4" s="6"/>
    </row>
    <row r="5" spans="1:7">
      <c r="B5" s="4"/>
      <c r="C5" s="5"/>
      <c r="D5" s="5"/>
      <c r="E5" s="5"/>
      <c r="F5" s="5"/>
      <c r="G5" s="6"/>
    </row>
    <row r="6" spans="1:7">
      <c r="B6" s="4"/>
      <c r="C6" s="5"/>
      <c r="D6" s="5"/>
      <c r="E6" s="5"/>
      <c r="F6" s="5"/>
      <c r="G6" s="6"/>
    </row>
    <row r="7" spans="1:7" ht="16.5" customHeight="1">
      <c r="B7" s="4"/>
      <c r="C7" s="5"/>
      <c r="D7" s="5"/>
      <c r="E7" s="5"/>
      <c r="F7" s="5"/>
      <c r="G7" s="6"/>
    </row>
    <row r="8" spans="1:7" ht="22.5" customHeight="1" thickBot="1">
      <c r="B8" s="4"/>
      <c r="C8" s="95" t="s">
        <v>0</v>
      </c>
      <c r="D8" s="95"/>
      <c r="E8" s="95"/>
      <c r="F8" s="5"/>
      <c r="G8" s="6"/>
    </row>
    <row r="9" spans="1:7" ht="21" thickTop="1">
      <c r="B9" s="4"/>
      <c r="C9" s="7"/>
      <c r="D9" s="7"/>
      <c r="E9" s="5"/>
      <c r="F9" s="5"/>
      <c r="G9" s="6"/>
    </row>
    <row r="10" spans="1:7">
      <c r="B10" s="8" t="s">
        <v>1</v>
      </c>
      <c r="C10" s="9" t="s">
        <v>97</v>
      </c>
      <c r="D10" s="5"/>
      <c r="E10" s="10" t="s">
        <v>2</v>
      </c>
      <c r="F10" s="9" t="s">
        <v>98</v>
      </c>
      <c r="G10" s="6"/>
    </row>
    <row r="11" spans="1:7" ht="3.75" customHeight="1">
      <c r="A11" s="80"/>
      <c r="B11" s="5"/>
      <c r="C11" s="5"/>
      <c r="D11" s="5"/>
      <c r="E11" s="11"/>
      <c r="F11" s="5"/>
      <c r="G11" s="6"/>
    </row>
    <row r="12" spans="1:7">
      <c r="A12" s="80"/>
      <c r="B12" s="12" t="s">
        <v>3</v>
      </c>
      <c r="C12" s="9" t="s">
        <v>99</v>
      </c>
      <c r="D12" s="5"/>
      <c r="E12" s="10" t="s">
        <v>4</v>
      </c>
      <c r="F12" s="82" t="s">
        <v>100</v>
      </c>
      <c r="G12" s="6"/>
    </row>
    <row r="13" spans="1:7" ht="3.75" customHeight="1">
      <c r="A13" s="80"/>
      <c r="B13" s="5"/>
      <c r="C13" s="5"/>
      <c r="D13" s="5"/>
      <c r="E13" s="11"/>
      <c r="F13" s="5"/>
      <c r="G13" s="6"/>
    </row>
    <row r="14" spans="1:7">
      <c r="A14" s="80"/>
      <c r="B14" s="10" t="s">
        <v>5</v>
      </c>
      <c r="C14" s="9" t="s">
        <v>101</v>
      </c>
      <c r="D14" s="5"/>
      <c r="E14" s="10" t="s">
        <v>6</v>
      </c>
      <c r="F14" s="9" t="s">
        <v>107</v>
      </c>
      <c r="G14" s="6"/>
    </row>
    <row r="15" spans="1:7" ht="4.5" customHeight="1">
      <c r="A15" s="80"/>
      <c r="B15" s="13"/>
      <c r="C15" s="5"/>
      <c r="D15" s="5"/>
      <c r="E15" s="11"/>
      <c r="F15" s="5"/>
      <c r="G15" s="6"/>
    </row>
    <row r="16" spans="1:7">
      <c r="A16" s="80"/>
      <c r="B16" s="10" t="s">
        <v>7</v>
      </c>
      <c r="C16" s="9" t="s">
        <v>126</v>
      </c>
      <c r="D16" s="5"/>
      <c r="E16" s="11"/>
      <c r="F16" s="5"/>
      <c r="G16" s="6"/>
    </row>
    <row r="17" spans="1:7" ht="3.75" customHeight="1">
      <c r="A17" s="80"/>
      <c r="B17" s="5"/>
      <c r="C17" s="5"/>
      <c r="D17" s="5"/>
      <c r="E17" s="11"/>
      <c r="F17" s="5"/>
      <c r="G17" s="6"/>
    </row>
    <row r="18" spans="1:7">
      <c r="B18" s="14" t="s">
        <v>8</v>
      </c>
      <c r="C18" s="15" t="s">
        <v>103</v>
      </c>
      <c r="D18" s="5"/>
      <c r="E18" s="86" t="s">
        <v>109</v>
      </c>
      <c r="F18" s="87">
        <v>45292</v>
      </c>
      <c r="G18" s="6"/>
    </row>
    <row r="19" spans="1:7">
      <c r="B19" s="16" t="s">
        <v>9</v>
      </c>
      <c r="C19" s="17" t="s">
        <v>130</v>
      </c>
      <c r="D19" s="5"/>
      <c r="E19" s="88" t="s">
        <v>110</v>
      </c>
      <c r="F19" s="89">
        <v>45322</v>
      </c>
      <c r="G19" s="18"/>
    </row>
    <row r="20" spans="1:7" ht="15.75" thickBot="1">
      <c r="B20" s="4"/>
      <c r="C20" s="19"/>
      <c r="D20" s="19"/>
      <c r="E20" s="20"/>
      <c r="F20" s="21"/>
      <c r="G20" s="18"/>
    </row>
    <row r="21" spans="1:7" ht="18.75" thickBot="1">
      <c r="B21" s="4"/>
      <c r="C21" s="22" t="s">
        <v>10</v>
      </c>
      <c r="D21" s="23"/>
      <c r="E21" s="24"/>
      <c r="F21" s="25" t="s">
        <v>11</v>
      </c>
      <c r="G21" s="18"/>
    </row>
    <row r="22" spans="1:7">
      <c r="B22" s="4"/>
      <c r="C22" s="26" t="s">
        <v>12</v>
      </c>
      <c r="D22" s="26"/>
      <c r="E22" s="27">
        <v>10709.59024859505</v>
      </c>
      <c r="F22" s="28">
        <v>10709.59024859505</v>
      </c>
      <c r="G22" s="29"/>
    </row>
    <row r="23" spans="1:7">
      <c r="B23" s="30">
        <v>143</v>
      </c>
      <c r="C23" s="31" t="s">
        <v>13</v>
      </c>
      <c r="D23" s="31"/>
      <c r="E23" s="27">
        <v>4578.6174545454505</v>
      </c>
      <c r="F23" s="32">
        <v>4578.6174545454505</v>
      </c>
      <c r="G23" s="33"/>
    </row>
    <row r="24" spans="1:7">
      <c r="B24" s="30"/>
      <c r="C24" s="34" t="s">
        <v>14</v>
      </c>
      <c r="D24" s="34"/>
      <c r="E24" s="27">
        <v>0</v>
      </c>
      <c r="F24" s="32">
        <v>0</v>
      </c>
      <c r="G24" s="33"/>
    </row>
    <row r="25" spans="1:7">
      <c r="B25" s="30"/>
      <c r="C25" s="34" t="s">
        <v>15</v>
      </c>
      <c r="D25" s="34"/>
      <c r="E25" s="27">
        <v>0</v>
      </c>
      <c r="F25" s="32">
        <v>0</v>
      </c>
      <c r="G25" s="33"/>
    </row>
    <row r="26" spans="1:7">
      <c r="B26" s="30"/>
      <c r="C26" s="34" t="s">
        <v>16</v>
      </c>
      <c r="D26" s="34"/>
      <c r="E26" s="27">
        <v>0</v>
      </c>
      <c r="F26" s="32">
        <v>0</v>
      </c>
      <c r="G26" s="33"/>
    </row>
    <row r="27" spans="1:7">
      <c r="B27" s="30"/>
      <c r="C27" s="34" t="s">
        <v>17</v>
      </c>
      <c r="D27" s="34"/>
      <c r="E27" s="27">
        <v>0</v>
      </c>
      <c r="F27" s="32">
        <v>0</v>
      </c>
      <c r="G27" s="33"/>
    </row>
    <row r="28" spans="1:7">
      <c r="B28" s="30"/>
      <c r="C28" s="35" t="s">
        <v>18</v>
      </c>
      <c r="D28" s="35"/>
      <c r="E28" s="36">
        <v>15288.207703140501</v>
      </c>
      <c r="F28" s="37">
        <v>15288.207703140501</v>
      </c>
      <c r="G28" s="38"/>
    </row>
    <row r="29" spans="1:7" ht="15.75" thickBot="1">
      <c r="B29" s="30"/>
      <c r="C29" s="39"/>
      <c r="D29" s="39"/>
      <c r="E29" s="40"/>
      <c r="F29" s="41"/>
      <c r="G29" s="38"/>
    </row>
    <row r="30" spans="1:7" ht="18.75" thickBot="1">
      <c r="B30" s="30"/>
      <c r="C30" s="22" t="s">
        <v>19</v>
      </c>
      <c r="D30" s="23"/>
      <c r="E30" s="42"/>
      <c r="F30" s="43"/>
      <c r="G30" s="38"/>
    </row>
    <row r="31" spans="1:7">
      <c r="B31" s="44">
        <v>121</v>
      </c>
      <c r="C31" s="39" t="s">
        <v>20</v>
      </c>
      <c r="D31" s="39"/>
      <c r="E31" s="45"/>
      <c r="F31" s="46"/>
      <c r="G31" s="47"/>
    </row>
    <row r="32" spans="1:7">
      <c r="B32" s="44"/>
      <c r="C32" s="48" t="s">
        <v>21</v>
      </c>
      <c r="D32" s="48"/>
      <c r="E32" s="49">
        <v>296.77123636363604</v>
      </c>
      <c r="F32" s="50">
        <v>296.77123636363604</v>
      </c>
      <c r="G32" s="47"/>
    </row>
    <row r="33" spans="2:7">
      <c r="B33" s="44"/>
      <c r="C33" s="48" t="s">
        <v>22</v>
      </c>
      <c r="D33" s="48"/>
      <c r="E33" s="49">
        <v>305.25041454545385</v>
      </c>
      <c r="F33" s="50">
        <v>305.25041454545385</v>
      </c>
      <c r="G33" s="47"/>
    </row>
    <row r="34" spans="2:7">
      <c r="B34" s="51"/>
      <c r="C34" s="48" t="s">
        <v>23</v>
      </c>
      <c r="D34" s="48"/>
      <c r="E34" s="49">
        <v>364.60466181818146</v>
      </c>
      <c r="F34" s="50">
        <v>364.60466181818146</v>
      </c>
      <c r="G34" s="52"/>
    </row>
    <row r="35" spans="2:7">
      <c r="B35" s="51"/>
      <c r="C35" s="48" t="s">
        <v>24</v>
      </c>
      <c r="D35" s="48"/>
      <c r="E35" s="49">
        <v>249.75033917355319</v>
      </c>
      <c r="F35" s="50">
        <v>249.75033917355319</v>
      </c>
      <c r="G35" s="52"/>
    </row>
    <row r="36" spans="2:7">
      <c r="B36" s="44"/>
      <c r="C36" s="48" t="s">
        <v>25</v>
      </c>
      <c r="D36" s="48"/>
      <c r="E36" s="49">
        <v>0</v>
      </c>
      <c r="F36" s="50">
        <v>0</v>
      </c>
      <c r="G36" s="52"/>
    </row>
    <row r="37" spans="2:7">
      <c r="B37" s="44"/>
      <c r="C37" s="53" t="s">
        <v>26</v>
      </c>
      <c r="D37" s="53"/>
      <c r="E37" s="36">
        <v>1216.3766519008245</v>
      </c>
      <c r="F37" s="54">
        <v>1216.3766519008245</v>
      </c>
      <c r="G37" s="52"/>
    </row>
    <row r="38" spans="2:7">
      <c r="B38" s="44">
        <v>122</v>
      </c>
      <c r="C38" s="39" t="s">
        <v>27</v>
      </c>
      <c r="D38" s="39"/>
      <c r="E38" s="36"/>
      <c r="F38" s="50"/>
      <c r="G38" s="55"/>
    </row>
    <row r="39" spans="2:7">
      <c r="B39" s="44"/>
      <c r="C39" s="48" t="s">
        <v>28</v>
      </c>
      <c r="D39" s="48"/>
      <c r="E39" s="49">
        <v>144.14602909090897</v>
      </c>
      <c r="F39" s="50">
        <v>144.14602909090897</v>
      </c>
      <c r="G39" s="52"/>
    </row>
    <row r="40" spans="2:7">
      <c r="B40" s="44"/>
      <c r="C40" s="48" t="s">
        <v>29</v>
      </c>
      <c r="D40" s="48"/>
      <c r="E40" s="49">
        <v>0</v>
      </c>
      <c r="F40" s="50">
        <v>0</v>
      </c>
      <c r="G40" s="52"/>
    </row>
    <row r="41" spans="2:7">
      <c r="B41" s="44"/>
      <c r="C41" s="48" t="s">
        <v>30</v>
      </c>
      <c r="D41" s="48"/>
      <c r="E41" s="49">
        <v>191.16692628099148</v>
      </c>
      <c r="F41" s="50">
        <v>191.16692628099148</v>
      </c>
      <c r="G41" s="52"/>
    </row>
    <row r="42" spans="2:7">
      <c r="B42" s="44"/>
      <c r="C42" s="48" t="s">
        <v>31</v>
      </c>
      <c r="D42" s="48"/>
      <c r="E42" s="49">
        <v>33.916712727272696</v>
      </c>
      <c r="F42" s="50">
        <v>33.916712727272696</v>
      </c>
      <c r="G42" s="52"/>
    </row>
    <row r="43" spans="2:7">
      <c r="B43" s="44"/>
      <c r="C43" s="48" t="s">
        <v>32</v>
      </c>
      <c r="D43" s="48"/>
      <c r="E43" s="49">
        <v>135.66685090909078</v>
      </c>
      <c r="F43" s="50">
        <v>135.66685090909078</v>
      </c>
      <c r="G43" s="52"/>
    </row>
    <row r="44" spans="2:7">
      <c r="B44" s="44"/>
      <c r="C44" s="48" t="s">
        <v>33</v>
      </c>
      <c r="D44" s="48"/>
      <c r="E44" s="49">
        <v>0</v>
      </c>
      <c r="F44" s="50">
        <v>0</v>
      </c>
      <c r="G44" s="52"/>
    </row>
    <row r="45" spans="2:7">
      <c r="B45" s="44"/>
      <c r="C45" s="48" t="s">
        <v>34</v>
      </c>
      <c r="D45" s="48"/>
      <c r="E45" s="49">
        <v>0</v>
      </c>
      <c r="F45" s="50">
        <v>0</v>
      </c>
      <c r="G45" s="52"/>
    </row>
    <row r="46" spans="2:7">
      <c r="B46" s="44"/>
      <c r="C46" s="48" t="s">
        <v>35</v>
      </c>
      <c r="D46" s="48"/>
      <c r="E46" s="49">
        <v>0</v>
      </c>
      <c r="F46" s="50">
        <v>0</v>
      </c>
      <c r="G46" s="52"/>
    </row>
    <row r="47" spans="2:7">
      <c r="B47" s="44"/>
      <c r="C47" s="53" t="s">
        <v>26</v>
      </c>
      <c r="D47" s="53"/>
      <c r="E47" s="36">
        <v>504.89651900826391</v>
      </c>
      <c r="F47" s="54">
        <v>504.89651900826391</v>
      </c>
      <c r="G47" s="52"/>
    </row>
    <row r="48" spans="2:7">
      <c r="B48" s="44">
        <v>123</v>
      </c>
      <c r="C48" s="39" t="s">
        <v>36</v>
      </c>
      <c r="D48" s="39"/>
      <c r="E48" s="56"/>
      <c r="F48" s="57"/>
      <c r="G48" s="52"/>
    </row>
    <row r="49" spans="2:7">
      <c r="B49" s="44"/>
      <c r="C49" s="48" t="s">
        <v>37</v>
      </c>
      <c r="D49" s="48"/>
      <c r="E49" s="49">
        <v>123.33350082644611</v>
      </c>
      <c r="F49" s="50">
        <v>123.33350082644611</v>
      </c>
      <c r="G49" s="52"/>
    </row>
    <row r="50" spans="2:7">
      <c r="B50" s="44"/>
      <c r="C50" s="48" t="s">
        <v>38</v>
      </c>
      <c r="D50" s="48"/>
      <c r="E50" s="49">
        <v>0</v>
      </c>
      <c r="F50" s="50">
        <v>0</v>
      </c>
      <c r="G50" s="52"/>
    </row>
    <row r="51" spans="2:7">
      <c r="B51" s="44"/>
      <c r="C51" s="48" t="s">
        <v>39</v>
      </c>
      <c r="D51" s="48"/>
      <c r="E51" s="49">
        <v>144.91686347107415</v>
      </c>
      <c r="F51" s="50">
        <v>144.91686347107415</v>
      </c>
      <c r="G51" s="52"/>
    </row>
    <row r="52" spans="2:7">
      <c r="B52" s="44"/>
      <c r="C52" s="48" t="s">
        <v>40</v>
      </c>
      <c r="D52" s="48"/>
      <c r="E52" s="49">
        <v>111.00015074380143</v>
      </c>
      <c r="F52" s="50">
        <v>111.00015074380143</v>
      </c>
      <c r="G52" s="52"/>
    </row>
    <row r="53" spans="2:7">
      <c r="B53" s="44"/>
      <c r="C53" s="48" t="s">
        <v>41</v>
      </c>
      <c r="D53" s="48"/>
      <c r="E53" s="49">
        <v>0</v>
      </c>
      <c r="F53" s="50">
        <v>0</v>
      </c>
      <c r="G53" s="52"/>
    </row>
    <row r="54" spans="2:7">
      <c r="B54" s="44"/>
      <c r="C54" s="48" t="s">
        <v>42</v>
      </c>
      <c r="D54" s="48"/>
      <c r="E54" s="49">
        <v>195.02109818181799</v>
      </c>
      <c r="F54" s="50">
        <v>195.02109818181799</v>
      </c>
      <c r="G54" s="52"/>
    </row>
    <row r="55" spans="2:7">
      <c r="B55" s="44"/>
      <c r="C55" s="53" t="s">
        <v>26</v>
      </c>
      <c r="D55" s="53"/>
      <c r="E55" s="36">
        <v>574.27161322313964</v>
      </c>
      <c r="F55" s="54">
        <v>574.27161322313964</v>
      </c>
      <c r="G55" s="52"/>
    </row>
    <row r="56" spans="2:7">
      <c r="B56" s="44">
        <v>124</v>
      </c>
      <c r="C56" s="39" t="s">
        <v>43</v>
      </c>
      <c r="D56" s="39"/>
      <c r="E56" s="56"/>
      <c r="F56" s="57"/>
      <c r="G56" s="52"/>
    </row>
    <row r="57" spans="2:7">
      <c r="B57" s="44"/>
      <c r="C57" s="48" t="s">
        <v>44</v>
      </c>
      <c r="D57" s="48"/>
      <c r="E57" s="49">
        <v>366.91716495867701</v>
      </c>
      <c r="F57" s="50">
        <v>366.91716495867701</v>
      </c>
      <c r="G57" s="52"/>
    </row>
    <row r="58" spans="2:7">
      <c r="B58" s="44"/>
      <c r="C58" s="48" t="s">
        <v>45</v>
      </c>
      <c r="D58" s="48"/>
      <c r="E58" s="49">
        <v>0</v>
      </c>
      <c r="F58" s="50">
        <v>0</v>
      </c>
      <c r="G58" s="52"/>
    </row>
    <row r="59" spans="2:7">
      <c r="B59" s="44"/>
      <c r="C59" s="48" t="s">
        <v>46</v>
      </c>
      <c r="D59" s="48"/>
      <c r="E59" s="49">
        <v>0</v>
      </c>
      <c r="F59" s="50">
        <v>0</v>
      </c>
      <c r="G59" s="52"/>
    </row>
    <row r="60" spans="2:7">
      <c r="B60" s="44"/>
      <c r="C60" s="53" t="s">
        <v>26</v>
      </c>
      <c r="D60" s="53"/>
      <c r="E60" s="36">
        <v>366.91716495867701</v>
      </c>
      <c r="F60" s="54">
        <v>366.91716495867701</v>
      </c>
      <c r="G60" s="52"/>
    </row>
    <row r="61" spans="2:7">
      <c r="B61" s="44">
        <v>125</v>
      </c>
      <c r="C61" s="39" t="s">
        <v>47</v>
      </c>
      <c r="D61" s="39"/>
      <c r="E61" s="36"/>
      <c r="F61" s="50"/>
      <c r="G61" s="52"/>
    </row>
    <row r="62" spans="2:7">
      <c r="B62" s="44"/>
      <c r="C62" s="48" t="s">
        <v>48</v>
      </c>
      <c r="D62" s="48"/>
      <c r="E62" s="58">
        <v>0</v>
      </c>
      <c r="F62" s="50">
        <v>0</v>
      </c>
      <c r="G62" s="52"/>
    </row>
    <row r="63" spans="2:7">
      <c r="B63" s="44"/>
      <c r="C63" s="48" t="s">
        <v>49</v>
      </c>
      <c r="D63" s="48"/>
      <c r="E63" s="58">
        <v>0</v>
      </c>
      <c r="F63" s="50">
        <v>0</v>
      </c>
      <c r="G63" s="52"/>
    </row>
    <row r="64" spans="2:7">
      <c r="B64" s="44"/>
      <c r="C64" s="48" t="s">
        <v>50</v>
      </c>
      <c r="D64" s="48"/>
      <c r="E64" s="58">
        <v>593.54247272727218</v>
      </c>
      <c r="F64" s="50">
        <v>593.54247272727218</v>
      </c>
      <c r="G64" s="52"/>
    </row>
    <row r="65" spans="2:7">
      <c r="B65" s="44"/>
      <c r="C65" s="48" t="s">
        <v>51</v>
      </c>
      <c r="D65" s="48"/>
      <c r="E65" s="58">
        <v>135.66685090909078</v>
      </c>
      <c r="F65" s="50">
        <v>135.66685090909078</v>
      </c>
      <c r="G65" s="52"/>
    </row>
    <row r="66" spans="2:7">
      <c r="B66" s="44"/>
      <c r="C66" s="53" t="s">
        <v>26</v>
      </c>
      <c r="D66" s="53"/>
      <c r="E66" s="56">
        <v>729.20932363636302</v>
      </c>
      <c r="F66" s="54">
        <v>729.20932363636302</v>
      </c>
      <c r="G66" s="52"/>
    </row>
    <row r="67" spans="2:7">
      <c r="B67" s="44">
        <v>126</v>
      </c>
      <c r="C67" s="39" t="s">
        <v>52</v>
      </c>
      <c r="D67" s="39"/>
      <c r="E67" s="56"/>
      <c r="F67" s="50"/>
      <c r="G67" s="52"/>
    </row>
    <row r="68" spans="2:7">
      <c r="B68" s="44"/>
      <c r="C68" s="48" t="s">
        <v>53</v>
      </c>
      <c r="D68" s="48"/>
      <c r="E68" s="49">
        <v>0</v>
      </c>
      <c r="F68" s="50">
        <v>0</v>
      </c>
      <c r="G68" s="52"/>
    </row>
    <row r="69" spans="2:7">
      <c r="B69" s="44"/>
      <c r="C69" s="48" t="s">
        <v>54</v>
      </c>
      <c r="D69" s="48"/>
      <c r="E69" s="49">
        <v>0</v>
      </c>
      <c r="F69" s="50"/>
      <c r="G69" s="52"/>
    </row>
    <row r="70" spans="2:7">
      <c r="B70" s="44"/>
      <c r="C70" s="48" t="s">
        <v>55</v>
      </c>
      <c r="D70" s="48"/>
      <c r="E70" s="49">
        <v>0</v>
      </c>
      <c r="F70" s="50"/>
      <c r="G70" s="52"/>
    </row>
    <row r="71" spans="2:7">
      <c r="B71" s="44"/>
      <c r="C71" s="48" t="s">
        <v>56</v>
      </c>
      <c r="D71" s="48"/>
      <c r="E71" s="49">
        <v>0</v>
      </c>
      <c r="F71" s="57"/>
      <c r="G71" s="52"/>
    </row>
    <row r="72" spans="2:7">
      <c r="B72" s="44"/>
      <c r="C72" s="53" t="s">
        <v>26</v>
      </c>
      <c r="D72" s="53"/>
      <c r="E72" s="56">
        <v>0</v>
      </c>
      <c r="F72" s="54">
        <v>0</v>
      </c>
      <c r="G72" s="52"/>
    </row>
    <row r="73" spans="2:7">
      <c r="B73" s="44">
        <v>127</v>
      </c>
      <c r="C73" s="39" t="s">
        <v>57</v>
      </c>
      <c r="D73" s="39"/>
      <c r="E73" s="56"/>
      <c r="F73" s="54"/>
      <c r="G73" s="52"/>
    </row>
    <row r="74" spans="2:7">
      <c r="B74" s="44"/>
      <c r="C74" s="48" t="s">
        <v>58</v>
      </c>
      <c r="D74" s="48"/>
      <c r="E74" s="49">
        <v>0</v>
      </c>
      <c r="F74" s="50">
        <v>0</v>
      </c>
      <c r="G74" s="52"/>
    </row>
    <row r="75" spans="2:7">
      <c r="B75" s="44"/>
      <c r="C75" s="48" t="s">
        <v>59</v>
      </c>
      <c r="D75" s="48"/>
      <c r="E75" s="49">
        <v>0</v>
      </c>
      <c r="F75" s="50">
        <v>0</v>
      </c>
      <c r="G75" s="52"/>
    </row>
    <row r="76" spans="2:7">
      <c r="B76" s="44"/>
      <c r="C76" s="48" t="s">
        <v>60</v>
      </c>
      <c r="D76" s="48"/>
      <c r="E76" s="49">
        <v>0</v>
      </c>
      <c r="F76" s="50">
        <v>0</v>
      </c>
      <c r="G76" s="52"/>
    </row>
    <row r="77" spans="2:7">
      <c r="B77" s="44"/>
      <c r="C77" s="59" t="s">
        <v>61</v>
      </c>
      <c r="D77" s="59"/>
      <c r="E77" s="49">
        <v>0</v>
      </c>
      <c r="F77" s="50">
        <v>0</v>
      </c>
      <c r="G77" s="52"/>
    </row>
    <row r="78" spans="2:7">
      <c r="B78" s="44"/>
      <c r="C78" s="53" t="s">
        <v>26</v>
      </c>
      <c r="D78" s="53"/>
      <c r="E78" s="56">
        <v>0</v>
      </c>
      <c r="F78" s="54">
        <v>0</v>
      </c>
      <c r="G78" s="52"/>
    </row>
    <row r="79" spans="2:7">
      <c r="B79" s="44">
        <v>128</v>
      </c>
      <c r="C79" s="39" t="s">
        <v>62</v>
      </c>
      <c r="D79" s="39"/>
      <c r="E79" s="56"/>
      <c r="F79" s="54"/>
      <c r="G79" s="52"/>
    </row>
    <row r="80" spans="2:7">
      <c r="B80" s="44"/>
      <c r="C80" s="48" t="s">
        <v>63</v>
      </c>
      <c r="D80" s="48"/>
      <c r="E80" s="49">
        <v>0</v>
      </c>
      <c r="F80" s="50">
        <v>0</v>
      </c>
      <c r="G80" s="52"/>
    </row>
    <row r="81" spans="2:7">
      <c r="B81" s="44"/>
      <c r="C81" s="48" t="s">
        <v>64</v>
      </c>
      <c r="D81" s="48"/>
      <c r="E81" s="49">
        <v>0</v>
      </c>
      <c r="F81" s="50">
        <v>0</v>
      </c>
      <c r="G81" s="52"/>
    </row>
    <row r="82" spans="2:7">
      <c r="B82" s="44"/>
      <c r="C82" s="48" t="s">
        <v>65</v>
      </c>
      <c r="D82" s="48"/>
      <c r="E82" s="49">
        <v>0</v>
      </c>
      <c r="F82" s="50">
        <v>0</v>
      </c>
      <c r="G82" s="52"/>
    </row>
    <row r="83" spans="2:7">
      <c r="B83" s="44"/>
      <c r="C83" s="48" t="s">
        <v>66</v>
      </c>
      <c r="D83" s="48"/>
      <c r="E83" s="49">
        <v>0</v>
      </c>
      <c r="F83" s="50">
        <v>0</v>
      </c>
      <c r="G83" s="52"/>
    </row>
    <row r="84" spans="2:7">
      <c r="B84" s="44"/>
      <c r="C84" s="48" t="s">
        <v>67</v>
      </c>
      <c r="D84" s="48"/>
      <c r="E84" s="49">
        <v>0</v>
      </c>
      <c r="F84" s="50">
        <v>0</v>
      </c>
      <c r="G84" s="52"/>
    </row>
    <row r="85" spans="2:7">
      <c r="B85" s="44"/>
      <c r="C85" s="53" t="s">
        <v>26</v>
      </c>
      <c r="D85" s="53"/>
      <c r="E85" s="56">
        <v>0</v>
      </c>
      <c r="F85" s="54">
        <v>0</v>
      </c>
      <c r="G85" s="52"/>
    </row>
    <row r="86" spans="2:7">
      <c r="B86" s="44">
        <v>135</v>
      </c>
      <c r="C86" s="39" t="s">
        <v>68</v>
      </c>
      <c r="D86" s="39"/>
      <c r="E86" s="56"/>
      <c r="F86" s="50"/>
      <c r="G86" s="52"/>
    </row>
    <row r="87" spans="2:7">
      <c r="B87" s="44"/>
      <c r="C87" s="48" t="s">
        <v>69</v>
      </c>
      <c r="D87" s="48"/>
      <c r="E87" s="49">
        <v>0</v>
      </c>
      <c r="F87" s="50">
        <v>0</v>
      </c>
      <c r="G87" s="52"/>
    </row>
    <row r="88" spans="2:7">
      <c r="B88" s="44"/>
      <c r="C88" s="48" t="s">
        <v>70</v>
      </c>
      <c r="D88" s="48"/>
      <c r="E88" s="49">
        <v>0</v>
      </c>
      <c r="F88" s="50">
        <v>0</v>
      </c>
      <c r="G88" s="52"/>
    </row>
    <row r="89" spans="2:7">
      <c r="B89" s="44"/>
      <c r="C89" s="48" t="s">
        <v>71</v>
      </c>
      <c r="D89" s="48"/>
      <c r="E89" s="49">
        <v>0</v>
      </c>
      <c r="F89" s="50">
        <v>0</v>
      </c>
      <c r="G89" s="52"/>
    </row>
    <row r="90" spans="2:7">
      <c r="B90" s="44"/>
      <c r="C90" s="48" t="s">
        <v>72</v>
      </c>
      <c r="D90" s="48"/>
      <c r="E90" s="49">
        <v>0</v>
      </c>
      <c r="F90" s="50">
        <v>0</v>
      </c>
      <c r="G90" s="52"/>
    </row>
    <row r="91" spans="2:7">
      <c r="B91" s="44"/>
      <c r="C91" s="48" t="s">
        <v>73</v>
      </c>
      <c r="D91" s="48"/>
      <c r="E91" s="49">
        <v>0</v>
      </c>
      <c r="F91" s="50">
        <v>0</v>
      </c>
      <c r="G91" s="52"/>
    </row>
    <row r="92" spans="2:7">
      <c r="B92" s="44"/>
      <c r="C92" s="48" t="s">
        <v>74</v>
      </c>
      <c r="D92" s="48"/>
      <c r="E92" s="49">
        <v>0</v>
      </c>
      <c r="F92" s="50">
        <v>0</v>
      </c>
      <c r="G92" s="52"/>
    </row>
    <row r="93" spans="2:7">
      <c r="B93" s="44"/>
      <c r="C93" s="48" t="s">
        <v>75</v>
      </c>
      <c r="D93" s="48"/>
      <c r="E93" s="49">
        <v>0</v>
      </c>
      <c r="F93" s="50">
        <v>0</v>
      </c>
      <c r="G93" s="52"/>
    </row>
    <row r="94" spans="2:7">
      <c r="B94" s="44"/>
      <c r="C94" s="48" t="s">
        <v>76</v>
      </c>
      <c r="D94" s="48"/>
      <c r="E94" s="49">
        <v>0</v>
      </c>
      <c r="F94" s="50">
        <v>0</v>
      </c>
      <c r="G94" s="52"/>
    </row>
    <row r="95" spans="2:7">
      <c r="B95" s="44"/>
      <c r="C95" s="48" t="s">
        <v>77</v>
      </c>
      <c r="D95" s="48"/>
      <c r="E95" s="49">
        <v>0</v>
      </c>
      <c r="F95" s="50">
        <v>0</v>
      </c>
      <c r="G95" s="52"/>
    </row>
    <row r="96" spans="2:7">
      <c r="B96" s="44"/>
      <c r="C96" s="53" t="s">
        <v>26</v>
      </c>
      <c r="D96" s="53"/>
      <c r="E96" s="56">
        <v>0</v>
      </c>
      <c r="F96" s="54">
        <v>0</v>
      </c>
      <c r="G96" s="52"/>
    </row>
    <row r="97" spans="2:7">
      <c r="B97" s="44">
        <v>136</v>
      </c>
      <c r="C97" s="39" t="s">
        <v>78</v>
      </c>
      <c r="D97" s="39"/>
      <c r="E97" s="56"/>
      <c r="F97" s="50"/>
      <c r="G97" s="52"/>
    </row>
    <row r="98" spans="2:7">
      <c r="B98" s="44"/>
      <c r="C98" s="48" t="s">
        <v>79</v>
      </c>
      <c r="D98" s="48"/>
      <c r="E98" s="49">
        <v>0</v>
      </c>
      <c r="F98" s="50">
        <v>0</v>
      </c>
      <c r="G98" s="52"/>
    </row>
    <row r="99" spans="2:7">
      <c r="B99" s="44"/>
      <c r="C99" s="48" t="s">
        <v>80</v>
      </c>
      <c r="D99" s="48"/>
      <c r="E99" s="49">
        <v>0</v>
      </c>
      <c r="F99" s="50">
        <v>0</v>
      </c>
      <c r="G99" s="52"/>
    </row>
    <row r="100" spans="2:7">
      <c r="B100" s="44"/>
      <c r="C100" s="48" t="s">
        <v>81</v>
      </c>
      <c r="D100" s="48"/>
      <c r="E100" s="49">
        <v>0</v>
      </c>
      <c r="F100" s="50">
        <v>0</v>
      </c>
      <c r="G100" s="52"/>
    </row>
    <row r="101" spans="2:7">
      <c r="B101" s="44"/>
      <c r="C101" s="48" t="s">
        <v>82</v>
      </c>
      <c r="D101" s="48"/>
      <c r="E101" s="49">
        <v>0</v>
      </c>
      <c r="F101" s="50">
        <v>0</v>
      </c>
      <c r="G101" s="52"/>
    </row>
    <row r="102" spans="2:7">
      <c r="B102" s="44"/>
      <c r="C102" s="48" t="s">
        <v>83</v>
      </c>
      <c r="D102" s="48"/>
      <c r="E102" s="49">
        <v>0</v>
      </c>
      <c r="F102" s="50">
        <v>0</v>
      </c>
      <c r="G102" s="52"/>
    </row>
    <row r="103" spans="2:7">
      <c r="B103" s="44"/>
      <c r="C103" s="48" t="s">
        <v>84</v>
      </c>
      <c r="D103" s="48"/>
      <c r="E103" s="49">
        <v>0</v>
      </c>
      <c r="F103" s="50">
        <v>0</v>
      </c>
      <c r="G103" s="52"/>
    </row>
    <row r="104" spans="2:7">
      <c r="B104" s="44"/>
      <c r="C104" s="53" t="s">
        <v>26</v>
      </c>
      <c r="D104" s="53"/>
      <c r="E104" s="56">
        <v>0</v>
      </c>
      <c r="F104" s="54">
        <v>0</v>
      </c>
      <c r="G104" s="52"/>
    </row>
    <row r="105" spans="2:7">
      <c r="B105" s="44">
        <v>142</v>
      </c>
      <c r="C105" s="39" t="s">
        <v>85</v>
      </c>
      <c r="D105" s="39"/>
      <c r="E105" s="56"/>
      <c r="F105" s="50"/>
      <c r="G105" s="52"/>
    </row>
    <row r="106" spans="2:7">
      <c r="B106" s="44"/>
      <c r="C106" s="48" t="s">
        <v>86</v>
      </c>
      <c r="D106" s="48"/>
      <c r="E106" s="49">
        <v>0</v>
      </c>
      <c r="F106" s="50">
        <v>0</v>
      </c>
      <c r="G106" s="52"/>
    </row>
    <row r="107" spans="2:7">
      <c r="B107" s="44"/>
      <c r="C107" s="48" t="s">
        <v>87</v>
      </c>
      <c r="D107" s="48"/>
      <c r="E107" s="49">
        <v>0</v>
      </c>
      <c r="F107" s="50">
        <v>0</v>
      </c>
      <c r="G107" s="52"/>
    </row>
    <row r="108" spans="2:7">
      <c r="B108" s="44"/>
      <c r="C108" s="53" t="s">
        <v>26</v>
      </c>
      <c r="D108" s="53"/>
      <c r="E108" s="56">
        <v>0</v>
      </c>
      <c r="F108" s="54">
        <v>0</v>
      </c>
      <c r="G108" s="52"/>
    </row>
    <row r="109" spans="2:7">
      <c r="B109" s="44">
        <v>144</v>
      </c>
      <c r="C109" s="39" t="s">
        <v>88</v>
      </c>
      <c r="D109" s="39"/>
      <c r="E109" s="49">
        <v>0</v>
      </c>
      <c r="F109" s="54">
        <v>0</v>
      </c>
      <c r="G109" s="52"/>
    </row>
    <row r="110" spans="2:7">
      <c r="B110" s="44">
        <v>221</v>
      </c>
      <c r="C110" s="39" t="s">
        <v>89</v>
      </c>
      <c r="D110" s="39"/>
      <c r="E110" s="49">
        <v>0</v>
      </c>
      <c r="F110" s="54">
        <v>0</v>
      </c>
      <c r="G110" s="52"/>
    </row>
    <row r="111" spans="2:7">
      <c r="B111" s="44">
        <v>222</v>
      </c>
      <c r="C111" s="39" t="s">
        <v>90</v>
      </c>
      <c r="D111" s="39"/>
      <c r="E111" s="49">
        <v>0</v>
      </c>
      <c r="F111" s="54">
        <v>0</v>
      </c>
      <c r="G111" s="52"/>
    </row>
    <row r="112" spans="2:7">
      <c r="B112" s="44">
        <v>224</v>
      </c>
      <c r="C112" s="39" t="s">
        <v>91</v>
      </c>
      <c r="D112" s="39"/>
      <c r="E112" s="49">
        <v>0</v>
      </c>
      <c r="F112" s="54">
        <v>0</v>
      </c>
      <c r="G112" s="52"/>
    </row>
    <row r="113" spans="2:7">
      <c r="B113" s="44">
        <v>225</v>
      </c>
      <c r="C113" s="39" t="s">
        <v>92</v>
      </c>
      <c r="D113" s="39"/>
      <c r="E113" s="49">
        <v>0</v>
      </c>
      <c r="F113" s="54">
        <v>0</v>
      </c>
      <c r="G113" s="38"/>
    </row>
    <row r="114" spans="2:7">
      <c r="B114" s="44">
        <v>226</v>
      </c>
      <c r="C114" s="39" t="s">
        <v>93</v>
      </c>
      <c r="D114" s="39"/>
      <c r="E114" s="49">
        <v>0</v>
      </c>
      <c r="F114" s="54">
        <v>0</v>
      </c>
      <c r="G114" s="60"/>
    </row>
    <row r="115" spans="2:7" ht="15.75" thickBot="1">
      <c r="B115" s="61"/>
      <c r="C115" s="62" t="s">
        <v>94</v>
      </c>
      <c r="D115" s="62"/>
      <c r="E115" s="90">
        <v>0</v>
      </c>
      <c r="F115" s="63">
        <v>0</v>
      </c>
      <c r="G115" s="38"/>
    </row>
    <row r="116" spans="2:7">
      <c r="B116" s="64"/>
      <c r="C116" s="65" t="s">
        <v>95</v>
      </c>
      <c r="D116" s="66"/>
      <c r="E116" s="91">
        <v>3391.6712727272684</v>
      </c>
      <c r="F116" s="68">
        <v>3391.6712727272684</v>
      </c>
      <c r="G116" s="69"/>
    </row>
    <row r="117" spans="2:7" ht="15.75" thickBot="1">
      <c r="B117" s="64"/>
      <c r="C117" s="70"/>
      <c r="D117" s="71"/>
      <c r="E117" s="92"/>
      <c r="F117" s="73"/>
      <c r="G117" s="69"/>
    </row>
    <row r="118" spans="2:7" ht="15.75" thickBot="1">
      <c r="B118" s="64"/>
      <c r="C118" s="70" t="s">
        <v>96</v>
      </c>
      <c r="D118" s="71"/>
      <c r="E118" s="93">
        <v>11896.536430413233</v>
      </c>
      <c r="F118" s="75">
        <v>11896.536430413233</v>
      </c>
      <c r="G118" s="76"/>
    </row>
    <row r="119" spans="2:7" ht="8.25" customHeight="1" thickBot="1">
      <c r="B119" s="77"/>
      <c r="C119" s="81"/>
      <c r="D119" s="81"/>
      <c r="E119" s="78"/>
      <c r="F119" s="78"/>
      <c r="G119" s="79"/>
    </row>
    <row r="120" spans="2:7">
      <c r="B120" s="83"/>
      <c r="C120" s="84"/>
      <c r="D120" s="84"/>
      <c r="E120" s="85"/>
      <c r="F120" s="83"/>
      <c r="G120" s="85"/>
    </row>
    <row r="121" spans="2:7" ht="6" customHeight="1" thickBot="1"/>
    <row r="122" spans="2:7">
      <c r="B122" s="1"/>
      <c r="C122" s="2"/>
      <c r="D122" s="2"/>
      <c r="E122" s="2"/>
      <c r="F122" s="2"/>
      <c r="G122" s="3"/>
    </row>
    <row r="123" spans="2:7">
      <c r="B123" s="4"/>
      <c r="C123" s="5"/>
      <c r="D123" s="5"/>
      <c r="E123" s="5"/>
      <c r="F123" s="5"/>
      <c r="G123" s="6"/>
    </row>
    <row r="124" spans="2:7">
      <c r="B124" s="4"/>
      <c r="C124" s="5"/>
      <c r="D124" s="5"/>
      <c r="E124" s="5"/>
      <c r="F124" s="5"/>
      <c r="G124" s="6"/>
    </row>
    <row r="125" spans="2:7">
      <c r="B125" s="4"/>
      <c r="C125" s="5"/>
      <c r="D125" s="5"/>
      <c r="E125" s="5"/>
      <c r="F125" s="5"/>
      <c r="G125" s="6"/>
    </row>
    <row r="126" spans="2:7">
      <c r="B126" s="4"/>
      <c r="C126" s="5"/>
      <c r="D126" s="5"/>
      <c r="E126" s="5"/>
      <c r="F126" s="5"/>
      <c r="G126" s="6"/>
    </row>
    <row r="127" spans="2:7" ht="16.5" customHeight="1">
      <c r="B127" s="4"/>
      <c r="C127" s="5"/>
      <c r="D127" s="5"/>
      <c r="E127" s="5"/>
      <c r="F127" s="5"/>
      <c r="G127" s="6"/>
    </row>
    <row r="128" spans="2:7" ht="22.5" customHeight="1" thickBot="1">
      <c r="B128" s="4"/>
      <c r="C128" s="95" t="s">
        <v>0</v>
      </c>
      <c r="D128" s="95"/>
      <c r="E128" s="95"/>
      <c r="F128" s="5"/>
      <c r="G128" s="6"/>
    </row>
    <row r="129" spans="1:7" ht="21" thickTop="1">
      <c r="B129" s="4"/>
      <c r="C129" s="7"/>
      <c r="D129" s="7"/>
      <c r="E129" s="5"/>
      <c r="F129" s="5"/>
      <c r="G129" s="6"/>
    </row>
    <row r="130" spans="1:7">
      <c r="B130" s="8" t="s">
        <v>1</v>
      </c>
      <c r="C130" s="9" t="s">
        <v>97</v>
      </c>
      <c r="D130" s="5"/>
      <c r="E130" s="10" t="s">
        <v>2</v>
      </c>
      <c r="F130" s="9" t="s">
        <v>98</v>
      </c>
      <c r="G130" s="6"/>
    </row>
    <row r="131" spans="1:7" ht="3.75" customHeight="1">
      <c r="A131" s="80"/>
      <c r="B131" s="5"/>
      <c r="C131" s="5"/>
      <c r="D131" s="5"/>
      <c r="E131" s="11"/>
      <c r="F131" s="5"/>
      <c r="G131" s="6"/>
    </row>
    <row r="132" spans="1:7">
      <c r="A132" s="80"/>
      <c r="B132" s="12" t="s">
        <v>3</v>
      </c>
      <c r="C132" s="9" t="s">
        <v>99</v>
      </c>
      <c r="D132" s="5"/>
      <c r="E132" s="10" t="s">
        <v>4</v>
      </c>
      <c r="F132" s="82" t="s">
        <v>100</v>
      </c>
      <c r="G132" s="6"/>
    </row>
    <row r="133" spans="1:7" ht="3.75" customHeight="1">
      <c r="A133" s="80"/>
      <c r="B133" s="5"/>
      <c r="C133" s="5"/>
      <c r="D133" s="5"/>
      <c r="E133" s="11"/>
      <c r="F133" s="5"/>
      <c r="G133" s="6"/>
    </row>
    <row r="134" spans="1:7">
      <c r="A134" s="80"/>
      <c r="B134" s="10" t="s">
        <v>5</v>
      </c>
      <c r="C134" s="9" t="s">
        <v>101</v>
      </c>
      <c r="D134" s="5"/>
      <c r="E134" s="10" t="s">
        <v>6</v>
      </c>
      <c r="F134" s="9" t="s">
        <v>107</v>
      </c>
      <c r="G134" s="6"/>
    </row>
    <row r="135" spans="1:7" ht="4.5" customHeight="1">
      <c r="A135" s="80"/>
      <c r="B135" s="13"/>
      <c r="C135" s="5"/>
      <c r="D135" s="5"/>
      <c r="E135" s="11"/>
      <c r="F135" s="5"/>
      <c r="G135" s="6"/>
    </row>
    <row r="136" spans="1:7">
      <c r="A136" s="80"/>
      <c r="B136" s="10" t="s">
        <v>7</v>
      </c>
      <c r="C136" s="9" t="s">
        <v>126</v>
      </c>
      <c r="D136" s="5"/>
      <c r="E136" s="11"/>
      <c r="F136" s="5"/>
      <c r="G136" s="6"/>
    </row>
    <row r="137" spans="1:7" ht="3.75" customHeight="1">
      <c r="A137" s="80"/>
      <c r="B137" s="5"/>
      <c r="C137" s="5"/>
      <c r="D137" s="5"/>
      <c r="E137" s="11"/>
      <c r="F137" s="5"/>
      <c r="G137" s="6"/>
    </row>
    <row r="138" spans="1:7">
      <c r="B138" s="14" t="s">
        <v>8</v>
      </c>
      <c r="C138" s="15" t="s">
        <v>104</v>
      </c>
      <c r="D138" s="5"/>
      <c r="E138" s="86" t="s">
        <v>109</v>
      </c>
      <c r="F138" s="87">
        <v>45323</v>
      </c>
      <c r="G138" s="6"/>
    </row>
    <row r="139" spans="1:7">
      <c r="B139" s="16" t="s">
        <v>9</v>
      </c>
      <c r="C139" s="17" t="s">
        <v>130</v>
      </c>
      <c r="D139" s="5"/>
      <c r="E139" s="88" t="s">
        <v>110</v>
      </c>
      <c r="F139" s="89">
        <v>45351</v>
      </c>
      <c r="G139" s="18"/>
    </row>
    <row r="140" spans="1:7" ht="15.75" thickBot="1">
      <c r="B140" s="4"/>
      <c r="C140" s="19"/>
      <c r="D140" s="19"/>
      <c r="E140" s="20"/>
      <c r="F140" s="21"/>
      <c r="G140" s="18"/>
    </row>
    <row r="141" spans="1:7" ht="18.75" thickBot="1">
      <c r="B141" s="4"/>
      <c r="C141" s="22" t="s">
        <v>10</v>
      </c>
      <c r="D141" s="23"/>
      <c r="E141" s="24"/>
      <c r="F141" s="25" t="s">
        <v>11</v>
      </c>
      <c r="G141" s="18"/>
    </row>
    <row r="142" spans="1:7">
      <c r="B142" s="4"/>
      <c r="C142" s="26" t="s">
        <v>12</v>
      </c>
      <c r="D142" s="26"/>
      <c r="E142" s="27">
        <v>11896.536430413233</v>
      </c>
      <c r="F142" s="28">
        <v>11896.536430413233</v>
      </c>
      <c r="G142" s="29"/>
    </row>
    <row r="143" spans="1:7">
      <c r="B143" s="30">
        <v>143</v>
      </c>
      <c r="C143" s="31" t="s">
        <v>13</v>
      </c>
      <c r="D143" s="31"/>
      <c r="E143" s="27">
        <v>4578.6174545454505</v>
      </c>
      <c r="F143" s="32">
        <v>4578.6174545454505</v>
      </c>
      <c r="G143" s="33"/>
    </row>
    <row r="144" spans="1:7">
      <c r="B144" s="30"/>
      <c r="C144" s="34" t="s">
        <v>14</v>
      </c>
      <c r="D144" s="34"/>
      <c r="E144" s="27">
        <v>0</v>
      </c>
      <c r="F144" s="32">
        <v>0</v>
      </c>
      <c r="G144" s="33"/>
    </row>
    <row r="145" spans="2:7">
      <c r="B145" s="30"/>
      <c r="C145" s="34" t="s">
        <v>15</v>
      </c>
      <c r="D145" s="34"/>
      <c r="E145" s="27">
        <v>0</v>
      </c>
      <c r="F145" s="32">
        <v>0</v>
      </c>
      <c r="G145" s="33"/>
    </row>
    <row r="146" spans="2:7">
      <c r="B146" s="30"/>
      <c r="C146" s="34" t="s">
        <v>16</v>
      </c>
      <c r="D146" s="34"/>
      <c r="E146" s="27">
        <v>0</v>
      </c>
      <c r="F146" s="32">
        <v>0</v>
      </c>
      <c r="G146" s="33"/>
    </row>
    <row r="147" spans="2:7">
      <c r="B147" s="30"/>
      <c r="C147" s="34" t="s">
        <v>17</v>
      </c>
      <c r="D147" s="34"/>
      <c r="E147" s="27">
        <v>0</v>
      </c>
      <c r="F147" s="32">
        <v>0</v>
      </c>
      <c r="G147" s="33"/>
    </row>
    <row r="148" spans="2:7">
      <c r="B148" s="30"/>
      <c r="C148" s="35" t="s">
        <v>18</v>
      </c>
      <c r="D148" s="35"/>
      <c r="E148" s="36">
        <v>16475.153884958683</v>
      </c>
      <c r="F148" s="37">
        <v>16475.153884958683</v>
      </c>
      <c r="G148" s="38"/>
    </row>
    <row r="149" spans="2:7" ht="15.75" thickBot="1">
      <c r="B149" s="30"/>
      <c r="C149" s="39"/>
      <c r="D149" s="39"/>
      <c r="E149" s="40"/>
      <c r="F149" s="41"/>
      <c r="G149" s="38"/>
    </row>
    <row r="150" spans="2:7" ht="18.75" thickBot="1">
      <c r="B150" s="30"/>
      <c r="C150" s="22" t="s">
        <v>19</v>
      </c>
      <c r="D150" s="23"/>
      <c r="E150" s="42"/>
      <c r="F150" s="43"/>
      <c r="G150" s="38"/>
    </row>
    <row r="151" spans="2:7">
      <c r="B151" s="44">
        <v>121</v>
      </c>
      <c r="C151" s="39" t="s">
        <v>20</v>
      </c>
      <c r="D151" s="39"/>
      <c r="E151" s="45"/>
      <c r="F151" s="46"/>
      <c r="G151" s="47"/>
    </row>
    <row r="152" spans="2:7">
      <c r="B152" s="44"/>
      <c r="C152" s="48" t="s">
        <v>21</v>
      </c>
      <c r="D152" s="48"/>
      <c r="E152" s="49">
        <v>0</v>
      </c>
      <c r="F152" s="50">
        <v>0</v>
      </c>
      <c r="G152" s="47"/>
    </row>
    <row r="153" spans="2:7">
      <c r="B153" s="44"/>
      <c r="C153" s="48" t="s">
        <v>22</v>
      </c>
      <c r="D153" s="48"/>
      <c r="E153" s="49">
        <v>0</v>
      </c>
      <c r="F153" s="50">
        <v>0</v>
      </c>
      <c r="G153" s="47"/>
    </row>
    <row r="154" spans="2:7">
      <c r="B154" s="51"/>
      <c r="C154" s="48" t="s">
        <v>23</v>
      </c>
      <c r="D154" s="48"/>
      <c r="E154" s="49">
        <v>0</v>
      </c>
      <c r="F154" s="50">
        <v>0</v>
      </c>
      <c r="G154" s="52"/>
    </row>
    <row r="155" spans="2:7">
      <c r="B155" s="51"/>
      <c r="C155" s="48" t="s">
        <v>24</v>
      </c>
      <c r="D155" s="48"/>
      <c r="E155" s="49">
        <v>0</v>
      </c>
      <c r="F155" s="50">
        <v>0</v>
      </c>
      <c r="G155" s="52"/>
    </row>
    <row r="156" spans="2:7">
      <c r="B156" s="44"/>
      <c r="C156" s="48" t="s">
        <v>25</v>
      </c>
      <c r="D156" s="48"/>
      <c r="E156" s="49">
        <v>0</v>
      </c>
      <c r="F156" s="50">
        <v>0</v>
      </c>
      <c r="G156" s="52"/>
    </row>
    <row r="157" spans="2:7">
      <c r="B157" s="44"/>
      <c r="C157" s="53" t="s">
        <v>26</v>
      </c>
      <c r="D157" s="53"/>
      <c r="E157" s="36">
        <v>0</v>
      </c>
      <c r="F157" s="54">
        <v>0</v>
      </c>
      <c r="G157" s="52"/>
    </row>
    <row r="158" spans="2:7">
      <c r="B158" s="44">
        <v>122</v>
      </c>
      <c r="C158" s="39" t="s">
        <v>27</v>
      </c>
      <c r="D158" s="39"/>
      <c r="E158" s="36"/>
      <c r="F158" s="50"/>
      <c r="G158" s="55"/>
    </row>
    <row r="159" spans="2:7">
      <c r="B159" s="44"/>
      <c r="C159" s="48" t="s">
        <v>28</v>
      </c>
      <c r="D159" s="48"/>
      <c r="E159" s="49">
        <v>0</v>
      </c>
      <c r="F159" s="50">
        <v>0</v>
      </c>
      <c r="G159" s="52"/>
    </row>
    <row r="160" spans="2:7">
      <c r="B160" s="44"/>
      <c r="C160" s="48" t="s">
        <v>29</v>
      </c>
      <c r="D160" s="48"/>
      <c r="E160" s="49">
        <v>0</v>
      </c>
      <c r="F160" s="50">
        <v>0</v>
      </c>
      <c r="G160" s="52"/>
    </row>
    <row r="161" spans="2:7">
      <c r="B161" s="44"/>
      <c r="C161" s="48" t="s">
        <v>30</v>
      </c>
      <c r="D161" s="48"/>
      <c r="E161" s="49">
        <v>0</v>
      </c>
      <c r="F161" s="50">
        <v>0</v>
      </c>
      <c r="G161" s="52"/>
    </row>
    <row r="162" spans="2:7">
      <c r="B162" s="44"/>
      <c r="C162" s="48" t="s">
        <v>31</v>
      </c>
      <c r="D162" s="48"/>
      <c r="E162" s="49">
        <v>0</v>
      </c>
      <c r="F162" s="50">
        <v>0</v>
      </c>
      <c r="G162" s="52"/>
    </row>
    <row r="163" spans="2:7">
      <c r="B163" s="44"/>
      <c r="C163" s="48" t="s">
        <v>32</v>
      </c>
      <c r="D163" s="48"/>
      <c r="E163" s="49">
        <v>88.800120595041136</v>
      </c>
      <c r="F163" s="50">
        <v>88.800120595041136</v>
      </c>
      <c r="G163" s="52"/>
    </row>
    <row r="164" spans="2:7">
      <c r="B164" s="44"/>
      <c r="C164" s="48" t="s">
        <v>33</v>
      </c>
      <c r="D164" s="48"/>
      <c r="E164" s="49">
        <v>0</v>
      </c>
      <c r="F164" s="50">
        <v>0</v>
      </c>
      <c r="G164" s="52"/>
    </row>
    <row r="165" spans="2:7">
      <c r="B165" s="44"/>
      <c r="C165" s="48" t="s">
        <v>34</v>
      </c>
      <c r="D165" s="48"/>
      <c r="E165" s="49">
        <v>0</v>
      </c>
      <c r="F165" s="50">
        <v>0</v>
      </c>
      <c r="G165" s="52"/>
    </row>
    <row r="166" spans="2:7">
      <c r="B166" s="44"/>
      <c r="C166" s="48" t="s">
        <v>35</v>
      </c>
      <c r="D166" s="48"/>
      <c r="E166" s="49">
        <v>0</v>
      </c>
      <c r="F166" s="50">
        <v>0</v>
      </c>
      <c r="G166" s="52"/>
    </row>
    <row r="167" spans="2:7">
      <c r="B167" s="44"/>
      <c r="C167" s="53" t="s">
        <v>26</v>
      </c>
      <c r="D167" s="53"/>
      <c r="E167" s="36">
        <v>88.800120595041136</v>
      </c>
      <c r="F167" s="54">
        <v>88.800120595041136</v>
      </c>
      <c r="G167" s="52"/>
    </row>
    <row r="168" spans="2:7">
      <c r="B168" s="44">
        <v>123</v>
      </c>
      <c r="C168" s="39" t="s">
        <v>36</v>
      </c>
      <c r="D168" s="39"/>
      <c r="E168" s="56"/>
      <c r="F168" s="57"/>
      <c r="G168" s="52"/>
    </row>
    <row r="169" spans="2:7">
      <c r="B169" s="44"/>
      <c r="C169" s="48" t="s">
        <v>37</v>
      </c>
      <c r="D169" s="48"/>
      <c r="E169" s="49">
        <v>88.800120595041136</v>
      </c>
      <c r="F169" s="50">
        <v>88.800120595041136</v>
      </c>
      <c r="G169" s="52"/>
    </row>
    <row r="170" spans="2:7">
      <c r="B170" s="44"/>
      <c r="C170" s="48" t="s">
        <v>38</v>
      </c>
      <c r="D170" s="48"/>
      <c r="E170" s="49">
        <v>0</v>
      </c>
      <c r="F170" s="50">
        <v>0</v>
      </c>
      <c r="G170" s="52"/>
    </row>
    <row r="171" spans="2:7">
      <c r="B171" s="44"/>
      <c r="C171" s="48" t="s">
        <v>39</v>
      </c>
      <c r="D171" s="48"/>
      <c r="E171" s="49">
        <v>769.60104515702335</v>
      </c>
      <c r="F171" s="50">
        <v>769.60104515702335</v>
      </c>
      <c r="G171" s="52"/>
    </row>
    <row r="172" spans="2:7">
      <c r="B172" s="44"/>
      <c r="C172" s="48" t="s">
        <v>40</v>
      </c>
      <c r="D172" s="48"/>
      <c r="E172" s="49">
        <v>0</v>
      </c>
      <c r="F172" s="50">
        <v>0</v>
      </c>
      <c r="G172" s="52"/>
    </row>
    <row r="173" spans="2:7">
      <c r="B173" s="44"/>
      <c r="C173" s="48" t="s">
        <v>41</v>
      </c>
      <c r="D173" s="48"/>
      <c r="E173" s="49">
        <v>0</v>
      </c>
      <c r="F173" s="50">
        <v>0</v>
      </c>
      <c r="G173" s="52"/>
    </row>
    <row r="174" spans="2:7">
      <c r="B174" s="44"/>
      <c r="C174" s="48" t="s">
        <v>42</v>
      </c>
      <c r="D174" s="48"/>
      <c r="E174" s="49">
        <v>177.60024119008227</v>
      </c>
      <c r="F174" s="50">
        <v>177.60024119008227</v>
      </c>
      <c r="G174" s="52"/>
    </row>
    <row r="175" spans="2:7">
      <c r="B175" s="44"/>
      <c r="C175" s="53" t="s">
        <v>26</v>
      </c>
      <c r="D175" s="53"/>
      <c r="E175" s="36">
        <v>1036.0014069421468</v>
      </c>
      <c r="F175" s="54">
        <v>1036.0014069421468</v>
      </c>
      <c r="G175" s="52"/>
    </row>
    <row r="176" spans="2:7">
      <c r="B176" s="44">
        <v>124</v>
      </c>
      <c r="C176" s="39" t="s">
        <v>43</v>
      </c>
      <c r="D176" s="39"/>
      <c r="E176" s="56"/>
      <c r="F176" s="57"/>
      <c r="G176" s="52"/>
    </row>
    <row r="177" spans="2:7">
      <c r="B177" s="44"/>
      <c r="C177" s="48" t="s">
        <v>44</v>
      </c>
      <c r="D177" s="48"/>
      <c r="E177" s="49">
        <v>135.66685090909075</v>
      </c>
      <c r="F177" s="50">
        <v>135.66685090909075</v>
      </c>
      <c r="G177" s="52"/>
    </row>
    <row r="178" spans="2:7">
      <c r="B178" s="44"/>
      <c r="C178" s="48" t="s">
        <v>45</v>
      </c>
      <c r="D178" s="48"/>
      <c r="E178" s="49">
        <v>0</v>
      </c>
      <c r="F178" s="50">
        <v>0</v>
      </c>
      <c r="G178" s="52"/>
    </row>
    <row r="179" spans="2:7">
      <c r="B179" s="44"/>
      <c r="C179" s="48" t="s">
        <v>46</v>
      </c>
      <c r="D179" s="48"/>
      <c r="E179" s="49">
        <v>0</v>
      </c>
      <c r="F179" s="50">
        <v>0</v>
      </c>
      <c r="G179" s="52"/>
    </row>
    <row r="180" spans="2:7">
      <c r="B180" s="44"/>
      <c r="C180" s="53" t="s">
        <v>26</v>
      </c>
      <c r="D180" s="53"/>
      <c r="E180" s="36">
        <v>135.66685090909075</v>
      </c>
      <c r="F180" s="54">
        <v>135.66685090909075</v>
      </c>
      <c r="G180" s="52"/>
    </row>
    <row r="181" spans="2:7">
      <c r="B181" s="44">
        <v>125</v>
      </c>
      <c r="C181" s="39" t="s">
        <v>47</v>
      </c>
      <c r="D181" s="39"/>
      <c r="E181" s="36"/>
      <c r="F181" s="50"/>
      <c r="G181" s="52"/>
    </row>
    <row r="182" spans="2:7">
      <c r="B182" s="44"/>
      <c r="C182" s="48" t="s">
        <v>48</v>
      </c>
      <c r="D182" s="48"/>
      <c r="E182" s="58">
        <v>0</v>
      </c>
      <c r="F182" s="50">
        <v>0</v>
      </c>
      <c r="G182" s="52"/>
    </row>
    <row r="183" spans="2:7">
      <c r="B183" s="44"/>
      <c r="C183" s="48" t="s">
        <v>49</v>
      </c>
      <c r="D183" s="48"/>
      <c r="E183" s="58">
        <v>0</v>
      </c>
      <c r="F183" s="50">
        <v>0</v>
      </c>
      <c r="G183" s="52"/>
    </row>
    <row r="184" spans="2:7">
      <c r="B184" s="44"/>
      <c r="C184" s="48" t="s">
        <v>50</v>
      </c>
      <c r="D184" s="48"/>
      <c r="E184" s="58">
        <v>108.5334807272726</v>
      </c>
      <c r="F184" s="50">
        <v>108.5334807272726</v>
      </c>
      <c r="G184" s="52"/>
    </row>
    <row r="185" spans="2:7">
      <c r="B185" s="44"/>
      <c r="C185" s="48" t="s">
        <v>51</v>
      </c>
      <c r="D185" s="48"/>
      <c r="E185" s="58">
        <v>0</v>
      </c>
      <c r="F185" s="50">
        <v>0</v>
      </c>
      <c r="G185" s="52"/>
    </row>
    <row r="186" spans="2:7">
      <c r="B186" s="44"/>
      <c r="C186" s="53" t="s">
        <v>26</v>
      </c>
      <c r="D186" s="53"/>
      <c r="E186" s="56">
        <v>108.5334807272726</v>
      </c>
      <c r="F186" s="54">
        <v>108.5334807272726</v>
      </c>
      <c r="G186" s="52"/>
    </row>
    <row r="187" spans="2:7">
      <c r="B187" s="44">
        <v>126</v>
      </c>
      <c r="C187" s="39" t="s">
        <v>52</v>
      </c>
      <c r="D187" s="39"/>
      <c r="E187" s="56"/>
      <c r="F187" s="50"/>
      <c r="G187" s="52"/>
    </row>
    <row r="188" spans="2:7">
      <c r="B188" s="44"/>
      <c r="C188" s="48" t="s">
        <v>53</v>
      </c>
      <c r="D188" s="48"/>
      <c r="E188" s="49">
        <v>0</v>
      </c>
      <c r="F188" s="50">
        <v>0</v>
      </c>
      <c r="G188" s="52"/>
    </row>
    <row r="189" spans="2:7">
      <c r="B189" s="44"/>
      <c r="C189" s="48" t="s">
        <v>54</v>
      </c>
      <c r="D189" s="48"/>
      <c r="E189" s="49">
        <v>0</v>
      </c>
      <c r="F189" s="50"/>
      <c r="G189" s="52"/>
    </row>
    <row r="190" spans="2:7">
      <c r="B190" s="44"/>
      <c r="C190" s="48" t="s">
        <v>55</v>
      </c>
      <c r="D190" s="48"/>
      <c r="E190" s="49">
        <v>0</v>
      </c>
      <c r="F190" s="50"/>
      <c r="G190" s="52"/>
    </row>
    <row r="191" spans="2:7">
      <c r="B191" s="44"/>
      <c r="C191" s="48" t="s">
        <v>56</v>
      </c>
      <c r="D191" s="48"/>
      <c r="E191" s="49">
        <v>0</v>
      </c>
      <c r="F191" s="57"/>
      <c r="G191" s="52"/>
    </row>
    <row r="192" spans="2:7">
      <c r="B192" s="44"/>
      <c r="C192" s="53" t="s">
        <v>26</v>
      </c>
      <c r="D192" s="53"/>
      <c r="E192" s="56">
        <v>0</v>
      </c>
      <c r="F192" s="54">
        <v>0</v>
      </c>
      <c r="G192" s="52"/>
    </row>
    <row r="193" spans="2:7">
      <c r="B193" s="44">
        <v>127</v>
      </c>
      <c r="C193" s="39" t="s">
        <v>57</v>
      </c>
      <c r="D193" s="39"/>
      <c r="E193" s="56"/>
      <c r="F193" s="54"/>
      <c r="G193" s="52"/>
    </row>
    <row r="194" spans="2:7">
      <c r="B194" s="44"/>
      <c r="C194" s="48" t="s">
        <v>58</v>
      </c>
      <c r="D194" s="48"/>
      <c r="E194" s="49">
        <v>0</v>
      </c>
      <c r="F194" s="50">
        <v>0</v>
      </c>
      <c r="G194" s="52"/>
    </row>
    <row r="195" spans="2:7">
      <c r="B195" s="44"/>
      <c r="C195" s="48" t="s">
        <v>59</v>
      </c>
      <c r="D195" s="48"/>
      <c r="E195" s="49">
        <v>0</v>
      </c>
      <c r="F195" s="50">
        <v>0</v>
      </c>
      <c r="G195" s="52"/>
    </row>
    <row r="196" spans="2:7">
      <c r="B196" s="44"/>
      <c r="C196" s="48" t="s">
        <v>60</v>
      </c>
      <c r="D196" s="48"/>
      <c r="E196" s="49">
        <v>0</v>
      </c>
      <c r="F196" s="50">
        <v>0</v>
      </c>
      <c r="G196" s="52"/>
    </row>
    <row r="197" spans="2:7">
      <c r="B197" s="44"/>
      <c r="C197" s="59" t="s">
        <v>61</v>
      </c>
      <c r="D197" s="59"/>
      <c r="E197" s="49">
        <v>0</v>
      </c>
      <c r="F197" s="50">
        <v>0</v>
      </c>
      <c r="G197" s="52"/>
    </row>
    <row r="198" spans="2:7">
      <c r="B198" s="44"/>
      <c r="C198" s="53" t="s">
        <v>26</v>
      </c>
      <c r="D198" s="53"/>
      <c r="E198" s="56">
        <v>0</v>
      </c>
      <c r="F198" s="54">
        <v>0</v>
      </c>
      <c r="G198" s="52"/>
    </row>
    <row r="199" spans="2:7">
      <c r="B199" s="44">
        <v>128</v>
      </c>
      <c r="C199" s="39" t="s">
        <v>62</v>
      </c>
      <c r="D199" s="39"/>
      <c r="E199" s="56"/>
      <c r="F199" s="54"/>
      <c r="G199" s="52"/>
    </row>
    <row r="200" spans="2:7">
      <c r="B200" s="44"/>
      <c r="C200" s="48" t="s">
        <v>63</v>
      </c>
      <c r="D200" s="48"/>
      <c r="E200" s="49">
        <v>0</v>
      </c>
      <c r="F200" s="50">
        <v>0</v>
      </c>
      <c r="G200" s="52"/>
    </row>
    <row r="201" spans="2:7">
      <c r="B201" s="44"/>
      <c r="C201" s="48" t="s">
        <v>64</v>
      </c>
      <c r="D201" s="48"/>
      <c r="E201" s="49">
        <v>0</v>
      </c>
      <c r="F201" s="50">
        <v>0</v>
      </c>
      <c r="G201" s="52"/>
    </row>
    <row r="202" spans="2:7">
      <c r="B202" s="44"/>
      <c r="C202" s="48" t="s">
        <v>65</v>
      </c>
      <c r="D202" s="48"/>
      <c r="E202" s="49">
        <v>325.60044218181781</v>
      </c>
      <c r="F202" s="50">
        <v>325.60044218181781</v>
      </c>
      <c r="G202" s="52"/>
    </row>
    <row r="203" spans="2:7">
      <c r="B203" s="44"/>
      <c r="C203" s="48" t="s">
        <v>66</v>
      </c>
      <c r="D203" s="48"/>
      <c r="E203" s="49">
        <v>0</v>
      </c>
      <c r="F203" s="50">
        <v>0</v>
      </c>
      <c r="G203" s="52"/>
    </row>
    <row r="204" spans="2:7">
      <c r="B204" s="44"/>
      <c r="C204" s="48" t="s">
        <v>67</v>
      </c>
      <c r="D204" s="48"/>
      <c r="E204" s="49">
        <v>0</v>
      </c>
      <c r="F204" s="50">
        <v>0</v>
      </c>
      <c r="G204" s="52"/>
    </row>
    <row r="205" spans="2:7">
      <c r="B205" s="44"/>
      <c r="C205" s="53" t="s">
        <v>26</v>
      </c>
      <c r="D205" s="53"/>
      <c r="E205" s="56">
        <v>325.60044218181781</v>
      </c>
      <c r="F205" s="54">
        <v>325.60044218181781</v>
      </c>
      <c r="G205" s="52"/>
    </row>
    <row r="206" spans="2:7">
      <c r="B206" s="44">
        <v>135</v>
      </c>
      <c r="C206" s="39" t="s">
        <v>68</v>
      </c>
      <c r="D206" s="39"/>
      <c r="E206" s="56"/>
      <c r="F206" s="50"/>
      <c r="G206" s="52"/>
    </row>
    <row r="207" spans="2:7">
      <c r="B207" s="44"/>
      <c r="C207" s="48" t="s">
        <v>69</v>
      </c>
      <c r="D207" s="48"/>
      <c r="E207" s="49">
        <v>0</v>
      </c>
      <c r="F207" s="50">
        <v>0</v>
      </c>
      <c r="G207" s="52"/>
    </row>
    <row r="208" spans="2:7">
      <c r="B208" s="44"/>
      <c r="C208" s="48" t="s">
        <v>70</v>
      </c>
      <c r="D208" s="48"/>
      <c r="E208" s="49">
        <v>0</v>
      </c>
      <c r="F208" s="50">
        <v>0</v>
      </c>
      <c r="G208" s="52"/>
    </row>
    <row r="209" spans="2:7">
      <c r="B209" s="44"/>
      <c r="C209" s="48" t="s">
        <v>71</v>
      </c>
      <c r="D209" s="48"/>
      <c r="E209" s="49">
        <v>0</v>
      </c>
      <c r="F209" s="50">
        <v>0</v>
      </c>
      <c r="G209" s="52"/>
    </row>
    <row r="210" spans="2:7">
      <c r="B210" s="44"/>
      <c r="C210" s="48" t="s">
        <v>72</v>
      </c>
      <c r="D210" s="48"/>
      <c r="E210" s="49">
        <v>0</v>
      </c>
      <c r="F210" s="50">
        <v>0</v>
      </c>
      <c r="G210" s="52"/>
    </row>
    <row r="211" spans="2:7">
      <c r="B211" s="44"/>
      <c r="C211" s="48" t="s">
        <v>73</v>
      </c>
      <c r="D211" s="48"/>
      <c r="E211" s="49">
        <v>177.60024119008227</v>
      </c>
      <c r="F211" s="50">
        <v>177.60024119008227</v>
      </c>
      <c r="G211" s="52"/>
    </row>
    <row r="212" spans="2:7">
      <c r="B212" s="44"/>
      <c r="C212" s="48" t="s">
        <v>74</v>
      </c>
      <c r="D212" s="48"/>
      <c r="E212" s="49">
        <v>0</v>
      </c>
      <c r="F212" s="50">
        <v>0</v>
      </c>
      <c r="G212" s="52"/>
    </row>
    <row r="213" spans="2:7">
      <c r="B213" s="44"/>
      <c r="C213" s="48" t="s">
        <v>75</v>
      </c>
      <c r="D213" s="48"/>
      <c r="E213" s="49">
        <v>841.13447563636271</v>
      </c>
      <c r="F213" s="50">
        <v>841.13447563636271</v>
      </c>
      <c r="G213" s="52"/>
    </row>
    <row r="214" spans="2:7">
      <c r="B214" s="44"/>
      <c r="C214" s="48" t="s">
        <v>76</v>
      </c>
      <c r="D214" s="48"/>
      <c r="E214" s="49">
        <v>0</v>
      </c>
      <c r="F214" s="50">
        <v>0</v>
      </c>
      <c r="G214" s="52"/>
    </row>
    <row r="215" spans="2:7">
      <c r="B215" s="44"/>
      <c r="C215" s="48" t="s">
        <v>77</v>
      </c>
      <c r="D215" s="48"/>
      <c r="E215" s="49">
        <v>0</v>
      </c>
      <c r="F215" s="50">
        <v>0</v>
      </c>
      <c r="G215" s="52"/>
    </row>
    <row r="216" spans="2:7">
      <c r="B216" s="44"/>
      <c r="C216" s="53" t="s">
        <v>26</v>
      </c>
      <c r="D216" s="53"/>
      <c r="E216" s="56">
        <v>1018.734716826445</v>
      </c>
      <c r="F216" s="54">
        <v>1018.734716826445</v>
      </c>
      <c r="G216" s="52"/>
    </row>
    <row r="217" spans="2:7">
      <c r="B217" s="44">
        <v>136</v>
      </c>
      <c r="C217" s="39" t="s">
        <v>78</v>
      </c>
      <c r="D217" s="39"/>
      <c r="E217" s="56"/>
      <c r="F217" s="50"/>
      <c r="G217" s="52"/>
    </row>
    <row r="218" spans="2:7">
      <c r="B218" s="44"/>
      <c r="C218" s="48" t="s">
        <v>79</v>
      </c>
      <c r="D218" s="48"/>
      <c r="E218" s="49">
        <v>0</v>
      </c>
      <c r="F218" s="50">
        <v>0</v>
      </c>
      <c r="G218" s="52"/>
    </row>
    <row r="219" spans="2:7">
      <c r="B219" s="44"/>
      <c r="C219" s="48" t="s">
        <v>80</v>
      </c>
      <c r="D219" s="48"/>
      <c r="E219" s="49">
        <v>0</v>
      </c>
      <c r="F219" s="50">
        <v>0</v>
      </c>
      <c r="G219" s="52"/>
    </row>
    <row r="220" spans="2:7">
      <c r="B220" s="44"/>
      <c r="C220" s="48" t="s">
        <v>81</v>
      </c>
      <c r="D220" s="48"/>
      <c r="E220" s="49">
        <v>0</v>
      </c>
      <c r="F220" s="50">
        <v>0</v>
      </c>
      <c r="G220" s="52"/>
    </row>
    <row r="221" spans="2:7">
      <c r="B221" s="44"/>
      <c r="C221" s="48" t="s">
        <v>82</v>
      </c>
      <c r="D221" s="48"/>
      <c r="E221" s="49">
        <v>0</v>
      </c>
      <c r="F221" s="50">
        <v>0</v>
      </c>
      <c r="G221" s="52"/>
    </row>
    <row r="222" spans="2:7">
      <c r="B222" s="44"/>
      <c r="C222" s="48" t="s">
        <v>83</v>
      </c>
      <c r="D222" s="48"/>
      <c r="E222" s="49">
        <v>0</v>
      </c>
      <c r="F222" s="50">
        <v>0</v>
      </c>
      <c r="G222" s="52"/>
    </row>
    <row r="223" spans="2:7">
      <c r="B223" s="44"/>
      <c r="C223" s="48" t="s">
        <v>84</v>
      </c>
      <c r="D223" s="48"/>
      <c r="E223" s="49">
        <v>0</v>
      </c>
      <c r="F223" s="50">
        <v>0</v>
      </c>
      <c r="G223" s="52"/>
    </row>
    <row r="224" spans="2:7">
      <c r="B224" s="44"/>
      <c r="C224" s="53" t="s">
        <v>26</v>
      </c>
      <c r="D224" s="53"/>
      <c r="E224" s="56">
        <v>0</v>
      </c>
      <c r="F224" s="54">
        <v>0</v>
      </c>
      <c r="G224" s="52"/>
    </row>
    <row r="225" spans="2:7">
      <c r="B225" s="44">
        <v>142</v>
      </c>
      <c r="C225" s="39" t="s">
        <v>85</v>
      </c>
      <c r="D225" s="39"/>
      <c r="E225" s="56"/>
      <c r="F225" s="50"/>
      <c r="G225" s="52"/>
    </row>
    <row r="226" spans="2:7">
      <c r="B226" s="44"/>
      <c r="C226" s="48" t="s">
        <v>86</v>
      </c>
      <c r="D226" s="48"/>
      <c r="E226" s="49">
        <v>0</v>
      </c>
      <c r="F226" s="50">
        <v>0</v>
      </c>
      <c r="G226" s="52"/>
    </row>
    <row r="227" spans="2:7">
      <c r="B227" s="44"/>
      <c r="C227" s="48" t="s">
        <v>87</v>
      </c>
      <c r="D227" s="48"/>
      <c r="E227" s="49">
        <v>0</v>
      </c>
      <c r="F227" s="50">
        <v>0</v>
      </c>
      <c r="G227" s="52"/>
    </row>
    <row r="228" spans="2:7">
      <c r="B228" s="44"/>
      <c r="C228" s="53" t="s">
        <v>26</v>
      </c>
      <c r="D228" s="53"/>
      <c r="E228" s="56">
        <v>0</v>
      </c>
      <c r="F228" s="54">
        <v>0</v>
      </c>
      <c r="G228" s="52"/>
    </row>
    <row r="229" spans="2:7">
      <c r="B229" s="44">
        <v>144</v>
      </c>
      <c r="C229" s="39" t="s">
        <v>88</v>
      </c>
      <c r="D229" s="39"/>
      <c r="E229" s="49">
        <v>0</v>
      </c>
      <c r="F229" s="54">
        <v>0</v>
      </c>
      <c r="G229" s="52"/>
    </row>
    <row r="230" spans="2:7">
      <c r="B230" s="44">
        <v>221</v>
      </c>
      <c r="C230" s="39" t="s">
        <v>89</v>
      </c>
      <c r="D230" s="39"/>
      <c r="E230" s="49">
        <v>0</v>
      </c>
      <c r="F230" s="54">
        <v>0</v>
      </c>
      <c r="G230" s="52"/>
    </row>
    <row r="231" spans="2:7">
      <c r="B231" s="44">
        <v>222</v>
      </c>
      <c r="C231" s="39" t="s">
        <v>90</v>
      </c>
      <c r="D231" s="39"/>
      <c r="E231" s="49">
        <v>0</v>
      </c>
      <c r="F231" s="54">
        <v>0</v>
      </c>
      <c r="G231" s="52"/>
    </row>
    <row r="232" spans="2:7">
      <c r="B232" s="44">
        <v>224</v>
      </c>
      <c r="C232" s="39" t="s">
        <v>91</v>
      </c>
      <c r="D232" s="39"/>
      <c r="E232" s="49">
        <v>0</v>
      </c>
      <c r="F232" s="54">
        <v>0</v>
      </c>
      <c r="G232" s="52"/>
    </row>
    <row r="233" spans="2:7">
      <c r="B233" s="44">
        <v>225</v>
      </c>
      <c r="C233" s="39" t="s">
        <v>92</v>
      </c>
      <c r="D233" s="39"/>
      <c r="E233" s="49">
        <v>0</v>
      </c>
      <c r="F233" s="54">
        <v>0</v>
      </c>
      <c r="G233" s="38"/>
    </row>
    <row r="234" spans="2:7">
      <c r="B234" s="44">
        <v>226</v>
      </c>
      <c r="C234" s="39" t="s">
        <v>93</v>
      </c>
      <c r="D234" s="39"/>
      <c r="E234" s="49">
        <v>0</v>
      </c>
      <c r="F234" s="54">
        <v>0</v>
      </c>
      <c r="G234" s="60"/>
    </row>
    <row r="235" spans="2:7" ht="15.75" thickBot="1">
      <c r="B235" s="61"/>
      <c r="C235" s="62" t="s">
        <v>94</v>
      </c>
      <c r="D235" s="62"/>
      <c r="E235" s="94">
        <v>0</v>
      </c>
      <c r="F235" s="63">
        <v>0</v>
      </c>
      <c r="G235" s="38"/>
    </row>
    <row r="236" spans="2:7">
      <c r="B236" s="64"/>
      <c r="C236" s="65" t="s">
        <v>95</v>
      </c>
      <c r="D236" s="66"/>
      <c r="E236" s="67">
        <v>2713.3370181818141</v>
      </c>
      <c r="F236" s="68">
        <v>2713.3370181818141</v>
      </c>
      <c r="G236" s="69"/>
    </row>
    <row r="237" spans="2:7" ht="15.75" thickBot="1">
      <c r="B237" s="64"/>
      <c r="C237" s="70"/>
      <c r="D237" s="71"/>
      <c r="E237" s="72"/>
      <c r="F237" s="73"/>
      <c r="G237" s="69"/>
    </row>
    <row r="238" spans="2:7" ht="15.75" thickBot="1">
      <c r="B238" s="64"/>
      <c r="C238" s="70" t="s">
        <v>96</v>
      </c>
      <c r="D238" s="71"/>
      <c r="E238" s="74">
        <v>13761.81686677687</v>
      </c>
      <c r="F238" s="75">
        <v>13761.81686677687</v>
      </c>
      <c r="G238" s="76"/>
    </row>
    <row r="239" spans="2:7" ht="8.25" customHeight="1" thickBot="1">
      <c r="B239" s="77"/>
      <c r="C239" s="81"/>
      <c r="D239" s="81"/>
      <c r="E239" s="78"/>
      <c r="F239" s="78"/>
      <c r="G239" s="79"/>
    </row>
    <row r="240" spans="2:7">
      <c r="B240" s="85"/>
      <c r="C240" s="84"/>
      <c r="D240" s="84"/>
      <c r="E240" s="85"/>
      <c r="F240" s="85"/>
      <c r="G240" s="85"/>
    </row>
    <row r="241" spans="1:7" ht="6" customHeight="1" thickBot="1"/>
    <row r="242" spans="1:7">
      <c r="B242" s="1"/>
      <c r="C242" s="2"/>
      <c r="D242" s="2"/>
      <c r="E242" s="2"/>
      <c r="F242" s="2"/>
      <c r="G242" s="3"/>
    </row>
    <row r="243" spans="1:7">
      <c r="B243" s="4"/>
      <c r="C243" s="5"/>
      <c r="D243" s="5"/>
      <c r="E243" s="5"/>
      <c r="F243" s="5"/>
      <c r="G243" s="6"/>
    </row>
    <row r="244" spans="1:7">
      <c r="B244" s="4"/>
      <c r="C244" s="5"/>
      <c r="D244" s="5"/>
      <c r="E244" s="5"/>
      <c r="F244" s="5"/>
      <c r="G244" s="6"/>
    </row>
    <row r="245" spans="1:7">
      <c r="B245" s="4"/>
      <c r="C245" s="5"/>
      <c r="D245" s="5"/>
      <c r="E245" s="5"/>
      <c r="F245" s="5"/>
      <c r="G245" s="6"/>
    </row>
    <row r="246" spans="1:7">
      <c r="B246" s="4"/>
      <c r="C246" s="5"/>
      <c r="D246" s="5"/>
      <c r="E246" s="5"/>
      <c r="F246" s="5"/>
      <c r="G246" s="6"/>
    </row>
    <row r="247" spans="1:7" ht="16.5" customHeight="1">
      <c r="B247" s="4"/>
      <c r="C247" s="5"/>
      <c r="D247" s="5"/>
      <c r="E247" s="5"/>
      <c r="F247" s="5"/>
      <c r="G247" s="6"/>
    </row>
    <row r="248" spans="1:7" ht="22.5" customHeight="1" thickBot="1">
      <c r="B248" s="4"/>
      <c r="C248" s="95" t="s">
        <v>0</v>
      </c>
      <c r="D248" s="95"/>
      <c r="E248" s="95"/>
      <c r="F248" s="5"/>
      <c r="G248" s="6"/>
    </row>
    <row r="249" spans="1:7" ht="21" thickTop="1">
      <c r="B249" s="4"/>
      <c r="C249" s="7"/>
      <c r="D249" s="7"/>
      <c r="E249" s="5"/>
      <c r="F249" s="5"/>
      <c r="G249" s="6"/>
    </row>
    <row r="250" spans="1:7">
      <c r="B250" s="8" t="s">
        <v>1</v>
      </c>
      <c r="C250" s="9" t="s">
        <v>97</v>
      </c>
      <c r="D250" s="5"/>
      <c r="E250" s="10" t="s">
        <v>2</v>
      </c>
      <c r="F250" s="9" t="s">
        <v>98</v>
      </c>
      <c r="G250" s="6"/>
    </row>
    <row r="251" spans="1:7" ht="3.75" customHeight="1">
      <c r="A251" s="80"/>
      <c r="B251" s="5"/>
      <c r="C251" s="5"/>
      <c r="D251" s="5"/>
      <c r="E251" s="11"/>
      <c r="F251" s="5"/>
      <c r="G251" s="6"/>
    </row>
    <row r="252" spans="1:7">
      <c r="A252" s="80"/>
      <c r="B252" s="12" t="s">
        <v>3</v>
      </c>
      <c r="C252" s="9" t="s">
        <v>99</v>
      </c>
      <c r="D252" s="5"/>
      <c r="E252" s="10" t="s">
        <v>4</v>
      </c>
      <c r="F252" s="82" t="s">
        <v>100</v>
      </c>
      <c r="G252" s="6"/>
    </row>
    <row r="253" spans="1:7" ht="3.75" customHeight="1">
      <c r="A253" s="80"/>
      <c r="B253" s="5"/>
      <c r="C253" s="5"/>
      <c r="D253" s="5"/>
      <c r="E253" s="11"/>
      <c r="F253" s="5"/>
      <c r="G253" s="6"/>
    </row>
    <row r="254" spans="1:7">
      <c r="A254" s="80"/>
      <c r="B254" s="10" t="s">
        <v>5</v>
      </c>
      <c r="C254" s="9" t="s">
        <v>101</v>
      </c>
      <c r="D254" s="5"/>
      <c r="E254" s="10" t="s">
        <v>6</v>
      </c>
      <c r="F254" s="9" t="s">
        <v>107</v>
      </c>
      <c r="G254" s="6"/>
    </row>
    <row r="255" spans="1:7" ht="4.5" customHeight="1">
      <c r="A255" s="80"/>
      <c r="B255" s="13"/>
      <c r="C255" s="5"/>
      <c r="D255" s="5"/>
      <c r="E255" s="11"/>
      <c r="F255" s="5"/>
      <c r="G255" s="6"/>
    </row>
    <row r="256" spans="1:7">
      <c r="A256" s="80"/>
      <c r="B256" s="10" t="s">
        <v>7</v>
      </c>
      <c r="C256" s="9" t="s">
        <v>126</v>
      </c>
      <c r="D256" s="5"/>
      <c r="E256" s="11"/>
      <c r="F256" s="5"/>
      <c r="G256" s="6"/>
    </row>
    <row r="257" spans="1:7" ht="3.75" customHeight="1">
      <c r="A257" s="80"/>
      <c r="B257" s="5"/>
      <c r="C257" s="5"/>
      <c r="D257" s="5"/>
      <c r="E257" s="11"/>
      <c r="F257" s="5"/>
      <c r="G257" s="6"/>
    </row>
    <row r="258" spans="1:7">
      <c r="B258" s="14" t="s">
        <v>8</v>
      </c>
      <c r="C258" s="15" t="s">
        <v>105</v>
      </c>
      <c r="D258" s="5"/>
      <c r="E258" s="86" t="s">
        <v>109</v>
      </c>
      <c r="F258" s="87">
        <v>45352</v>
      </c>
      <c r="G258" s="6"/>
    </row>
    <row r="259" spans="1:7">
      <c r="B259" s="16" t="s">
        <v>9</v>
      </c>
      <c r="C259" s="17" t="s">
        <v>130</v>
      </c>
      <c r="D259" s="5"/>
      <c r="E259" s="88" t="s">
        <v>110</v>
      </c>
      <c r="F259" s="89">
        <v>45382</v>
      </c>
      <c r="G259" s="18"/>
    </row>
    <row r="260" spans="1:7" ht="15.75" thickBot="1">
      <c r="B260" s="4"/>
      <c r="C260" s="19"/>
      <c r="D260" s="19"/>
      <c r="E260" s="20"/>
      <c r="F260" s="21"/>
      <c r="G260" s="18"/>
    </row>
    <row r="261" spans="1:7" ht="18.75" thickBot="1">
      <c r="B261" s="4"/>
      <c r="C261" s="22" t="s">
        <v>10</v>
      </c>
      <c r="D261" s="23"/>
      <c r="E261" s="24"/>
      <c r="F261" s="25" t="s">
        <v>11</v>
      </c>
      <c r="G261" s="18"/>
    </row>
    <row r="262" spans="1:7">
      <c r="B262" s="4"/>
      <c r="C262" s="26" t="s">
        <v>12</v>
      </c>
      <c r="D262" s="26"/>
      <c r="E262" s="27">
        <v>13761.81686677687</v>
      </c>
      <c r="F262" s="28">
        <v>13761.81686677687</v>
      </c>
      <c r="G262" s="29"/>
    </row>
    <row r="263" spans="1:7">
      <c r="B263" s="30">
        <v>143</v>
      </c>
      <c r="C263" s="31" t="s">
        <v>13</v>
      </c>
      <c r="D263" s="31"/>
      <c r="E263" s="27">
        <v>4578.6174545454505</v>
      </c>
      <c r="F263" s="32">
        <v>4578.6174545454505</v>
      </c>
      <c r="G263" s="33"/>
    </row>
    <row r="264" spans="1:7">
      <c r="B264" s="30"/>
      <c r="C264" s="34" t="s">
        <v>14</v>
      </c>
      <c r="D264" s="34"/>
      <c r="E264" s="27">
        <v>0</v>
      </c>
      <c r="F264" s="32">
        <v>0</v>
      </c>
      <c r="G264" s="33"/>
    </row>
    <row r="265" spans="1:7">
      <c r="B265" s="30"/>
      <c r="C265" s="34" t="s">
        <v>15</v>
      </c>
      <c r="D265" s="34"/>
      <c r="E265" s="27">
        <v>0</v>
      </c>
      <c r="F265" s="32">
        <v>0</v>
      </c>
      <c r="G265" s="33"/>
    </row>
    <row r="266" spans="1:7">
      <c r="B266" s="30"/>
      <c r="C266" s="34" t="s">
        <v>16</v>
      </c>
      <c r="D266" s="34"/>
      <c r="E266" s="27">
        <v>0</v>
      </c>
      <c r="F266" s="32">
        <v>0</v>
      </c>
      <c r="G266" s="33"/>
    </row>
    <row r="267" spans="1:7">
      <c r="B267" s="30"/>
      <c r="C267" s="34" t="s">
        <v>17</v>
      </c>
      <c r="D267" s="34"/>
      <c r="E267" s="27">
        <v>0</v>
      </c>
      <c r="F267" s="32">
        <v>0</v>
      </c>
      <c r="G267" s="33"/>
    </row>
    <row r="268" spans="1:7">
      <c r="B268" s="30"/>
      <c r="C268" s="35" t="s">
        <v>18</v>
      </c>
      <c r="D268" s="35"/>
      <c r="E268" s="36">
        <v>18340.434321322318</v>
      </c>
      <c r="F268" s="37">
        <v>18340.434321322318</v>
      </c>
      <c r="G268" s="38"/>
    </row>
    <row r="269" spans="1:7" ht="15.75" thickBot="1">
      <c r="B269" s="30"/>
      <c r="C269" s="39"/>
      <c r="D269" s="39"/>
      <c r="E269" s="40"/>
      <c r="F269" s="41"/>
      <c r="G269" s="38"/>
    </row>
    <row r="270" spans="1:7" ht="18.75" thickBot="1">
      <c r="B270" s="30"/>
      <c r="C270" s="22" t="s">
        <v>19</v>
      </c>
      <c r="D270" s="23"/>
      <c r="E270" s="42"/>
      <c r="F270" s="43"/>
      <c r="G270" s="38"/>
    </row>
    <row r="271" spans="1:7">
      <c r="B271" s="44">
        <v>121</v>
      </c>
      <c r="C271" s="39" t="s">
        <v>20</v>
      </c>
      <c r="D271" s="39"/>
      <c r="E271" s="45"/>
      <c r="F271" s="46"/>
      <c r="G271" s="47"/>
    </row>
    <row r="272" spans="1:7">
      <c r="B272" s="44"/>
      <c r="C272" s="48" t="s">
        <v>21</v>
      </c>
      <c r="D272" s="48"/>
      <c r="E272" s="49">
        <v>0</v>
      </c>
      <c r="F272" s="50">
        <v>0</v>
      </c>
      <c r="G272" s="47"/>
    </row>
    <row r="273" spans="2:7">
      <c r="B273" s="44"/>
      <c r="C273" s="48" t="s">
        <v>22</v>
      </c>
      <c r="D273" s="48"/>
      <c r="E273" s="49">
        <v>0</v>
      </c>
      <c r="F273" s="50">
        <v>0</v>
      </c>
      <c r="G273" s="47"/>
    </row>
    <row r="274" spans="2:7">
      <c r="B274" s="51"/>
      <c r="C274" s="48" t="s">
        <v>23</v>
      </c>
      <c r="D274" s="48"/>
      <c r="E274" s="49">
        <v>0</v>
      </c>
      <c r="F274" s="50">
        <v>0</v>
      </c>
      <c r="G274" s="52"/>
    </row>
    <row r="275" spans="2:7">
      <c r="B275" s="51"/>
      <c r="C275" s="48" t="s">
        <v>24</v>
      </c>
      <c r="D275" s="48"/>
      <c r="E275" s="49">
        <v>814.0011054545447</v>
      </c>
      <c r="F275" s="50">
        <v>814.0011054545447</v>
      </c>
      <c r="G275" s="52"/>
    </row>
    <row r="276" spans="2:7">
      <c r="B276" s="44"/>
      <c r="C276" s="48" t="s">
        <v>25</v>
      </c>
      <c r="D276" s="48"/>
      <c r="E276" s="49">
        <v>0</v>
      </c>
      <c r="F276" s="50">
        <v>0</v>
      </c>
      <c r="G276" s="52"/>
    </row>
    <row r="277" spans="2:7">
      <c r="B277" s="44"/>
      <c r="C277" s="53" t="s">
        <v>26</v>
      </c>
      <c r="D277" s="53"/>
      <c r="E277" s="36">
        <v>814.0011054545447</v>
      </c>
      <c r="F277" s="54">
        <v>814.0011054545447</v>
      </c>
      <c r="G277" s="52"/>
    </row>
    <row r="278" spans="2:7">
      <c r="B278" s="44">
        <v>122</v>
      </c>
      <c r="C278" s="39" t="s">
        <v>27</v>
      </c>
      <c r="D278" s="39"/>
      <c r="E278" s="36"/>
      <c r="F278" s="50"/>
      <c r="G278" s="55"/>
    </row>
    <row r="279" spans="2:7">
      <c r="B279" s="44"/>
      <c r="C279" s="48" t="s">
        <v>28</v>
      </c>
      <c r="D279" s="48"/>
      <c r="E279" s="49">
        <v>0</v>
      </c>
      <c r="F279" s="50">
        <v>0</v>
      </c>
      <c r="G279" s="52"/>
    </row>
    <row r="280" spans="2:7">
      <c r="B280" s="44"/>
      <c r="C280" s="48" t="s">
        <v>29</v>
      </c>
      <c r="D280" s="48"/>
      <c r="E280" s="49">
        <v>0</v>
      </c>
      <c r="F280" s="50">
        <v>0</v>
      </c>
      <c r="G280" s="52"/>
    </row>
    <row r="281" spans="2:7">
      <c r="B281" s="44"/>
      <c r="C281" s="48" t="s">
        <v>30</v>
      </c>
      <c r="D281" s="48"/>
      <c r="E281" s="49">
        <v>0</v>
      </c>
      <c r="F281" s="50">
        <v>0</v>
      </c>
      <c r="G281" s="52"/>
    </row>
    <row r="282" spans="2:7">
      <c r="B282" s="44"/>
      <c r="C282" s="48" t="s">
        <v>31</v>
      </c>
      <c r="D282" s="48"/>
      <c r="E282" s="49">
        <v>0</v>
      </c>
      <c r="F282" s="50">
        <v>0</v>
      </c>
      <c r="G282" s="52"/>
    </row>
    <row r="283" spans="2:7">
      <c r="B283" s="44"/>
      <c r="C283" s="48" t="s">
        <v>32</v>
      </c>
      <c r="D283" s="48"/>
      <c r="E283" s="49">
        <v>271.33370181818157</v>
      </c>
      <c r="F283" s="50">
        <v>271.33370181818157</v>
      </c>
      <c r="G283" s="52"/>
    </row>
    <row r="284" spans="2:7">
      <c r="B284" s="44"/>
      <c r="C284" s="48" t="s">
        <v>33</v>
      </c>
      <c r="D284" s="48"/>
      <c r="E284" s="49">
        <v>0</v>
      </c>
      <c r="F284" s="50">
        <v>0</v>
      </c>
      <c r="G284" s="52"/>
    </row>
    <row r="285" spans="2:7">
      <c r="B285" s="44"/>
      <c r="C285" s="48" t="s">
        <v>34</v>
      </c>
      <c r="D285" s="48"/>
      <c r="E285" s="49">
        <v>0</v>
      </c>
      <c r="F285" s="50">
        <v>0</v>
      </c>
      <c r="G285" s="52"/>
    </row>
    <row r="286" spans="2:7">
      <c r="B286" s="44"/>
      <c r="C286" s="48" t="s">
        <v>35</v>
      </c>
      <c r="D286" s="48"/>
      <c r="E286" s="49">
        <v>0</v>
      </c>
      <c r="F286" s="50">
        <v>0</v>
      </c>
      <c r="G286" s="52"/>
    </row>
    <row r="287" spans="2:7">
      <c r="B287" s="44"/>
      <c r="C287" s="53" t="s">
        <v>26</v>
      </c>
      <c r="D287" s="53"/>
      <c r="E287" s="36">
        <v>271.33370181818157</v>
      </c>
      <c r="F287" s="54">
        <v>271.33370181818157</v>
      </c>
      <c r="G287" s="52"/>
    </row>
    <row r="288" spans="2:7">
      <c r="B288" s="44">
        <v>123</v>
      </c>
      <c r="C288" s="39" t="s">
        <v>36</v>
      </c>
      <c r="D288" s="39"/>
      <c r="E288" s="56"/>
      <c r="F288" s="57"/>
      <c r="G288" s="52"/>
    </row>
    <row r="289" spans="2:7">
      <c r="B289" s="44"/>
      <c r="C289" s="48" t="s">
        <v>37</v>
      </c>
      <c r="D289" s="48"/>
      <c r="E289" s="49">
        <v>222.00030148760285</v>
      </c>
      <c r="F289" s="50">
        <v>222.00030148760285</v>
      </c>
      <c r="G289" s="52"/>
    </row>
    <row r="290" spans="2:7">
      <c r="B290" s="44"/>
      <c r="C290" s="48" t="s">
        <v>38</v>
      </c>
      <c r="D290" s="48"/>
      <c r="E290" s="49">
        <v>1825.3358122314014</v>
      </c>
      <c r="F290" s="50">
        <v>1825.3358122314014</v>
      </c>
      <c r="G290" s="52"/>
    </row>
    <row r="291" spans="2:7">
      <c r="B291" s="44"/>
      <c r="C291" s="48" t="s">
        <v>39</v>
      </c>
      <c r="D291" s="48"/>
      <c r="E291" s="49">
        <v>222.00030148760285</v>
      </c>
      <c r="F291" s="50">
        <v>222.00030148760285</v>
      </c>
      <c r="G291" s="52"/>
    </row>
    <row r="292" spans="2:7">
      <c r="B292" s="44"/>
      <c r="C292" s="48" t="s">
        <v>40</v>
      </c>
      <c r="D292" s="48"/>
      <c r="E292" s="49">
        <v>0</v>
      </c>
      <c r="F292" s="50">
        <v>0</v>
      </c>
      <c r="G292" s="52"/>
    </row>
    <row r="293" spans="2:7">
      <c r="B293" s="44"/>
      <c r="C293" s="48" t="s">
        <v>41</v>
      </c>
      <c r="D293" s="48"/>
      <c r="E293" s="49">
        <v>0</v>
      </c>
      <c r="F293" s="50">
        <v>0</v>
      </c>
      <c r="G293" s="52"/>
    </row>
    <row r="294" spans="2:7">
      <c r="B294" s="44"/>
      <c r="C294" s="48" t="s">
        <v>42</v>
      </c>
      <c r="D294" s="48"/>
      <c r="E294" s="49">
        <v>444.00060297520571</v>
      </c>
      <c r="F294" s="50">
        <v>444.00060297520571</v>
      </c>
      <c r="G294" s="52"/>
    </row>
    <row r="295" spans="2:7">
      <c r="B295" s="44"/>
      <c r="C295" s="53" t="s">
        <v>26</v>
      </c>
      <c r="D295" s="53"/>
      <c r="E295" s="36">
        <v>2713.3370181818127</v>
      </c>
      <c r="F295" s="54">
        <v>2713.3370181818127</v>
      </c>
      <c r="G295" s="52"/>
    </row>
    <row r="296" spans="2:7">
      <c r="B296" s="44">
        <v>124</v>
      </c>
      <c r="C296" s="39" t="s">
        <v>43</v>
      </c>
      <c r="D296" s="39"/>
      <c r="E296" s="56"/>
      <c r="F296" s="57"/>
      <c r="G296" s="52"/>
    </row>
    <row r="297" spans="2:7">
      <c r="B297" s="44"/>
      <c r="C297" s="48" t="s">
        <v>44</v>
      </c>
      <c r="D297" s="48"/>
      <c r="E297" s="49">
        <v>0</v>
      </c>
      <c r="F297" s="50">
        <v>0</v>
      </c>
      <c r="G297" s="52"/>
    </row>
    <row r="298" spans="2:7">
      <c r="B298" s="44"/>
      <c r="C298" s="48" t="s">
        <v>45</v>
      </c>
      <c r="D298" s="48"/>
      <c r="E298" s="49">
        <v>2102.8361890909068</v>
      </c>
      <c r="F298" s="50">
        <v>2102.8361890909068</v>
      </c>
      <c r="G298" s="52"/>
    </row>
    <row r="299" spans="2:7">
      <c r="B299" s="44"/>
      <c r="C299" s="48" t="s">
        <v>46</v>
      </c>
      <c r="D299" s="48"/>
      <c r="E299" s="49">
        <v>0</v>
      </c>
      <c r="F299" s="50">
        <v>0</v>
      </c>
      <c r="G299" s="52"/>
    </row>
    <row r="300" spans="2:7">
      <c r="B300" s="44"/>
      <c r="C300" s="53" t="s">
        <v>26</v>
      </c>
      <c r="D300" s="53"/>
      <c r="E300" s="36">
        <v>2102.8361890909068</v>
      </c>
      <c r="F300" s="54">
        <v>2102.8361890909068</v>
      </c>
      <c r="G300" s="52"/>
    </row>
    <row r="301" spans="2:7">
      <c r="B301" s="44">
        <v>125</v>
      </c>
      <c r="C301" s="39" t="s">
        <v>47</v>
      </c>
      <c r="D301" s="39"/>
      <c r="E301" s="36"/>
      <c r="F301" s="50"/>
      <c r="G301" s="52"/>
    </row>
    <row r="302" spans="2:7">
      <c r="B302" s="44"/>
      <c r="C302" s="48" t="s">
        <v>48</v>
      </c>
      <c r="D302" s="48"/>
      <c r="E302" s="58">
        <v>0</v>
      </c>
      <c r="F302" s="50">
        <v>0</v>
      </c>
      <c r="G302" s="52"/>
    </row>
    <row r="303" spans="2:7">
      <c r="B303" s="44"/>
      <c r="C303" s="48" t="s">
        <v>49</v>
      </c>
      <c r="D303" s="48"/>
      <c r="E303" s="58">
        <v>0</v>
      </c>
      <c r="F303" s="50">
        <v>0</v>
      </c>
      <c r="G303" s="52"/>
    </row>
    <row r="304" spans="2:7">
      <c r="B304" s="44"/>
      <c r="C304" s="48" t="s">
        <v>50</v>
      </c>
      <c r="D304" s="48"/>
      <c r="E304" s="58">
        <v>881.83453090909018</v>
      </c>
      <c r="F304" s="50">
        <v>881.83453090909018</v>
      </c>
      <c r="G304" s="52"/>
    </row>
    <row r="305" spans="2:7">
      <c r="B305" s="44"/>
      <c r="C305" s="48" t="s">
        <v>51</v>
      </c>
      <c r="D305" s="48"/>
      <c r="E305" s="58">
        <v>0</v>
      </c>
      <c r="F305" s="50">
        <v>0</v>
      </c>
      <c r="G305" s="52"/>
    </row>
    <row r="306" spans="2:7">
      <c r="B306" s="44"/>
      <c r="C306" s="53" t="s">
        <v>26</v>
      </c>
      <c r="D306" s="53"/>
      <c r="E306" s="56">
        <v>881.83453090909018</v>
      </c>
      <c r="F306" s="54">
        <v>881.83453090909018</v>
      </c>
      <c r="G306" s="52"/>
    </row>
    <row r="307" spans="2:7">
      <c r="B307" s="44">
        <v>126</v>
      </c>
      <c r="C307" s="39" t="s">
        <v>52</v>
      </c>
      <c r="D307" s="39"/>
      <c r="E307" s="56"/>
      <c r="F307" s="50"/>
      <c r="G307" s="52"/>
    </row>
    <row r="308" spans="2:7">
      <c r="B308" s="44"/>
      <c r="C308" s="48" t="s">
        <v>53</v>
      </c>
      <c r="D308" s="48"/>
      <c r="E308" s="49">
        <v>0</v>
      </c>
      <c r="F308" s="50">
        <v>0</v>
      </c>
      <c r="G308" s="52"/>
    </row>
    <row r="309" spans="2:7">
      <c r="B309" s="44"/>
      <c r="C309" s="48" t="s">
        <v>54</v>
      </c>
      <c r="D309" s="48"/>
      <c r="E309" s="49">
        <v>0</v>
      </c>
      <c r="F309" s="50"/>
      <c r="G309" s="52"/>
    </row>
    <row r="310" spans="2:7">
      <c r="B310" s="44"/>
      <c r="C310" s="48" t="s">
        <v>55</v>
      </c>
      <c r="D310" s="48"/>
      <c r="E310" s="49">
        <v>0</v>
      </c>
      <c r="F310" s="50"/>
      <c r="G310" s="52"/>
    </row>
    <row r="311" spans="2:7">
      <c r="B311" s="44"/>
      <c r="C311" s="48" t="s">
        <v>56</v>
      </c>
      <c r="D311" s="48"/>
      <c r="E311" s="49">
        <v>0</v>
      </c>
      <c r="F311" s="57"/>
      <c r="G311" s="52"/>
    </row>
    <row r="312" spans="2:7">
      <c r="B312" s="44"/>
      <c r="C312" s="53" t="s">
        <v>26</v>
      </c>
      <c r="D312" s="53"/>
      <c r="E312" s="56">
        <v>0</v>
      </c>
      <c r="F312" s="54">
        <v>0</v>
      </c>
      <c r="G312" s="52"/>
    </row>
    <row r="313" spans="2:7">
      <c r="B313" s="44">
        <v>127</v>
      </c>
      <c r="C313" s="39" t="s">
        <v>57</v>
      </c>
      <c r="D313" s="39"/>
      <c r="E313" s="56"/>
      <c r="F313" s="54"/>
      <c r="G313" s="52"/>
    </row>
    <row r="314" spans="2:7">
      <c r="B314" s="44"/>
      <c r="C314" s="48" t="s">
        <v>58</v>
      </c>
      <c r="D314" s="48"/>
      <c r="E314" s="49">
        <v>0</v>
      </c>
      <c r="F314" s="50">
        <v>0</v>
      </c>
      <c r="G314" s="52"/>
    </row>
    <row r="315" spans="2:7">
      <c r="B315" s="44"/>
      <c r="C315" s="48" t="s">
        <v>59</v>
      </c>
      <c r="D315" s="48"/>
      <c r="E315" s="49">
        <v>0</v>
      </c>
      <c r="F315" s="50">
        <v>0</v>
      </c>
      <c r="G315" s="52"/>
    </row>
    <row r="316" spans="2:7">
      <c r="B316" s="44"/>
      <c r="C316" s="48" t="s">
        <v>60</v>
      </c>
      <c r="D316" s="48"/>
      <c r="E316" s="49">
        <v>0</v>
      </c>
      <c r="F316" s="50">
        <v>0</v>
      </c>
      <c r="G316" s="52"/>
    </row>
    <row r="317" spans="2:7">
      <c r="B317" s="44"/>
      <c r="C317" s="59" t="s">
        <v>61</v>
      </c>
      <c r="D317" s="59"/>
      <c r="E317" s="49">
        <v>0</v>
      </c>
      <c r="F317" s="50">
        <v>0</v>
      </c>
      <c r="G317" s="52"/>
    </row>
    <row r="318" spans="2:7">
      <c r="B318" s="44"/>
      <c r="C318" s="53" t="s">
        <v>26</v>
      </c>
      <c r="D318" s="53"/>
      <c r="E318" s="56">
        <v>0</v>
      </c>
      <c r="F318" s="54">
        <v>0</v>
      </c>
      <c r="G318" s="52"/>
    </row>
    <row r="319" spans="2:7">
      <c r="B319" s="44">
        <v>128</v>
      </c>
      <c r="C319" s="39" t="s">
        <v>62</v>
      </c>
      <c r="D319" s="39"/>
      <c r="E319" s="56"/>
      <c r="F319" s="54"/>
      <c r="G319" s="52"/>
    </row>
    <row r="320" spans="2:7">
      <c r="B320" s="44"/>
      <c r="C320" s="48" t="s">
        <v>63</v>
      </c>
      <c r="D320" s="48"/>
      <c r="E320" s="49">
        <v>0</v>
      </c>
      <c r="F320" s="50">
        <v>0</v>
      </c>
      <c r="G320" s="52"/>
    </row>
    <row r="321" spans="2:7">
      <c r="B321" s="44"/>
      <c r="C321" s="48" t="s">
        <v>64</v>
      </c>
      <c r="D321" s="48"/>
      <c r="E321" s="49">
        <v>0</v>
      </c>
      <c r="F321" s="50">
        <v>0</v>
      </c>
      <c r="G321" s="52"/>
    </row>
    <row r="322" spans="2:7">
      <c r="B322" s="44"/>
      <c r="C322" s="48" t="s">
        <v>65</v>
      </c>
      <c r="D322" s="48"/>
      <c r="E322" s="49">
        <v>0</v>
      </c>
      <c r="F322" s="50">
        <v>0</v>
      </c>
      <c r="G322" s="52"/>
    </row>
    <row r="323" spans="2:7">
      <c r="B323" s="44"/>
      <c r="C323" s="48" t="s">
        <v>66</v>
      </c>
      <c r="D323" s="48"/>
      <c r="E323" s="49">
        <v>0</v>
      </c>
      <c r="F323" s="50">
        <v>0</v>
      </c>
      <c r="G323" s="52"/>
    </row>
    <row r="324" spans="2:7">
      <c r="B324" s="44"/>
      <c r="C324" s="48" t="s">
        <v>67</v>
      </c>
      <c r="D324" s="48"/>
      <c r="E324" s="49">
        <v>0</v>
      </c>
      <c r="F324" s="50">
        <v>0</v>
      </c>
      <c r="G324" s="52"/>
    </row>
    <row r="325" spans="2:7">
      <c r="B325" s="44"/>
      <c r="C325" s="53" t="s">
        <v>26</v>
      </c>
      <c r="D325" s="53"/>
      <c r="E325" s="56">
        <v>0</v>
      </c>
      <c r="F325" s="54">
        <v>0</v>
      </c>
      <c r="G325" s="52"/>
    </row>
    <row r="326" spans="2:7">
      <c r="B326" s="44">
        <v>135</v>
      </c>
      <c r="C326" s="39" t="s">
        <v>68</v>
      </c>
      <c r="D326" s="39"/>
      <c r="E326" s="56"/>
      <c r="F326" s="50"/>
      <c r="G326" s="52"/>
    </row>
    <row r="327" spans="2:7">
      <c r="B327" s="44"/>
      <c r="C327" s="48" t="s">
        <v>69</v>
      </c>
      <c r="D327" s="48"/>
      <c r="E327" s="49">
        <v>0</v>
      </c>
      <c r="F327" s="50">
        <v>0</v>
      </c>
      <c r="G327" s="52"/>
    </row>
    <row r="328" spans="2:7">
      <c r="B328" s="44"/>
      <c r="C328" s="48" t="s">
        <v>70</v>
      </c>
      <c r="D328" s="48"/>
      <c r="E328" s="49">
        <v>0</v>
      </c>
      <c r="F328" s="50">
        <v>0</v>
      </c>
      <c r="G328" s="52"/>
    </row>
    <row r="329" spans="2:7">
      <c r="B329" s="44"/>
      <c r="C329" s="48" t="s">
        <v>71</v>
      </c>
      <c r="D329" s="48"/>
      <c r="E329" s="49">
        <v>0</v>
      </c>
      <c r="F329" s="50">
        <v>0</v>
      </c>
      <c r="G329" s="52"/>
    </row>
    <row r="330" spans="2:7">
      <c r="B330" s="44"/>
      <c r="C330" s="48" t="s">
        <v>72</v>
      </c>
      <c r="D330" s="48"/>
      <c r="E330" s="49">
        <v>0</v>
      </c>
      <c r="F330" s="50">
        <v>0</v>
      </c>
      <c r="G330" s="52"/>
    </row>
    <row r="331" spans="2:7">
      <c r="B331" s="44"/>
      <c r="C331" s="48" t="s">
        <v>73</v>
      </c>
      <c r="D331" s="48"/>
      <c r="E331" s="49">
        <v>0</v>
      </c>
      <c r="F331" s="50">
        <v>0</v>
      </c>
      <c r="G331" s="52"/>
    </row>
    <row r="332" spans="2:7">
      <c r="B332" s="44"/>
      <c r="C332" s="48" t="s">
        <v>74</v>
      </c>
      <c r="D332" s="48"/>
      <c r="E332" s="49">
        <v>0</v>
      </c>
      <c r="F332" s="50">
        <v>0</v>
      </c>
      <c r="G332" s="52"/>
    </row>
    <row r="333" spans="2:7">
      <c r="B333" s="44"/>
      <c r="C333" s="48" t="s">
        <v>75</v>
      </c>
      <c r="D333" s="48"/>
      <c r="E333" s="49">
        <v>0</v>
      </c>
      <c r="F333" s="50">
        <v>0</v>
      </c>
      <c r="G333" s="52"/>
    </row>
    <row r="334" spans="2:7">
      <c r="B334" s="44"/>
      <c r="C334" s="48" t="s">
        <v>76</v>
      </c>
      <c r="D334" s="48"/>
      <c r="E334" s="49">
        <v>0</v>
      </c>
      <c r="F334" s="50">
        <v>0</v>
      </c>
      <c r="G334" s="52"/>
    </row>
    <row r="335" spans="2:7">
      <c r="B335" s="44"/>
      <c r="C335" s="48" t="s">
        <v>77</v>
      </c>
      <c r="D335" s="48"/>
      <c r="E335" s="49">
        <v>0</v>
      </c>
      <c r="F335" s="50">
        <v>0</v>
      </c>
      <c r="G335" s="52"/>
    </row>
    <row r="336" spans="2:7">
      <c r="B336" s="44"/>
      <c r="C336" s="53" t="s">
        <v>26</v>
      </c>
      <c r="D336" s="53"/>
      <c r="E336" s="56">
        <v>0</v>
      </c>
      <c r="F336" s="54">
        <v>0</v>
      </c>
      <c r="G336" s="52"/>
    </row>
    <row r="337" spans="2:7">
      <c r="B337" s="44">
        <v>136</v>
      </c>
      <c r="C337" s="39" t="s">
        <v>78</v>
      </c>
      <c r="D337" s="39"/>
      <c r="E337" s="56"/>
      <c r="F337" s="50"/>
      <c r="G337" s="52"/>
    </row>
    <row r="338" spans="2:7">
      <c r="B338" s="44"/>
      <c r="C338" s="48" t="s">
        <v>79</v>
      </c>
      <c r="D338" s="48"/>
      <c r="E338" s="49">
        <v>0</v>
      </c>
      <c r="F338" s="50">
        <v>0</v>
      </c>
      <c r="G338" s="52"/>
    </row>
    <row r="339" spans="2:7">
      <c r="B339" s="44"/>
      <c r="C339" s="48" t="s">
        <v>80</v>
      </c>
      <c r="D339" s="48"/>
      <c r="E339" s="49">
        <v>0</v>
      </c>
      <c r="F339" s="50">
        <v>0</v>
      </c>
      <c r="G339" s="52"/>
    </row>
    <row r="340" spans="2:7">
      <c r="B340" s="44"/>
      <c r="C340" s="48" t="s">
        <v>81</v>
      </c>
      <c r="D340" s="48"/>
      <c r="E340" s="49">
        <v>0</v>
      </c>
      <c r="F340" s="50">
        <v>0</v>
      </c>
      <c r="G340" s="52"/>
    </row>
    <row r="341" spans="2:7">
      <c r="B341" s="44"/>
      <c r="C341" s="48" t="s">
        <v>82</v>
      </c>
      <c r="D341" s="48"/>
      <c r="E341" s="49">
        <v>0</v>
      </c>
      <c r="F341" s="50">
        <v>0</v>
      </c>
      <c r="G341" s="52"/>
    </row>
    <row r="342" spans="2:7">
      <c r="B342" s="44"/>
      <c r="C342" s="48" t="s">
        <v>83</v>
      </c>
      <c r="D342" s="48"/>
      <c r="E342" s="49">
        <v>0</v>
      </c>
      <c r="F342" s="50">
        <v>0</v>
      </c>
      <c r="G342" s="52"/>
    </row>
    <row r="343" spans="2:7">
      <c r="B343" s="44"/>
      <c r="C343" s="48" t="s">
        <v>84</v>
      </c>
      <c r="D343" s="48"/>
      <c r="E343" s="49">
        <v>0</v>
      </c>
      <c r="F343" s="50">
        <v>0</v>
      </c>
      <c r="G343" s="52"/>
    </row>
    <row r="344" spans="2:7">
      <c r="B344" s="44"/>
      <c r="C344" s="53" t="s">
        <v>26</v>
      </c>
      <c r="D344" s="53"/>
      <c r="E344" s="56">
        <v>0</v>
      </c>
      <c r="F344" s="54">
        <v>0</v>
      </c>
      <c r="G344" s="52"/>
    </row>
    <row r="345" spans="2:7">
      <c r="B345" s="44">
        <v>142</v>
      </c>
      <c r="C345" s="39" t="s">
        <v>85</v>
      </c>
      <c r="D345" s="39"/>
      <c r="E345" s="56"/>
      <c r="F345" s="50"/>
      <c r="G345" s="52"/>
    </row>
    <row r="346" spans="2:7">
      <c r="B346" s="44"/>
      <c r="C346" s="48" t="s">
        <v>86</v>
      </c>
      <c r="D346" s="48"/>
      <c r="E346" s="49">
        <v>0</v>
      </c>
      <c r="F346" s="50">
        <v>0</v>
      </c>
      <c r="G346" s="52"/>
    </row>
    <row r="347" spans="2:7">
      <c r="B347" s="44"/>
      <c r="C347" s="48" t="s">
        <v>87</v>
      </c>
      <c r="D347" s="48"/>
      <c r="E347" s="49">
        <v>0</v>
      </c>
      <c r="F347" s="50">
        <v>0</v>
      </c>
      <c r="G347" s="52"/>
    </row>
    <row r="348" spans="2:7">
      <c r="B348" s="44"/>
      <c r="C348" s="53" t="s">
        <v>26</v>
      </c>
      <c r="D348" s="53"/>
      <c r="E348" s="56">
        <v>0</v>
      </c>
      <c r="F348" s="54">
        <v>0</v>
      </c>
      <c r="G348" s="52"/>
    </row>
    <row r="349" spans="2:7">
      <c r="B349" s="44">
        <v>144</v>
      </c>
      <c r="C349" s="39" t="s">
        <v>88</v>
      </c>
      <c r="D349" s="39"/>
      <c r="E349" s="49">
        <v>0</v>
      </c>
      <c r="F349" s="54">
        <v>0</v>
      </c>
      <c r="G349" s="52"/>
    </row>
    <row r="350" spans="2:7">
      <c r="B350" s="44">
        <v>221</v>
      </c>
      <c r="C350" s="39" t="s">
        <v>89</v>
      </c>
      <c r="D350" s="39"/>
      <c r="E350" s="49">
        <v>0</v>
      </c>
      <c r="F350" s="54">
        <v>0</v>
      </c>
      <c r="G350" s="52"/>
    </row>
    <row r="351" spans="2:7">
      <c r="B351" s="44">
        <v>222</v>
      </c>
      <c r="C351" s="39" t="s">
        <v>90</v>
      </c>
      <c r="D351" s="39"/>
      <c r="E351" s="49">
        <v>0</v>
      </c>
      <c r="F351" s="54">
        <v>0</v>
      </c>
      <c r="G351" s="52"/>
    </row>
    <row r="352" spans="2:7">
      <c r="B352" s="44">
        <v>224</v>
      </c>
      <c r="C352" s="39" t="s">
        <v>91</v>
      </c>
      <c r="D352" s="39"/>
      <c r="E352" s="49">
        <v>0</v>
      </c>
      <c r="F352" s="54">
        <v>0</v>
      </c>
      <c r="G352" s="52"/>
    </row>
    <row r="353" spans="2:7">
      <c r="B353" s="44">
        <v>225</v>
      </c>
      <c r="C353" s="39" t="s">
        <v>92</v>
      </c>
      <c r="D353" s="39"/>
      <c r="E353" s="49">
        <v>0</v>
      </c>
      <c r="F353" s="54">
        <v>0</v>
      </c>
      <c r="G353" s="38"/>
    </row>
    <row r="354" spans="2:7">
      <c r="B354" s="44">
        <v>226</v>
      </c>
      <c r="C354" s="39" t="s">
        <v>93</v>
      </c>
      <c r="D354" s="39"/>
      <c r="E354" s="49">
        <v>0</v>
      </c>
      <c r="F354" s="54">
        <v>0</v>
      </c>
      <c r="G354" s="60"/>
    </row>
    <row r="355" spans="2:7" ht="15.75" thickBot="1">
      <c r="B355" s="61"/>
      <c r="C355" s="62" t="s">
        <v>94</v>
      </c>
      <c r="D355" s="62"/>
      <c r="E355" s="94">
        <v>0</v>
      </c>
      <c r="F355" s="63">
        <v>0</v>
      </c>
      <c r="G355" s="38"/>
    </row>
    <row r="356" spans="2:7">
      <c r="B356" s="64"/>
      <c r="C356" s="65" t="s">
        <v>95</v>
      </c>
      <c r="D356" s="66"/>
      <c r="E356" s="67">
        <v>6783.3425454545359</v>
      </c>
      <c r="F356" s="68">
        <v>6783.3425454545359</v>
      </c>
      <c r="G356" s="69"/>
    </row>
    <row r="357" spans="2:7" ht="15.75" thickBot="1">
      <c r="B357" s="64"/>
      <c r="C357" s="70"/>
      <c r="D357" s="71"/>
      <c r="E357" s="72"/>
      <c r="F357" s="73"/>
      <c r="G357" s="69"/>
    </row>
    <row r="358" spans="2:7" ht="15.75" thickBot="1">
      <c r="B358" s="64"/>
      <c r="C358" s="70" t="s">
        <v>96</v>
      </c>
      <c r="D358" s="71"/>
      <c r="E358" s="74">
        <v>11557.091775867782</v>
      </c>
      <c r="F358" s="75">
        <v>11557.091775867782</v>
      </c>
      <c r="G358" s="76"/>
    </row>
    <row r="359" spans="2:7" ht="8.25" customHeight="1" thickBot="1">
      <c r="B359" s="77"/>
      <c r="C359" s="81"/>
      <c r="D359" s="81"/>
      <c r="E359" s="78"/>
      <c r="F359" s="78"/>
      <c r="G359" s="79"/>
    </row>
    <row r="360" spans="2:7">
      <c r="B360" s="85"/>
      <c r="C360" s="84"/>
      <c r="D360" s="84"/>
      <c r="E360" s="85"/>
      <c r="F360" s="85"/>
      <c r="G360" s="85"/>
    </row>
  </sheetData>
  <mergeCells count="3">
    <mergeCell ref="C8:E8"/>
    <mergeCell ref="C128:E128"/>
    <mergeCell ref="C248:E248"/>
  </mergeCells>
  <dataValidations count="1">
    <dataValidation type="list" allowBlank="1" showInputMessage="1" showErrorMessage="1" sqref="C136 C16 C256" xr:uid="{BBB169DF-FEC3-4636-B15A-43DAEE7FC24E}">
      <formula1>FacList</formula1>
    </dataValidation>
  </dataValidations>
  <hyperlinks>
    <hyperlink ref="F12" r:id="rId1" xr:uid="{1CD1AE7E-BA0B-4F58-93FE-58415FEEB3FF}"/>
    <hyperlink ref="F132" r:id="rId2" xr:uid="{73929BC1-C565-4943-8E62-01CEDECA9CBA}"/>
    <hyperlink ref="F252" r:id="rId3" xr:uid="{41B9471F-A36A-43FA-8B1A-D5ECC54426FB}"/>
  </hyperlinks>
  <pageMargins left="0.7" right="0.7" top="0.75" bottom="0.75" header="0.3" footer="0.3"/>
  <drawing r:id="rId4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1D08D-AE72-4F56-832D-9C3C2D0C67C5}">
  <dimension ref="A1:G360"/>
  <sheetViews>
    <sheetView zoomScale="90" zoomScaleNormal="90" workbookViewId="0">
      <selection activeCell="C1" sqref="A1:XFD1048576"/>
    </sheetView>
  </sheetViews>
  <sheetFormatPr defaultColWidth="8.85546875" defaultRowHeight="15"/>
  <cols>
    <col min="1" max="1" width="1.140625" customWidth="1"/>
    <col min="2" max="2" width="27.42578125" customWidth="1"/>
    <col min="3" max="3" width="42.7109375" bestFit="1" customWidth="1"/>
    <col min="4" max="4" width="4" customWidth="1"/>
    <col min="5" max="5" width="25.42578125" customWidth="1"/>
    <col min="6" max="6" width="27.42578125" customWidth="1"/>
    <col min="7" max="7" width="4.7109375" customWidth="1"/>
  </cols>
  <sheetData>
    <row r="1" spans="1:7" ht="6" customHeight="1" thickBot="1"/>
    <row r="2" spans="1:7">
      <c r="B2" s="1"/>
      <c r="C2" s="2"/>
      <c r="D2" s="2"/>
      <c r="E2" s="2"/>
      <c r="F2" s="2"/>
      <c r="G2" s="3"/>
    </row>
    <row r="3" spans="1:7">
      <c r="B3" s="4"/>
      <c r="C3" s="5"/>
      <c r="D3" s="5"/>
      <c r="E3" s="5"/>
      <c r="F3" s="5"/>
      <c r="G3" s="6"/>
    </row>
    <row r="4" spans="1:7">
      <c r="B4" s="4"/>
      <c r="C4" s="5"/>
      <c r="D4" s="5"/>
      <c r="E4" s="5"/>
      <c r="F4" s="5"/>
      <c r="G4" s="6"/>
    </row>
    <row r="5" spans="1:7">
      <c r="B5" s="4"/>
      <c r="C5" s="5"/>
      <c r="D5" s="5"/>
      <c r="E5" s="5"/>
      <c r="F5" s="5"/>
      <c r="G5" s="6"/>
    </row>
    <row r="6" spans="1:7">
      <c r="B6" s="4"/>
      <c r="C6" s="5"/>
      <c r="D6" s="5"/>
      <c r="E6" s="5"/>
      <c r="F6" s="5"/>
      <c r="G6" s="6"/>
    </row>
    <row r="7" spans="1:7" ht="16.5" customHeight="1">
      <c r="B7" s="4"/>
      <c r="C7" s="5"/>
      <c r="D7" s="5"/>
      <c r="E7" s="5"/>
      <c r="F7" s="5"/>
      <c r="G7" s="6"/>
    </row>
    <row r="8" spans="1:7" ht="22.5" customHeight="1" thickBot="1">
      <c r="B8" s="4"/>
      <c r="C8" s="95" t="s">
        <v>0</v>
      </c>
      <c r="D8" s="95"/>
      <c r="E8" s="95"/>
      <c r="F8" s="5"/>
      <c r="G8" s="6"/>
    </row>
    <row r="9" spans="1:7" ht="21" thickTop="1">
      <c r="B9" s="4"/>
      <c r="C9" s="7"/>
      <c r="D9" s="7"/>
      <c r="E9" s="5"/>
      <c r="F9" s="5"/>
      <c r="G9" s="6"/>
    </row>
    <row r="10" spans="1:7">
      <c r="B10" s="8" t="s">
        <v>1</v>
      </c>
      <c r="C10" s="9" t="s">
        <v>97</v>
      </c>
      <c r="D10" s="5"/>
      <c r="E10" s="10" t="s">
        <v>2</v>
      </c>
      <c r="F10" s="9" t="s">
        <v>98</v>
      </c>
      <c r="G10" s="6"/>
    </row>
    <row r="11" spans="1:7" ht="3.75" customHeight="1">
      <c r="A11" s="80"/>
      <c r="B11" s="5"/>
      <c r="C11" s="5"/>
      <c r="D11" s="5"/>
      <c r="E11" s="11"/>
      <c r="F11" s="5"/>
      <c r="G11" s="6"/>
    </row>
    <row r="12" spans="1:7">
      <c r="A12" s="80"/>
      <c r="B12" s="12" t="s">
        <v>3</v>
      </c>
      <c r="C12" s="9" t="s">
        <v>99</v>
      </c>
      <c r="D12" s="5"/>
      <c r="E12" s="10" t="s">
        <v>4</v>
      </c>
      <c r="F12" s="82" t="s">
        <v>100</v>
      </c>
      <c r="G12" s="6"/>
    </row>
    <row r="13" spans="1:7" ht="3.75" customHeight="1">
      <c r="A13" s="80"/>
      <c r="B13" s="5"/>
      <c r="C13" s="5"/>
      <c r="D13" s="5"/>
      <c r="E13" s="11"/>
      <c r="F13" s="5"/>
      <c r="G13" s="6"/>
    </row>
    <row r="14" spans="1:7">
      <c r="A14" s="80"/>
      <c r="B14" s="10" t="s">
        <v>5</v>
      </c>
      <c r="C14" s="9" t="s">
        <v>101</v>
      </c>
      <c r="D14" s="5"/>
      <c r="E14" s="10" t="s">
        <v>6</v>
      </c>
      <c r="F14" s="9" t="s">
        <v>107</v>
      </c>
      <c r="G14" s="6"/>
    </row>
    <row r="15" spans="1:7" ht="4.5" customHeight="1">
      <c r="A15" s="80"/>
      <c r="B15" s="13"/>
      <c r="C15" s="5"/>
      <c r="D15" s="5"/>
      <c r="E15" s="11"/>
      <c r="F15" s="5"/>
      <c r="G15" s="6"/>
    </row>
    <row r="16" spans="1:7">
      <c r="A16" s="80"/>
      <c r="B16" s="10" t="s">
        <v>7</v>
      </c>
      <c r="C16" s="9" t="s">
        <v>127</v>
      </c>
      <c r="D16" s="5"/>
      <c r="E16" s="11"/>
      <c r="F16" s="5"/>
      <c r="G16" s="6"/>
    </row>
    <row r="17" spans="1:7" ht="3.75" customHeight="1">
      <c r="A17" s="80"/>
      <c r="B17" s="5"/>
      <c r="C17" s="5"/>
      <c r="D17" s="5"/>
      <c r="E17" s="11"/>
      <c r="F17" s="5"/>
      <c r="G17" s="6"/>
    </row>
    <row r="18" spans="1:7">
      <c r="B18" s="14" t="s">
        <v>8</v>
      </c>
      <c r="C18" s="15" t="s">
        <v>103</v>
      </c>
      <c r="D18" s="5"/>
      <c r="E18" s="86" t="s">
        <v>109</v>
      </c>
      <c r="F18" s="87">
        <v>45292</v>
      </c>
      <c r="G18" s="6"/>
    </row>
    <row r="19" spans="1:7">
      <c r="B19" s="16" t="s">
        <v>9</v>
      </c>
      <c r="C19" s="17" t="s">
        <v>130</v>
      </c>
      <c r="D19" s="5"/>
      <c r="E19" s="88" t="s">
        <v>110</v>
      </c>
      <c r="F19" s="89">
        <v>45322</v>
      </c>
      <c r="G19" s="18"/>
    </row>
    <row r="20" spans="1:7" ht="15.75" thickBot="1">
      <c r="B20" s="4"/>
      <c r="C20" s="19"/>
      <c r="D20" s="19"/>
      <c r="E20" s="20"/>
      <c r="F20" s="21"/>
      <c r="G20" s="18"/>
    </row>
    <row r="21" spans="1:7" ht="18.75" thickBot="1">
      <c r="B21" s="4"/>
      <c r="C21" s="22" t="s">
        <v>10</v>
      </c>
      <c r="D21" s="23"/>
      <c r="E21" s="24"/>
      <c r="F21" s="25" t="s">
        <v>11</v>
      </c>
      <c r="G21" s="18"/>
    </row>
    <row r="22" spans="1:7">
      <c r="B22" s="4"/>
      <c r="C22" s="26" t="s">
        <v>12</v>
      </c>
      <c r="D22" s="26"/>
      <c r="E22" s="27">
        <v>10709.59024859505</v>
      </c>
      <c r="F22" s="28">
        <v>10709.59024859505</v>
      </c>
      <c r="G22" s="29"/>
    </row>
    <row r="23" spans="1:7">
      <c r="B23" s="30">
        <v>143</v>
      </c>
      <c r="C23" s="31" t="s">
        <v>13</v>
      </c>
      <c r="D23" s="31"/>
      <c r="E23" s="27">
        <v>4578.6174545454505</v>
      </c>
      <c r="F23" s="32">
        <v>4578.6174545454505</v>
      </c>
      <c r="G23" s="33"/>
    </row>
    <row r="24" spans="1:7">
      <c r="B24" s="30"/>
      <c r="C24" s="34" t="s">
        <v>14</v>
      </c>
      <c r="D24" s="34"/>
      <c r="E24" s="27">
        <v>0</v>
      </c>
      <c r="F24" s="32">
        <v>0</v>
      </c>
      <c r="G24" s="33"/>
    </row>
    <row r="25" spans="1:7">
      <c r="B25" s="30"/>
      <c r="C25" s="34" t="s">
        <v>15</v>
      </c>
      <c r="D25" s="34"/>
      <c r="E25" s="27">
        <v>0</v>
      </c>
      <c r="F25" s="32">
        <v>0</v>
      </c>
      <c r="G25" s="33"/>
    </row>
    <row r="26" spans="1:7">
      <c r="B26" s="30"/>
      <c r="C26" s="34" t="s">
        <v>16</v>
      </c>
      <c r="D26" s="34"/>
      <c r="E26" s="27">
        <v>0</v>
      </c>
      <c r="F26" s="32">
        <v>0</v>
      </c>
      <c r="G26" s="33"/>
    </row>
    <row r="27" spans="1:7">
      <c r="B27" s="30"/>
      <c r="C27" s="34" t="s">
        <v>17</v>
      </c>
      <c r="D27" s="34"/>
      <c r="E27" s="27">
        <v>0</v>
      </c>
      <c r="F27" s="32">
        <v>0</v>
      </c>
      <c r="G27" s="33"/>
    </row>
    <row r="28" spans="1:7">
      <c r="B28" s="30"/>
      <c r="C28" s="35" t="s">
        <v>18</v>
      </c>
      <c r="D28" s="35"/>
      <c r="E28" s="36">
        <v>15288.207703140501</v>
      </c>
      <c r="F28" s="37">
        <v>15288.207703140501</v>
      </c>
      <c r="G28" s="38"/>
    </row>
    <row r="29" spans="1:7" ht="15.75" thickBot="1">
      <c r="B29" s="30"/>
      <c r="C29" s="39"/>
      <c r="D29" s="39"/>
      <c r="E29" s="40"/>
      <c r="F29" s="41"/>
      <c r="G29" s="38"/>
    </row>
    <row r="30" spans="1:7" ht="18.75" thickBot="1">
      <c r="B30" s="30"/>
      <c r="C30" s="22" t="s">
        <v>19</v>
      </c>
      <c r="D30" s="23"/>
      <c r="E30" s="42"/>
      <c r="F30" s="43"/>
      <c r="G30" s="38"/>
    </row>
    <row r="31" spans="1:7">
      <c r="B31" s="44">
        <v>121</v>
      </c>
      <c r="C31" s="39" t="s">
        <v>20</v>
      </c>
      <c r="D31" s="39"/>
      <c r="E31" s="45"/>
      <c r="F31" s="46"/>
      <c r="G31" s="47"/>
    </row>
    <row r="32" spans="1:7">
      <c r="B32" s="44"/>
      <c r="C32" s="48" t="s">
        <v>21</v>
      </c>
      <c r="D32" s="48"/>
      <c r="E32" s="49">
        <v>296.77123636363604</v>
      </c>
      <c r="F32" s="50">
        <v>296.77123636363604</v>
      </c>
      <c r="G32" s="47"/>
    </row>
    <row r="33" spans="2:7">
      <c r="B33" s="44"/>
      <c r="C33" s="48" t="s">
        <v>22</v>
      </c>
      <c r="D33" s="48"/>
      <c r="E33" s="49">
        <v>305.25041454545385</v>
      </c>
      <c r="F33" s="50">
        <v>305.25041454545385</v>
      </c>
      <c r="G33" s="47"/>
    </row>
    <row r="34" spans="2:7">
      <c r="B34" s="51"/>
      <c r="C34" s="48" t="s">
        <v>23</v>
      </c>
      <c r="D34" s="48"/>
      <c r="E34" s="49">
        <v>364.60466181818146</v>
      </c>
      <c r="F34" s="50">
        <v>364.60466181818146</v>
      </c>
      <c r="G34" s="52"/>
    </row>
    <row r="35" spans="2:7">
      <c r="B35" s="51"/>
      <c r="C35" s="48" t="s">
        <v>24</v>
      </c>
      <c r="D35" s="48"/>
      <c r="E35" s="49">
        <v>249.75033917355319</v>
      </c>
      <c r="F35" s="50">
        <v>249.75033917355319</v>
      </c>
      <c r="G35" s="52"/>
    </row>
    <row r="36" spans="2:7">
      <c r="B36" s="44"/>
      <c r="C36" s="48" t="s">
        <v>25</v>
      </c>
      <c r="D36" s="48"/>
      <c r="E36" s="49">
        <v>0</v>
      </c>
      <c r="F36" s="50">
        <v>0</v>
      </c>
      <c r="G36" s="52"/>
    </row>
    <row r="37" spans="2:7">
      <c r="B37" s="44"/>
      <c r="C37" s="53" t="s">
        <v>26</v>
      </c>
      <c r="D37" s="53"/>
      <c r="E37" s="36">
        <v>1216.3766519008245</v>
      </c>
      <c r="F37" s="54">
        <v>1216.3766519008245</v>
      </c>
      <c r="G37" s="52"/>
    </row>
    <row r="38" spans="2:7">
      <c r="B38" s="44">
        <v>122</v>
      </c>
      <c r="C38" s="39" t="s">
        <v>27</v>
      </c>
      <c r="D38" s="39"/>
      <c r="E38" s="36"/>
      <c r="F38" s="50"/>
      <c r="G38" s="55"/>
    </row>
    <row r="39" spans="2:7">
      <c r="B39" s="44"/>
      <c r="C39" s="48" t="s">
        <v>28</v>
      </c>
      <c r="D39" s="48"/>
      <c r="E39" s="49">
        <v>144.14602909090897</v>
      </c>
      <c r="F39" s="50">
        <v>144.14602909090897</v>
      </c>
      <c r="G39" s="52"/>
    </row>
    <row r="40" spans="2:7">
      <c r="B40" s="44"/>
      <c r="C40" s="48" t="s">
        <v>29</v>
      </c>
      <c r="D40" s="48"/>
      <c r="E40" s="49">
        <v>0</v>
      </c>
      <c r="F40" s="50">
        <v>0</v>
      </c>
      <c r="G40" s="52"/>
    </row>
    <row r="41" spans="2:7">
      <c r="B41" s="44"/>
      <c r="C41" s="48" t="s">
        <v>30</v>
      </c>
      <c r="D41" s="48"/>
      <c r="E41" s="49">
        <v>191.16692628099148</v>
      </c>
      <c r="F41" s="50">
        <v>191.16692628099148</v>
      </c>
      <c r="G41" s="52"/>
    </row>
    <row r="42" spans="2:7">
      <c r="B42" s="44"/>
      <c r="C42" s="48" t="s">
        <v>31</v>
      </c>
      <c r="D42" s="48"/>
      <c r="E42" s="49">
        <v>33.916712727272696</v>
      </c>
      <c r="F42" s="50">
        <v>33.916712727272696</v>
      </c>
      <c r="G42" s="52"/>
    </row>
    <row r="43" spans="2:7">
      <c r="B43" s="44"/>
      <c r="C43" s="48" t="s">
        <v>32</v>
      </c>
      <c r="D43" s="48"/>
      <c r="E43" s="49">
        <v>135.66685090909078</v>
      </c>
      <c r="F43" s="50">
        <v>135.66685090909078</v>
      </c>
      <c r="G43" s="52"/>
    </row>
    <row r="44" spans="2:7">
      <c r="B44" s="44"/>
      <c r="C44" s="48" t="s">
        <v>33</v>
      </c>
      <c r="D44" s="48"/>
      <c r="E44" s="49">
        <v>0</v>
      </c>
      <c r="F44" s="50">
        <v>0</v>
      </c>
      <c r="G44" s="52"/>
    </row>
    <row r="45" spans="2:7">
      <c r="B45" s="44"/>
      <c r="C45" s="48" t="s">
        <v>34</v>
      </c>
      <c r="D45" s="48"/>
      <c r="E45" s="49">
        <v>0</v>
      </c>
      <c r="F45" s="50">
        <v>0</v>
      </c>
      <c r="G45" s="52"/>
    </row>
    <row r="46" spans="2:7">
      <c r="B46" s="44"/>
      <c r="C46" s="48" t="s">
        <v>35</v>
      </c>
      <c r="D46" s="48"/>
      <c r="E46" s="49">
        <v>0</v>
      </c>
      <c r="F46" s="50">
        <v>0</v>
      </c>
      <c r="G46" s="52"/>
    </row>
    <row r="47" spans="2:7">
      <c r="B47" s="44"/>
      <c r="C47" s="53" t="s">
        <v>26</v>
      </c>
      <c r="D47" s="53"/>
      <c r="E47" s="36">
        <v>504.89651900826391</v>
      </c>
      <c r="F47" s="54">
        <v>504.89651900826391</v>
      </c>
      <c r="G47" s="52"/>
    </row>
    <row r="48" spans="2:7">
      <c r="B48" s="44">
        <v>123</v>
      </c>
      <c r="C48" s="39" t="s">
        <v>36</v>
      </c>
      <c r="D48" s="39"/>
      <c r="E48" s="56"/>
      <c r="F48" s="57"/>
      <c r="G48" s="52"/>
    </row>
    <row r="49" spans="2:7">
      <c r="B49" s="44"/>
      <c r="C49" s="48" t="s">
        <v>37</v>
      </c>
      <c r="D49" s="48"/>
      <c r="E49" s="49">
        <v>123.33350082644611</v>
      </c>
      <c r="F49" s="50">
        <v>123.33350082644611</v>
      </c>
      <c r="G49" s="52"/>
    </row>
    <row r="50" spans="2:7">
      <c r="B50" s="44"/>
      <c r="C50" s="48" t="s">
        <v>38</v>
      </c>
      <c r="D50" s="48"/>
      <c r="E50" s="49">
        <v>0</v>
      </c>
      <c r="F50" s="50">
        <v>0</v>
      </c>
      <c r="G50" s="52"/>
    </row>
    <row r="51" spans="2:7">
      <c r="B51" s="44"/>
      <c r="C51" s="48" t="s">
        <v>39</v>
      </c>
      <c r="D51" s="48"/>
      <c r="E51" s="49">
        <v>144.91686347107415</v>
      </c>
      <c r="F51" s="50">
        <v>144.91686347107415</v>
      </c>
      <c r="G51" s="52"/>
    </row>
    <row r="52" spans="2:7">
      <c r="B52" s="44"/>
      <c r="C52" s="48" t="s">
        <v>40</v>
      </c>
      <c r="D52" s="48"/>
      <c r="E52" s="49">
        <v>111.00015074380143</v>
      </c>
      <c r="F52" s="50">
        <v>111.00015074380143</v>
      </c>
      <c r="G52" s="52"/>
    </row>
    <row r="53" spans="2:7">
      <c r="B53" s="44"/>
      <c r="C53" s="48" t="s">
        <v>41</v>
      </c>
      <c r="D53" s="48"/>
      <c r="E53" s="49">
        <v>0</v>
      </c>
      <c r="F53" s="50">
        <v>0</v>
      </c>
      <c r="G53" s="52"/>
    </row>
    <row r="54" spans="2:7">
      <c r="B54" s="44"/>
      <c r="C54" s="48" t="s">
        <v>42</v>
      </c>
      <c r="D54" s="48"/>
      <c r="E54" s="49">
        <v>195.02109818181799</v>
      </c>
      <c r="F54" s="50">
        <v>195.02109818181799</v>
      </c>
      <c r="G54" s="52"/>
    </row>
    <row r="55" spans="2:7">
      <c r="B55" s="44"/>
      <c r="C55" s="53" t="s">
        <v>26</v>
      </c>
      <c r="D55" s="53"/>
      <c r="E55" s="36">
        <v>574.27161322313964</v>
      </c>
      <c r="F55" s="54">
        <v>574.27161322313964</v>
      </c>
      <c r="G55" s="52"/>
    </row>
    <row r="56" spans="2:7">
      <c r="B56" s="44">
        <v>124</v>
      </c>
      <c r="C56" s="39" t="s">
        <v>43</v>
      </c>
      <c r="D56" s="39"/>
      <c r="E56" s="56"/>
      <c r="F56" s="57"/>
      <c r="G56" s="52"/>
    </row>
    <row r="57" spans="2:7">
      <c r="B57" s="44"/>
      <c r="C57" s="48" t="s">
        <v>44</v>
      </c>
      <c r="D57" s="48"/>
      <c r="E57" s="49">
        <v>366.91716495867701</v>
      </c>
      <c r="F57" s="50">
        <v>366.91716495867701</v>
      </c>
      <c r="G57" s="52"/>
    </row>
    <row r="58" spans="2:7">
      <c r="B58" s="44"/>
      <c r="C58" s="48" t="s">
        <v>45</v>
      </c>
      <c r="D58" s="48"/>
      <c r="E58" s="49">
        <v>0</v>
      </c>
      <c r="F58" s="50">
        <v>0</v>
      </c>
      <c r="G58" s="52"/>
    </row>
    <row r="59" spans="2:7">
      <c r="B59" s="44"/>
      <c r="C59" s="48" t="s">
        <v>46</v>
      </c>
      <c r="D59" s="48"/>
      <c r="E59" s="49">
        <v>0</v>
      </c>
      <c r="F59" s="50">
        <v>0</v>
      </c>
      <c r="G59" s="52"/>
    </row>
    <row r="60" spans="2:7">
      <c r="B60" s="44"/>
      <c r="C60" s="53" t="s">
        <v>26</v>
      </c>
      <c r="D60" s="53"/>
      <c r="E60" s="36">
        <v>366.91716495867701</v>
      </c>
      <c r="F60" s="54">
        <v>366.91716495867701</v>
      </c>
      <c r="G60" s="52"/>
    </row>
    <row r="61" spans="2:7">
      <c r="B61" s="44">
        <v>125</v>
      </c>
      <c r="C61" s="39" t="s">
        <v>47</v>
      </c>
      <c r="D61" s="39"/>
      <c r="E61" s="36"/>
      <c r="F61" s="50"/>
      <c r="G61" s="52"/>
    </row>
    <row r="62" spans="2:7">
      <c r="B62" s="44"/>
      <c r="C62" s="48" t="s">
        <v>48</v>
      </c>
      <c r="D62" s="48"/>
      <c r="E62" s="58">
        <v>0</v>
      </c>
      <c r="F62" s="50">
        <v>0</v>
      </c>
      <c r="G62" s="52"/>
    </row>
    <row r="63" spans="2:7">
      <c r="B63" s="44"/>
      <c r="C63" s="48" t="s">
        <v>49</v>
      </c>
      <c r="D63" s="48"/>
      <c r="E63" s="58">
        <v>0</v>
      </c>
      <c r="F63" s="50">
        <v>0</v>
      </c>
      <c r="G63" s="52"/>
    </row>
    <row r="64" spans="2:7">
      <c r="B64" s="44"/>
      <c r="C64" s="48" t="s">
        <v>50</v>
      </c>
      <c r="D64" s="48"/>
      <c r="E64" s="58">
        <v>593.54247272727218</v>
      </c>
      <c r="F64" s="50">
        <v>593.54247272727218</v>
      </c>
      <c r="G64" s="52"/>
    </row>
    <row r="65" spans="2:7">
      <c r="B65" s="44"/>
      <c r="C65" s="48" t="s">
        <v>51</v>
      </c>
      <c r="D65" s="48"/>
      <c r="E65" s="58">
        <v>135.66685090909078</v>
      </c>
      <c r="F65" s="50">
        <v>135.66685090909078</v>
      </c>
      <c r="G65" s="52"/>
    </row>
    <row r="66" spans="2:7">
      <c r="B66" s="44"/>
      <c r="C66" s="53" t="s">
        <v>26</v>
      </c>
      <c r="D66" s="53"/>
      <c r="E66" s="56">
        <v>729.20932363636302</v>
      </c>
      <c r="F66" s="54">
        <v>729.20932363636302</v>
      </c>
      <c r="G66" s="52"/>
    </row>
    <row r="67" spans="2:7">
      <c r="B67" s="44">
        <v>126</v>
      </c>
      <c r="C67" s="39" t="s">
        <v>52</v>
      </c>
      <c r="D67" s="39"/>
      <c r="E67" s="56"/>
      <c r="F67" s="50"/>
      <c r="G67" s="52"/>
    </row>
    <row r="68" spans="2:7">
      <c r="B68" s="44"/>
      <c r="C68" s="48" t="s">
        <v>53</v>
      </c>
      <c r="D68" s="48"/>
      <c r="E68" s="49">
        <v>0</v>
      </c>
      <c r="F68" s="50">
        <v>0</v>
      </c>
      <c r="G68" s="52"/>
    </row>
    <row r="69" spans="2:7">
      <c r="B69" s="44"/>
      <c r="C69" s="48" t="s">
        <v>54</v>
      </c>
      <c r="D69" s="48"/>
      <c r="E69" s="49">
        <v>0</v>
      </c>
      <c r="F69" s="50"/>
      <c r="G69" s="52"/>
    </row>
    <row r="70" spans="2:7">
      <c r="B70" s="44"/>
      <c r="C70" s="48" t="s">
        <v>55</v>
      </c>
      <c r="D70" s="48"/>
      <c r="E70" s="49">
        <v>0</v>
      </c>
      <c r="F70" s="50"/>
      <c r="G70" s="52"/>
    </row>
    <row r="71" spans="2:7">
      <c r="B71" s="44"/>
      <c r="C71" s="48" t="s">
        <v>56</v>
      </c>
      <c r="D71" s="48"/>
      <c r="E71" s="49">
        <v>0</v>
      </c>
      <c r="F71" s="57"/>
      <c r="G71" s="52"/>
    </row>
    <row r="72" spans="2:7">
      <c r="B72" s="44"/>
      <c r="C72" s="53" t="s">
        <v>26</v>
      </c>
      <c r="D72" s="53"/>
      <c r="E72" s="56">
        <v>0</v>
      </c>
      <c r="F72" s="54">
        <v>0</v>
      </c>
      <c r="G72" s="52"/>
    </row>
    <row r="73" spans="2:7">
      <c r="B73" s="44">
        <v>127</v>
      </c>
      <c r="C73" s="39" t="s">
        <v>57</v>
      </c>
      <c r="D73" s="39"/>
      <c r="E73" s="56"/>
      <c r="F73" s="54"/>
      <c r="G73" s="52"/>
    </row>
    <row r="74" spans="2:7">
      <c r="B74" s="44"/>
      <c r="C74" s="48" t="s">
        <v>58</v>
      </c>
      <c r="D74" s="48"/>
      <c r="E74" s="49">
        <v>0</v>
      </c>
      <c r="F74" s="50">
        <v>0</v>
      </c>
      <c r="G74" s="52"/>
    </row>
    <row r="75" spans="2:7">
      <c r="B75" s="44"/>
      <c r="C75" s="48" t="s">
        <v>59</v>
      </c>
      <c r="D75" s="48"/>
      <c r="E75" s="49">
        <v>0</v>
      </c>
      <c r="F75" s="50">
        <v>0</v>
      </c>
      <c r="G75" s="52"/>
    </row>
    <row r="76" spans="2:7">
      <c r="B76" s="44"/>
      <c r="C76" s="48" t="s">
        <v>60</v>
      </c>
      <c r="D76" s="48"/>
      <c r="E76" s="49">
        <v>0</v>
      </c>
      <c r="F76" s="50">
        <v>0</v>
      </c>
      <c r="G76" s="52"/>
    </row>
    <row r="77" spans="2:7">
      <c r="B77" s="44"/>
      <c r="C77" s="59" t="s">
        <v>61</v>
      </c>
      <c r="D77" s="59"/>
      <c r="E77" s="49">
        <v>0</v>
      </c>
      <c r="F77" s="50">
        <v>0</v>
      </c>
      <c r="G77" s="52"/>
    </row>
    <row r="78" spans="2:7">
      <c r="B78" s="44"/>
      <c r="C78" s="53" t="s">
        <v>26</v>
      </c>
      <c r="D78" s="53"/>
      <c r="E78" s="56">
        <v>0</v>
      </c>
      <c r="F78" s="54">
        <v>0</v>
      </c>
      <c r="G78" s="52"/>
    </row>
    <row r="79" spans="2:7">
      <c r="B79" s="44">
        <v>128</v>
      </c>
      <c r="C79" s="39" t="s">
        <v>62</v>
      </c>
      <c r="D79" s="39"/>
      <c r="E79" s="56"/>
      <c r="F79" s="54"/>
      <c r="G79" s="52"/>
    </row>
    <row r="80" spans="2:7">
      <c r="B80" s="44"/>
      <c r="C80" s="48" t="s">
        <v>63</v>
      </c>
      <c r="D80" s="48"/>
      <c r="E80" s="49">
        <v>0</v>
      </c>
      <c r="F80" s="50">
        <v>0</v>
      </c>
      <c r="G80" s="52"/>
    </row>
    <row r="81" spans="2:7">
      <c r="B81" s="44"/>
      <c r="C81" s="48" t="s">
        <v>64</v>
      </c>
      <c r="D81" s="48"/>
      <c r="E81" s="49">
        <v>0</v>
      </c>
      <c r="F81" s="50">
        <v>0</v>
      </c>
      <c r="G81" s="52"/>
    </row>
    <row r="82" spans="2:7">
      <c r="B82" s="44"/>
      <c r="C82" s="48" t="s">
        <v>65</v>
      </c>
      <c r="D82" s="48"/>
      <c r="E82" s="49">
        <v>0</v>
      </c>
      <c r="F82" s="50">
        <v>0</v>
      </c>
      <c r="G82" s="52"/>
    </row>
    <row r="83" spans="2:7">
      <c r="B83" s="44"/>
      <c r="C83" s="48" t="s">
        <v>66</v>
      </c>
      <c r="D83" s="48"/>
      <c r="E83" s="49">
        <v>0</v>
      </c>
      <c r="F83" s="50">
        <v>0</v>
      </c>
      <c r="G83" s="52"/>
    </row>
    <row r="84" spans="2:7">
      <c r="B84" s="44"/>
      <c r="C84" s="48" t="s">
        <v>67</v>
      </c>
      <c r="D84" s="48"/>
      <c r="E84" s="49">
        <v>0</v>
      </c>
      <c r="F84" s="50">
        <v>0</v>
      </c>
      <c r="G84" s="52"/>
    </row>
    <row r="85" spans="2:7">
      <c r="B85" s="44"/>
      <c r="C85" s="53" t="s">
        <v>26</v>
      </c>
      <c r="D85" s="53"/>
      <c r="E85" s="56">
        <v>0</v>
      </c>
      <c r="F85" s="54">
        <v>0</v>
      </c>
      <c r="G85" s="52"/>
    </row>
    <row r="86" spans="2:7">
      <c r="B86" s="44">
        <v>135</v>
      </c>
      <c r="C86" s="39" t="s">
        <v>68</v>
      </c>
      <c r="D86" s="39"/>
      <c r="E86" s="56"/>
      <c r="F86" s="50"/>
      <c r="G86" s="52"/>
    </row>
    <row r="87" spans="2:7">
      <c r="B87" s="44"/>
      <c r="C87" s="48" t="s">
        <v>69</v>
      </c>
      <c r="D87" s="48"/>
      <c r="E87" s="49">
        <v>0</v>
      </c>
      <c r="F87" s="50">
        <v>0</v>
      </c>
      <c r="G87" s="52"/>
    </row>
    <row r="88" spans="2:7">
      <c r="B88" s="44"/>
      <c r="C88" s="48" t="s">
        <v>70</v>
      </c>
      <c r="D88" s="48"/>
      <c r="E88" s="49">
        <v>0</v>
      </c>
      <c r="F88" s="50">
        <v>0</v>
      </c>
      <c r="G88" s="52"/>
    </row>
    <row r="89" spans="2:7">
      <c r="B89" s="44"/>
      <c r="C89" s="48" t="s">
        <v>71</v>
      </c>
      <c r="D89" s="48"/>
      <c r="E89" s="49">
        <v>0</v>
      </c>
      <c r="F89" s="50">
        <v>0</v>
      </c>
      <c r="G89" s="52"/>
    </row>
    <row r="90" spans="2:7">
      <c r="B90" s="44"/>
      <c r="C90" s="48" t="s">
        <v>72</v>
      </c>
      <c r="D90" s="48"/>
      <c r="E90" s="49">
        <v>0</v>
      </c>
      <c r="F90" s="50">
        <v>0</v>
      </c>
      <c r="G90" s="52"/>
    </row>
    <row r="91" spans="2:7">
      <c r="B91" s="44"/>
      <c r="C91" s="48" t="s">
        <v>73</v>
      </c>
      <c r="D91" s="48"/>
      <c r="E91" s="49">
        <v>0</v>
      </c>
      <c r="F91" s="50">
        <v>0</v>
      </c>
      <c r="G91" s="52"/>
    </row>
    <row r="92" spans="2:7">
      <c r="B92" s="44"/>
      <c r="C92" s="48" t="s">
        <v>74</v>
      </c>
      <c r="D92" s="48"/>
      <c r="E92" s="49">
        <v>0</v>
      </c>
      <c r="F92" s="50">
        <v>0</v>
      </c>
      <c r="G92" s="52"/>
    </row>
    <row r="93" spans="2:7">
      <c r="B93" s="44"/>
      <c r="C93" s="48" t="s">
        <v>75</v>
      </c>
      <c r="D93" s="48"/>
      <c r="E93" s="49">
        <v>0</v>
      </c>
      <c r="F93" s="50">
        <v>0</v>
      </c>
      <c r="G93" s="52"/>
    </row>
    <row r="94" spans="2:7">
      <c r="B94" s="44"/>
      <c r="C94" s="48" t="s">
        <v>76</v>
      </c>
      <c r="D94" s="48"/>
      <c r="E94" s="49">
        <v>0</v>
      </c>
      <c r="F94" s="50">
        <v>0</v>
      </c>
      <c r="G94" s="52"/>
    </row>
    <row r="95" spans="2:7">
      <c r="B95" s="44"/>
      <c r="C95" s="48" t="s">
        <v>77</v>
      </c>
      <c r="D95" s="48"/>
      <c r="E95" s="49">
        <v>0</v>
      </c>
      <c r="F95" s="50">
        <v>0</v>
      </c>
      <c r="G95" s="52"/>
    </row>
    <row r="96" spans="2:7">
      <c r="B96" s="44"/>
      <c r="C96" s="53" t="s">
        <v>26</v>
      </c>
      <c r="D96" s="53"/>
      <c r="E96" s="56">
        <v>0</v>
      </c>
      <c r="F96" s="54">
        <v>0</v>
      </c>
      <c r="G96" s="52"/>
    </row>
    <row r="97" spans="2:7">
      <c r="B97" s="44">
        <v>136</v>
      </c>
      <c r="C97" s="39" t="s">
        <v>78</v>
      </c>
      <c r="D97" s="39"/>
      <c r="E97" s="56"/>
      <c r="F97" s="50"/>
      <c r="G97" s="52"/>
    </row>
    <row r="98" spans="2:7">
      <c r="B98" s="44"/>
      <c r="C98" s="48" t="s">
        <v>79</v>
      </c>
      <c r="D98" s="48"/>
      <c r="E98" s="49">
        <v>0</v>
      </c>
      <c r="F98" s="50">
        <v>0</v>
      </c>
      <c r="G98" s="52"/>
    </row>
    <row r="99" spans="2:7">
      <c r="B99" s="44"/>
      <c r="C99" s="48" t="s">
        <v>80</v>
      </c>
      <c r="D99" s="48"/>
      <c r="E99" s="49">
        <v>0</v>
      </c>
      <c r="F99" s="50">
        <v>0</v>
      </c>
      <c r="G99" s="52"/>
    </row>
    <row r="100" spans="2:7">
      <c r="B100" s="44"/>
      <c r="C100" s="48" t="s">
        <v>81</v>
      </c>
      <c r="D100" s="48"/>
      <c r="E100" s="49">
        <v>0</v>
      </c>
      <c r="F100" s="50">
        <v>0</v>
      </c>
      <c r="G100" s="52"/>
    </row>
    <row r="101" spans="2:7">
      <c r="B101" s="44"/>
      <c r="C101" s="48" t="s">
        <v>82</v>
      </c>
      <c r="D101" s="48"/>
      <c r="E101" s="49">
        <v>0</v>
      </c>
      <c r="F101" s="50">
        <v>0</v>
      </c>
      <c r="G101" s="52"/>
    </row>
    <row r="102" spans="2:7">
      <c r="B102" s="44"/>
      <c r="C102" s="48" t="s">
        <v>83</v>
      </c>
      <c r="D102" s="48"/>
      <c r="E102" s="49">
        <v>0</v>
      </c>
      <c r="F102" s="50">
        <v>0</v>
      </c>
      <c r="G102" s="52"/>
    </row>
    <row r="103" spans="2:7">
      <c r="B103" s="44"/>
      <c r="C103" s="48" t="s">
        <v>84</v>
      </c>
      <c r="D103" s="48"/>
      <c r="E103" s="49">
        <v>0</v>
      </c>
      <c r="F103" s="50">
        <v>0</v>
      </c>
      <c r="G103" s="52"/>
    </row>
    <row r="104" spans="2:7">
      <c r="B104" s="44"/>
      <c r="C104" s="53" t="s">
        <v>26</v>
      </c>
      <c r="D104" s="53"/>
      <c r="E104" s="56">
        <v>0</v>
      </c>
      <c r="F104" s="54">
        <v>0</v>
      </c>
      <c r="G104" s="52"/>
    </row>
    <row r="105" spans="2:7">
      <c r="B105" s="44">
        <v>142</v>
      </c>
      <c r="C105" s="39" t="s">
        <v>85</v>
      </c>
      <c r="D105" s="39"/>
      <c r="E105" s="56"/>
      <c r="F105" s="50"/>
      <c r="G105" s="52"/>
    </row>
    <row r="106" spans="2:7">
      <c r="B106" s="44"/>
      <c r="C106" s="48" t="s">
        <v>86</v>
      </c>
      <c r="D106" s="48"/>
      <c r="E106" s="49">
        <v>0</v>
      </c>
      <c r="F106" s="50">
        <v>0</v>
      </c>
      <c r="G106" s="52"/>
    </row>
    <row r="107" spans="2:7">
      <c r="B107" s="44"/>
      <c r="C107" s="48" t="s">
        <v>87</v>
      </c>
      <c r="D107" s="48"/>
      <c r="E107" s="49">
        <v>0</v>
      </c>
      <c r="F107" s="50">
        <v>0</v>
      </c>
      <c r="G107" s="52"/>
    </row>
    <row r="108" spans="2:7">
      <c r="B108" s="44"/>
      <c r="C108" s="53" t="s">
        <v>26</v>
      </c>
      <c r="D108" s="53"/>
      <c r="E108" s="56">
        <v>0</v>
      </c>
      <c r="F108" s="54">
        <v>0</v>
      </c>
      <c r="G108" s="52"/>
    </row>
    <row r="109" spans="2:7">
      <c r="B109" s="44">
        <v>144</v>
      </c>
      <c r="C109" s="39" t="s">
        <v>88</v>
      </c>
      <c r="D109" s="39"/>
      <c r="E109" s="49">
        <v>0</v>
      </c>
      <c r="F109" s="54">
        <v>0</v>
      </c>
      <c r="G109" s="52"/>
    </row>
    <row r="110" spans="2:7">
      <c r="B110" s="44">
        <v>221</v>
      </c>
      <c r="C110" s="39" t="s">
        <v>89</v>
      </c>
      <c r="D110" s="39"/>
      <c r="E110" s="49">
        <v>0</v>
      </c>
      <c r="F110" s="54">
        <v>0</v>
      </c>
      <c r="G110" s="52"/>
    </row>
    <row r="111" spans="2:7">
      <c r="B111" s="44">
        <v>222</v>
      </c>
      <c r="C111" s="39" t="s">
        <v>90</v>
      </c>
      <c r="D111" s="39"/>
      <c r="E111" s="49">
        <v>0</v>
      </c>
      <c r="F111" s="54">
        <v>0</v>
      </c>
      <c r="G111" s="52"/>
    </row>
    <row r="112" spans="2:7">
      <c r="B112" s="44">
        <v>224</v>
      </c>
      <c r="C112" s="39" t="s">
        <v>91</v>
      </c>
      <c r="D112" s="39"/>
      <c r="E112" s="49">
        <v>0</v>
      </c>
      <c r="F112" s="54">
        <v>0</v>
      </c>
      <c r="G112" s="52"/>
    </row>
    <row r="113" spans="2:7">
      <c r="B113" s="44">
        <v>225</v>
      </c>
      <c r="C113" s="39" t="s">
        <v>92</v>
      </c>
      <c r="D113" s="39"/>
      <c r="E113" s="49">
        <v>0</v>
      </c>
      <c r="F113" s="54">
        <v>0</v>
      </c>
      <c r="G113" s="38"/>
    </row>
    <row r="114" spans="2:7">
      <c r="B114" s="44">
        <v>226</v>
      </c>
      <c r="C114" s="39" t="s">
        <v>93</v>
      </c>
      <c r="D114" s="39"/>
      <c r="E114" s="49">
        <v>0</v>
      </c>
      <c r="F114" s="54">
        <v>0</v>
      </c>
      <c r="G114" s="60"/>
    </row>
    <row r="115" spans="2:7" ht="15.75" thickBot="1">
      <c r="B115" s="61"/>
      <c r="C115" s="62" t="s">
        <v>94</v>
      </c>
      <c r="D115" s="62"/>
      <c r="E115" s="90">
        <v>0</v>
      </c>
      <c r="F115" s="63">
        <v>0</v>
      </c>
      <c r="G115" s="38"/>
    </row>
    <row r="116" spans="2:7">
      <c r="B116" s="64"/>
      <c r="C116" s="65" t="s">
        <v>95</v>
      </c>
      <c r="D116" s="66"/>
      <c r="E116" s="91">
        <v>3391.6712727272684</v>
      </c>
      <c r="F116" s="68">
        <v>3391.6712727272684</v>
      </c>
      <c r="G116" s="69"/>
    </row>
    <row r="117" spans="2:7" ht="15.75" thickBot="1">
      <c r="B117" s="64"/>
      <c r="C117" s="70"/>
      <c r="D117" s="71"/>
      <c r="E117" s="92"/>
      <c r="F117" s="73"/>
      <c r="G117" s="69"/>
    </row>
    <row r="118" spans="2:7" ht="15.75" thickBot="1">
      <c r="B118" s="64"/>
      <c r="C118" s="70" t="s">
        <v>96</v>
      </c>
      <c r="D118" s="71"/>
      <c r="E118" s="93">
        <v>11896.536430413233</v>
      </c>
      <c r="F118" s="75">
        <v>11896.536430413233</v>
      </c>
      <c r="G118" s="76"/>
    </row>
    <row r="119" spans="2:7" ht="8.25" customHeight="1" thickBot="1">
      <c r="B119" s="77"/>
      <c r="C119" s="81"/>
      <c r="D119" s="81"/>
      <c r="E119" s="78"/>
      <c r="F119" s="78"/>
      <c r="G119" s="79"/>
    </row>
    <row r="120" spans="2:7">
      <c r="B120" s="83"/>
      <c r="C120" s="84"/>
      <c r="D120" s="84"/>
      <c r="E120" s="85"/>
      <c r="F120" s="83"/>
      <c r="G120" s="85"/>
    </row>
    <row r="121" spans="2:7" ht="6" customHeight="1" thickBot="1"/>
    <row r="122" spans="2:7">
      <c r="B122" s="1"/>
      <c r="C122" s="2"/>
      <c r="D122" s="2"/>
      <c r="E122" s="2"/>
      <c r="F122" s="2"/>
      <c r="G122" s="3"/>
    </row>
    <row r="123" spans="2:7">
      <c r="B123" s="4"/>
      <c r="C123" s="5"/>
      <c r="D123" s="5"/>
      <c r="E123" s="5"/>
      <c r="F123" s="5"/>
      <c r="G123" s="6"/>
    </row>
    <row r="124" spans="2:7">
      <c r="B124" s="4"/>
      <c r="C124" s="5"/>
      <c r="D124" s="5"/>
      <c r="E124" s="5"/>
      <c r="F124" s="5"/>
      <c r="G124" s="6"/>
    </row>
    <row r="125" spans="2:7">
      <c r="B125" s="4"/>
      <c r="C125" s="5"/>
      <c r="D125" s="5"/>
      <c r="E125" s="5"/>
      <c r="F125" s="5"/>
      <c r="G125" s="6"/>
    </row>
    <row r="126" spans="2:7">
      <c r="B126" s="4"/>
      <c r="C126" s="5"/>
      <c r="D126" s="5"/>
      <c r="E126" s="5"/>
      <c r="F126" s="5"/>
      <c r="G126" s="6"/>
    </row>
    <row r="127" spans="2:7" ht="16.5" customHeight="1">
      <c r="B127" s="4"/>
      <c r="C127" s="5"/>
      <c r="D127" s="5"/>
      <c r="E127" s="5"/>
      <c r="F127" s="5"/>
      <c r="G127" s="6"/>
    </row>
    <row r="128" spans="2:7" ht="22.5" customHeight="1" thickBot="1">
      <c r="B128" s="4"/>
      <c r="C128" s="95" t="s">
        <v>0</v>
      </c>
      <c r="D128" s="95"/>
      <c r="E128" s="95"/>
      <c r="F128" s="5"/>
      <c r="G128" s="6"/>
    </row>
    <row r="129" spans="1:7" ht="21" thickTop="1">
      <c r="B129" s="4"/>
      <c r="C129" s="7"/>
      <c r="D129" s="7"/>
      <c r="E129" s="5"/>
      <c r="F129" s="5"/>
      <c r="G129" s="6"/>
    </row>
    <row r="130" spans="1:7">
      <c r="B130" s="8" t="s">
        <v>1</v>
      </c>
      <c r="C130" s="9" t="s">
        <v>97</v>
      </c>
      <c r="D130" s="5"/>
      <c r="E130" s="10" t="s">
        <v>2</v>
      </c>
      <c r="F130" s="9" t="s">
        <v>98</v>
      </c>
      <c r="G130" s="6"/>
    </row>
    <row r="131" spans="1:7" ht="3.75" customHeight="1">
      <c r="A131" s="80"/>
      <c r="B131" s="5"/>
      <c r="C131" s="5"/>
      <c r="D131" s="5"/>
      <c r="E131" s="11"/>
      <c r="F131" s="5"/>
      <c r="G131" s="6"/>
    </row>
    <row r="132" spans="1:7">
      <c r="A132" s="80"/>
      <c r="B132" s="12" t="s">
        <v>3</v>
      </c>
      <c r="C132" s="9" t="s">
        <v>99</v>
      </c>
      <c r="D132" s="5"/>
      <c r="E132" s="10" t="s">
        <v>4</v>
      </c>
      <c r="F132" s="82" t="s">
        <v>100</v>
      </c>
      <c r="G132" s="6"/>
    </row>
    <row r="133" spans="1:7" ht="3.75" customHeight="1">
      <c r="A133" s="80"/>
      <c r="B133" s="5"/>
      <c r="C133" s="5"/>
      <c r="D133" s="5"/>
      <c r="E133" s="11"/>
      <c r="F133" s="5"/>
      <c r="G133" s="6"/>
    </row>
    <row r="134" spans="1:7">
      <c r="A134" s="80"/>
      <c r="B134" s="10" t="s">
        <v>5</v>
      </c>
      <c r="C134" s="9" t="s">
        <v>101</v>
      </c>
      <c r="D134" s="5"/>
      <c r="E134" s="10" t="s">
        <v>6</v>
      </c>
      <c r="F134" s="9" t="s">
        <v>107</v>
      </c>
      <c r="G134" s="6"/>
    </row>
    <row r="135" spans="1:7" ht="4.5" customHeight="1">
      <c r="A135" s="80"/>
      <c r="B135" s="13"/>
      <c r="C135" s="5"/>
      <c r="D135" s="5"/>
      <c r="E135" s="11"/>
      <c r="F135" s="5"/>
      <c r="G135" s="6"/>
    </row>
    <row r="136" spans="1:7">
      <c r="A136" s="80"/>
      <c r="B136" s="10" t="s">
        <v>7</v>
      </c>
      <c r="C136" s="9" t="s">
        <v>127</v>
      </c>
      <c r="D136" s="5"/>
      <c r="E136" s="11"/>
      <c r="F136" s="5"/>
      <c r="G136" s="6"/>
    </row>
    <row r="137" spans="1:7" ht="3.75" customHeight="1">
      <c r="A137" s="80"/>
      <c r="B137" s="5"/>
      <c r="C137" s="5"/>
      <c r="D137" s="5"/>
      <c r="E137" s="11"/>
      <c r="F137" s="5"/>
      <c r="G137" s="6"/>
    </row>
    <row r="138" spans="1:7">
      <c r="B138" s="14" t="s">
        <v>8</v>
      </c>
      <c r="C138" s="15" t="s">
        <v>104</v>
      </c>
      <c r="D138" s="5"/>
      <c r="E138" s="86" t="s">
        <v>109</v>
      </c>
      <c r="F138" s="87">
        <v>45323</v>
      </c>
      <c r="G138" s="6"/>
    </row>
    <row r="139" spans="1:7">
      <c r="B139" s="16" t="s">
        <v>9</v>
      </c>
      <c r="C139" s="17" t="s">
        <v>130</v>
      </c>
      <c r="D139" s="5"/>
      <c r="E139" s="88" t="s">
        <v>110</v>
      </c>
      <c r="F139" s="89">
        <v>45351</v>
      </c>
      <c r="G139" s="18"/>
    </row>
    <row r="140" spans="1:7" ht="15.75" thickBot="1">
      <c r="B140" s="4"/>
      <c r="C140" s="19"/>
      <c r="D140" s="19"/>
      <c r="E140" s="20"/>
      <c r="F140" s="21"/>
      <c r="G140" s="18"/>
    </row>
    <row r="141" spans="1:7" ht="18.75" thickBot="1">
      <c r="B141" s="4"/>
      <c r="C141" s="22" t="s">
        <v>10</v>
      </c>
      <c r="D141" s="23"/>
      <c r="E141" s="24"/>
      <c r="F141" s="25" t="s">
        <v>11</v>
      </c>
      <c r="G141" s="18"/>
    </row>
    <row r="142" spans="1:7">
      <c r="B142" s="4"/>
      <c r="C142" s="26" t="s">
        <v>12</v>
      </c>
      <c r="D142" s="26"/>
      <c r="E142" s="27">
        <v>11896.536430413233</v>
      </c>
      <c r="F142" s="28">
        <v>11896.536430413233</v>
      </c>
      <c r="G142" s="29"/>
    </row>
    <row r="143" spans="1:7">
      <c r="B143" s="30">
        <v>143</v>
      </c>
      <c r="C143" s="31" t="s">
        <v>13</v>
      </c>
      <c r="D143" s="31"/>
      <c r="E143" s="27">
        <v>4578.6174545454505</v>
      </c>
      <c r="F143" s="32">
        <v>4578.6174545454505</v>
      </c>
      <c r="G143" s="33"/>
    </row>
    <row r="144" spans="1:7">
      <c r="B144" s="30"/>
      <c r="C144" s="34" t="s">
        <v>14</v>
      </c>
      <c r="D144" s="34"/>
      <c r="E144" s="27">
        <v>0</v>
      </c>
      <c r="F144" s="32">
        <v>0</v>
      </c>
      <c r="G144" s="33"/>
    </row>
    <row r="145" spans="2:7">
      <c r="B145" s="30"/>
      <c r="C145" s="34" t="s">
        <v>15</v>
      </c>
      <c r="D145" s="34"/>
      <c r="E145" s="27">
        <v>0</v>
      </c>
      <c r="F145" s="32">
        <v>0</v>
      </c>
      <c r="G145" s="33"/>
    </row>
    <row r="146" spans="2:7">
      <c r="B146" s="30"/>
      <c r="C146" s="34" t="s">
        <v>16</v>
      </c>
      <c r="D146" s="34"/>
      <c r="E146" s="27">
        <v>0</v>
      </c>
      <c r="F146" s="32">
        <v>0</v>
      </c>
      <c r="G146" s="33"/>
    </row>
    <row r="147" spans="2:7">
      <c r="B147" s="30"/>
      <c r="C147" s="34" t="s">
        <v>17</v>
      </c>
      <c r="D147" s="34"/>
      <c r="E147" s="27">
        <v>0</v>
      </c>
      <c r="F147" s="32">
        <v>0</v>
      </c>
      <c r="G147" s="33"/>
    </row>
    <row r="148" spans="2:7">
      <c r="B148" s="30"/>
      <c r="C148" s="35" t="s">
        <v>18</v>
      </c>
      <c r="D148" s="35"/>
      <c r="E148" s="36">
        <v>16475.153884958683</v>
      </c>
      <c r="F148" s="37">
        <v>16475.153884958683</v>
      </c>
      <c r="G148" s="38"/>
    </row>
    <row r="149" spans="2:7" ht="15.75" thickBot="1">
      <c r="B149" s="30"/>
      <c r="C149" s="39"/>
      <c r="D149" s="39"/>
      <c r="E149" s="40"/>
      <c r="F149" s="41"/>
      <c r="G149" s="38"/>
    </row>
    <row r="150" spans="2:7" ht="18.75" thickBot="1">
      <c r="B150" s="30"/>
      <c r="C150" s="22" t="s">
        <v>19</v>
      </c>
      <c r="D150" s="23"/>
      <c r="E150" s="42"/>
      <c r="F150" s="43"/>
      <c r="G150" s="38"/>
    </row>
    <row r="151" spans="2:7">
      <c r="B151" s="44">
        <v>121</v>
      </c>
      <c r="C151" s="39" t="s">
        <v>20</v>
      </c>
      <c r="D151" s="39"/>
      <c r="E151" s="45"/>
      <c r="F151" s="46"/>
      <c r="G151" s="47"/>
    </row>
    <row r="152" spans="2:7">
      <c r="B152" s="44"/>
      <c r="C152" s="48" t="s">
        <v>21</v>
      </c>
      <c r="D152" s="48"/>
      <c r="E152" s="49">
        <v>0</v>
      </c>
      <c r="F152" s="50">
        <v>0</v>
      </c>
      <c r="G152" s="47"/>
    </row>
    <row r="153" spans="2:7">
      <c r="B153" s="44"/>
      <c r="C153" s="48" t="s">
        <v>22</v>
      </c>
      <c r="D153" s="48"/>
      <c r="E153" s="49">
        <v>0</v>
      </c>
      <c r="F153" s="50">
        <v>0</v>
      </c>
      <c r="G153" s="47"/>
    </row>
    <row r="154" spans="2:7">
      <c r="B154" s="51"/>
      <c r="C154" s="48" t="s">
        <v>23</v>
      </c>
      <c r="D154" s="48"/>
      <c r="E154" s="49">
        <v>0</v>
      </c>
      <c r="F154" s="50">
        <v>0</v>
      </c>
      <c r="G154" s="52"/>
    </row>
    <row r="155" spans="2:7">
      <c r="B155" s="51"/>
      <c r="C155" s="48" t="s">
        <v>24</v>
      </c>
      <c r="D155" s="48"/>
      <c r="E155" s="49">
        <v>0</v>
      </c>
      <c r="F155" s="50">
        <v>0</v>
      </c>
      <c r="G155" s="52"/>
    </row>
    <row r="156" spans="2:7">
      <c r="B156" s="44"/>
      <c r="C156" s="48" t="s">
        <v>25</v>
      </c>
      <c r="D156" s="48"/>
      <c r="E156" s="49">
        <v>0</v>
      </c>
      <c r="F156" s="50">
        <v>0</v>
      </c>
      <c r="G156" s="52"/>
    </row>
    <row r="157" spans="2:7">
      <c r="B157" s="44"/>
      <c r="C157" s="53" t="s">
        <v>26</v>
      </c>
      <c r="D157" s="53"/>
      <c r="E157" s="36">
        <v>0</v>
      </c>
      <c r="F157" s="54">
        <v>0</v>
      </c>
      <c r="G157" s="52"/>
    </row>
    <row r="158" spans="2:7">
      <c r="B158" s="44">
        <v>122</v>
      </c>
      <c r="C158" s="39" t="s">
        <v>27</v>
      </c>
      <c r="D158" s="39"/>
      <c r="E158" s="36"/>
      <c r="F158" s="50"/>
      <c r="G158" s="55"/>
    </row>
    <row r="159" spans="2:7">
      <c r="B159" s="44"/>
      <c r="C159" s="48" t="s">
        <v>28</v>
      </c>
      <c r="D159" s="48"/>
      <c r="E159" s="49">
        <v>0</v>
      </c>
      <c r="F159" s="50">
        <v>0</v>
      </c>
      <c r="G159" s="52"/>
    </row>
    <row r="160" spans="2:7">
      <c r="B160" s="44"/>
      <c r="C160" s="48" t="s">
        <v>29</v>
      </c>
      <c r="D160" s="48"/>
      <c r="E160" s="49">
        <v>0</v>
      </c>
      <c r="F160" s="50">
        <v>0</v>
      </c>
      <c r="G160" s="52"/>
    </row>
    <row r="161" spans="2:7">
      <c r="B161" s="44"/>
      <c r="C161" s="48" t="s">
        <v>30</v>
      </c>
      <c r="D161" s="48"/>
      <c r="E161" s="49">
        <v>0</v>
      </c>
      <c r="F161" s="50">
        <v>0</v>
      </c>
      <c r="G161" s="52"/>
    </row>
    <row r="162" spans="2:7">
      <c r="B162" s="44"/>
      <c r="C162" s="48" t="s">
        <v>31</v>
      </c>
      <c r="D162" s="48"/>
      <c r="E162" s="49">
        <v>0</v>
      </c>
      <c r="F162" s="50">
        <v>0</v>
      </c>
      <c r="G162" s="52"/>
    </row>
    <row r="163" spans="2:7">
      <c r="B163" s="44"/>
      <c r="C163" s="48" t="s">
        <v>32</v>
      </c>
      <c r="D163" s="48"/>
      <c r="E163" s="49">
        <v>88.800120595041136</v>
      </c>
      <c r="F163" s="50">
        <v>88.800120595041136</v>
      </c>
      <c r="G163" s="52"/>
    </row>
    <row r="164" spans="2:7">
      <c r="B164" s="44"/>
      <c r="C164" s="48" t="s">
        <v>33</v>
      </c>
      <c r="D164" s="48"/>
      <c r="E164" s="49">
        <v>0</v>
      </c>
      <c r="F164" s="50">
        <v>0</v>
      </c>
      <c r="G164" s="52"/>
    </row>
    <row r="165" spans="2:7">
      <c r="B165" s="44"/>
      <c r="C165" s="48" t="s">
        <v>34</v>
      </c>
      <c r="D165" s="48"/>
      <c r="E165" s="49">
        <v>0</v>
      </c>
      <c r="F165" s="50">
        <v>0</v>
      </c>
      <c r="G165" s="52"/>
    </row>
    <row r="166" spans="2:7">
      <c r="B166" s="44"/>
      <c r="C166" s="48" t="s">
        <v>35</v>
      </c>
      <c r="D166" s="48"/>
      <c r="E166" s="49">
        <v>0</v>
      </c>
      <c r="F166" s="50">
        <v>0</v>
      </c>
      <c r="G166" s="52"/>
    </row>
    <row r="167" spans="2:7">
      <c r="B167" s="44"/>
      <c r="C167" s="53" t="s">
        <v>26</v>
      </c>
      <c r="D167" s="53"/>
      <c r="E167" s="36">
        <v>88.800120595041136</v>
      </c>
      <c r="F167" s="54">
        <v>88.800120595041136</v>
      </c>
      <c r="G167" s="52"/>
    </row>
    <row r="168" spans="2:7">
      <c r="B168" s="44">
        <v>123</v>
      </c>
      <c r="C168" s="39" t="s">
        <v>36</v>
      </c>
      <c r="D168" s="39"/>
      <c r="E168" s="56"/>
      <c r="F168" s="57"/>
      <c r="G168" s="52"/>
    </row>
    <row r="169" spans="2:7">
      <c r="B169" s="44"/>
      <c r="C169" s="48" t="s">
        <v>37</v>
      </c>
      <c r="D169" s="48"/>
      <c r="E169" s="49">
        <v>88.800120595041136</v>
      </c>
      <c r="F169" s="50">
        <v>88.800120595041136</v>
      </c>
      <c r="G169" s="52"/>
    </row>
    <row r="170" spans="2:7">
      <c r="B170" s="44"/>
      <c r="C170" s="48" t="s">
        <v>38</v>
      </c>
      <c r="D170" s="48"/>
      <c r="E170" s="49">
        <v>0</v>
      </c>
      <c r="F170" s="50">
        <v>0</v>
      </c>
      <c r="G170" s="52"/>
    </row>
    <row r="171" spans="2:7">
      <c r="B171" s="44"/>
      <c r="C171" s="48" t="s">
        <v>39</v>
      </c>
      <c r="D171" s="48"/>
      <c r="E171" s="49">
        <v>769.60104515702335</v>
      </c>
      <c r="F171" s="50">
        <v>769.60104515702335</v>
      </c>
      <c r="G171" s="52"/>
    </row>
    <row r="172" spans="2:7">
      <c r="B172" s="44"/>
      <c r="C172" s="48" t="s">
        <v>40</v>
      </c>
      <c r="D172" s="48"/>
      <c r="E172" s="49">
        <v>0</v>
      </c>
      <c r="F172" s="50">
        <v>0</v>
      </c>
      <c r="G172" s="52"/>
    </row>
    <row r="173" spans="2:7">
      <c r="B173" s="44"/>
      <c r="C173" s="48" t="s">
        <v>41</v>
      </c>
      <c r="D173" s="48"/>
      <c r="E173" s="49">
        <v>0</v>
      </c>
      <c r="F173" s="50">
        <v>0</v>
      </c>
      <c r="G173" s="52"/>
    </row>
    <row r="174" spans="2:7">
      <c r="B174" s="44"/>
      <c r="C174" s="48" t="s">
        <v>42</v>
      </c>
      <c r="D174" s="48"/>
      <c r="E174" s="49">
        <v>177.60024119008227</v>
      </c>
      <c r="F174" s="50">
        <v>177.60024119008227</v>
      </c>
      <c r="G174" s="52"/>
    </row>
    <row r="175" spans="2:7">
      <c r="B175" s="44"/>
      <c r="C175" s="53" t="s">
        <v>26</v>
      </c>
      <c r="D175" s="53"/>
      <c r="E175" s="36">
        <v>1036.0014069421468</v>
      </c>
      <c r="F175" s="54">
        <v>1036.0014069421468</v>
      </c>
      <c r="G175" s="52"/>
    </row>
    <row r="176" spans="2:7">
      <c r="B176" s="44">
        <v>124</v>
      </c>
      <c r="C176" s="39" t="s">
        <v>43</v>
      </c>
      <c r="D176" s="39"/>
      <c r="E176" s="56"/>
      <c r="F176" s="57"/>
      <c r="G176" s="52"/>
    </row>
    <row r="177" spans="2:7">
      <c r="B177" s="44"/>
      <c r="C177" s="48" t="s">
        <v>44</v>
      </c>
      <c r="D177" s="48"/>
      <c r="E177" s="49">
        <v>135.66685090909075</v>
      </c>
      <c r="F177" s="50">
        <v>135.66685090909075</v>
      </c>
      <c r="G177" s="52"/>
    </row>
    <row r="178" spans="2:7">
      <c r="B178" s="44"/>
      <c r="C178" s="48" t="s">
        <v>45</v>
      </c>
      <c r="D178" s="48"/>
      <c r="E178" s="49">
        <v>0</v>
      </c>
      <c r="F178" s="50">
        <v>0</v>
      </c>
      <c r="G178" s="52"/>
    </row>
    <row r="179" spans="2:7">
      <c r="B179" s="44"/>
      <c r="C179" s="48" t="s">
        <v>46</v>
      </c>
      <c r="D179" s="48"/>
      <c r="E179" s="49">
        <v>0</v>
      </c>
      <c r="F179" s="50">
        <v>0</v>
      </c>
      <c r="G179" s="52"/>
    </row>
    <row r="180" spans="2:7">
      <c r="B180" s="44"/>
      <c r="C180" s="53" t="s">
        <v>26</v>
      </c>
      <c r="D180" s="53"/>
      <c r="E180" s="36">
        <v>135.66685090909075</v>
      </c>
      <c r="F180" s="54">
        <v>135.66685090909075</v>
      </c>
      <c r="G180" s="52"/>
    </row>
    <row r="181" spans="2:7">
      <c r="B181" s="44">
        <v>125</v>
      </c>
      <c r="C181" s="39" t="s">
        <v>47</v>
      </c>
      <c r="D181" s="39"/>
      <c r="E181" s="36"/>
      <c r="F181" s="50"/>
      <c r="G181" s="52"/>
    </row>
    <row r="182" spans="2:7">
      <c r="B182" s="44"/>
      <c r="C182" s="48" t="s">
        <v>48</v>
      </c>
      <c r="D182" s="48"/>
      <c r="E182" s="58">
        <v>0</v>
      </c>
      <c r="F182" s="50">
        <v>0</v>
      </c>
      <c r="G182" s="52"/>
    </row>
    <row r="183" spans="2:7">
      <c r="B183" s="44"/>
      <c r="C183" s="48" t="s">
        <v>49</v>
      </c>
      <c r="D183" s="48"/>
      <c r="E183" s="58">
        <v>0</v>
      </c>
      <c r="F183" s="50">
        <v>0</v>
      </c>
      <c r="G183" s="52"/>
    </row>
    <row r="184" spans="2:7">
      <c r="B184" s="44"/>
      <c r="C184" s="48" t="s">
        <v>50</v>
      </c>
      <c r="D184" s="48"/>
      <c r="E184" s="58">
        <v>108.5334807272726</v>
      </c>
      <c r="F184" s="50">
        <v>108.5334807272726</v>
      </c>
      <c r="G184" s="52"/>
    </row>
    <row r="185" spans="2:7">
      <c r="B185" s="44"/>
      <c r="C185" s="48" t="s">
        <v>51</v>
      </c>
      <c r="D185" s="48"/>
      <c r="E185" s="58">
        <v>0</v>
      </c>
      <c r="F185" s="50">
        <v>0</v>
      </c>
      <c r="G185" s="52"/>
    </row>
    <row r="186" spans="2:7">
      <c r="B186" s="44"/>
      <c r="C186" s="53" t="s">
        <v>26</v>
      </c>
      <c r="D186" s="53"/>
      <c r="E186" s="56">
        <v>108.5334807272726</v>
      </c>
      <c r="F186" s="54">
        <v>108.5334807272726</v>
      </c>
      <c r="G186" s="52"/>
    </row>
    <row r="187" spans="2:7">
      <c r="B187" s="44">
        <v>126</v>
      </c>
      <c r="C187" s="39" t="s">
        <v>52</v>
      </c>
      <c r="D187" s="39"/>
      <c r="E187" s="56"/>
      <c r="F187" s="50"/>
      <c r="G187" s="52"/>
    </row>
    <row r="188" spans="2:7">
      <c r="B188" s="44"/>
      <c r="C188" s="48" t="s">
        <v>53</v>
      </c>
      <c r="D188" s="48"/>
      <c r="E188" s="49">
        <v>0</v>
      </c>
      <c r="F188" s="50">
        <v>0</v>
      </c>
      <c r="G188" s="52"/>
    </row>
    <row r="189" spans="2:7">
      <c r="B189" s="44"/>
      <c r="C189" s="48" t="s">
        <v>54</v>
      </c>
      <c r="D189" s="48"/>
      <c r="E189" s="49">
        <v>0</v>
      </c>
      <c r="F189" s="50"/>
      <c r="G189" s="52"/>
    </row>
    <row r="190" spans="2:7">
      <c r="B190" s="44"/>
      <c r="C190" s="48" t="s">
        <v>55</v>
      </c>
      <c r="D190" s="48"/>
      <c r="E190" s="49">
        <v>0</v>
      </c>
      <c r="F190" s="50"/>
      <c r="G190" s="52"/>
    </row>
    <row r="191" spans="2:7">
      <c r="B191" s="44"/>
      <c r="C191" s="48" t="s">
        <v>56</v>
      </c>
      <c r="D191" s="48"/>
      <c r="E191" s="49">
        <v>0</v>
      </c>
      <c r="F191" s="57"/>
      <c r="G191" s="52"/>
    </row>
    <row r="192" spans="2:7">
      <c r="B192" s="44"/>
      <c r="C192" s="53" t="s">
        <v>26</v>
      </c>
      <c r="D192" s="53"/>
      <c r="E192" s="56">
        <v>0</v>
      </c>
      <c r="F192" s="54">
        <v>0</v>
      </c>
      <c r="G192" s="52"/>
    </row>
    <row r="193" spans="2:7">
      <c r="B193" s="44">
        <v>127</v>
      </c>
      <c r="C193" s="39" t="s">
        <v>57</v>
      </c>
      <c r="D193" s="39"/>
      <c r="E193" s="56"/>
      <c r="F193" s="54"/>
      <c r="G193" s="52"/>
    </row>
    <row r="194" spans="2:7">
      <c r="B194" s="44"/>
      <c r="C194" s="48" t="s">
        <v>58</v>
      </c>
      <c r="D194" s="48"/>
      <c r="E194" s="49">
        <v>0</v>
      </c>
      <c r="F194" s="50">
        <v>0</v>
      </c>
      <c r="G194" s="52"/>
    </row>
    <row r="195" spans="2:7">
      <c r="B195" s="44"/>
      <c r="C195" s="48" t="s">
        <v>59</v>
      </c>
      <c r="D195" s="48"/>
      <c r="E195" s="49">
        <v>0</v>
      </c>
      <c r="F195" s="50">
        <v>0</v>
      </c>
      <c r="G195" s="52"/>
    </row>
    <row r="196" spans="2:7">
      <c r="B196" s="44"/>
      <c r="C196" s="48" t="s">
        <v>60</v>
      </c>
      <c r="D196" s="48"/>
      <c r="E196" s="49">
        <v>0</v>
      </c>
      <c r="F196" s="50">
        <v>0</v>
      </c>
      <c r="G196" s="52"/>
    </row>
    <row r="197" spans="2:7">
      <c r="B197" s="44"/>
      <c r="C197" s="59" t="s">
        <v>61</v>
      </c>
      <c r="D197" s="59"/>
      <c r="E197" s="49">
        <v>0</v>
      </c>
      <c r="F197" s="50">
        <v>0</v>
      </c>
      <c r="G197" s="52"/>
    </row>
    <row r="198" spans="2:7">
      <c r="B198" s="44"/>
      <c r="C198" s="53" t="s">
        <v>26</v>
      </c>
      <c r="D198" s="53"/>
      <c r="E198" s="56">
        <v>0</v>
      </c>
      <c r="F198" s="54">
        <v>0</v>
      </c>
      <c r="G198" s="52"/>
    </row>
    <row r="199" spans="2:7">
      <c r="B199" s="44">
        <v>128</v>
      </c>
      <c r="C199" s="39" t="s">
        <v>62</v>
      </c>
      <c r="D199" s="39"/>
      <c r="E199" s="56"/>
      <c r="F199" s="54"/>
      <c r="G199" s="52"/>
    </row>
    <row r="200" spans="2:7">
      <c r="B200" s="44"/>
      <c r="C200" s="48" t="s">
        <v>63</v>
      </c>
      <c r="D200" s="48"/>
      <c r="E200" s="49">
        <v>0</v>
      </c>
      <c r="F200" s="50">
        <v>0</v>
      </c>
      <c r="G200" s="52"/>
    </row>
    <row r="201" spans="2:7">
      <c r="B201" s="44"/>
      <c r="C201" s="48" t="s">
        <v>64</v>
      </c>
      <c r="D201" s="48"/>
      <c r="E201" s="49">
        <v>0</v>
      </c>
      <c r="F201" s="50">
        <v>0</v>
      </c>
      <c r="G201" s="52"/>
    </row>
    <row r="202" spans="2:7">
      <c r="B202" s="44"/>
      <c r="C202" s="48" t="s">
        <v>65</v>
      </c>
      <c r="D202" s="48"/>
      <c r="E202" s="49">
        <v>325.60044218181781</v>
      </c>
      <c r="F202" s="50">
        <v>325.60044218181781</v>
      </c>
      <c r="G202" s="52"/>
    </row>
    <row r="203" spans="2:7">
      <c r="B203" s="44"/>
      <c r="C203" s="48" t="s">
        <v>66</v>
      </c>
      <c r="D203" s="48"/>
      <c r="E203" s="49">
        <v>0</v>
      </c>
      <c r="F203" s="50">
        <v>0</v>
      </c>
      <c r="G203" s="52"/>
    </row>
    <row r="204" spans="2:7">
      <c r="B204" s="44"/>
      <c r="C204" s="48" t="s">
        <v>67</v>
      </c>
      <c r="D204" s="48"/>
      <c r="E204" s="49">
        <v>0</v>
      </c>
      <c r="F204" s="50">
        <v>0</v>
      </c>
      <c r="G204" s="52"/>
    </row>
    <row r="205" spans="2:7">
      <c r="B205" s="44"/>
      <c r="C205" s="53" t="s">
        <v>26</v>
      </c>
      <c r="D205" s="53"/>
      <c r="E205" s="56">
        <v>325.60044218181781</v>
      </c>
      <c r="F205" s="54">
        <v>325.60044218181781</v>
      </c>
      <c r="G205" s="52"/>
    </row>
    <row r="206" spans="2:7">
      <c r="B206" s="44">
        <v>135</v>
      </c>
      <c r="C206" s="39" t="s">
        <v>68</v>
      </c>
      <c r="D206" s="39"/>
      <c r="E206" s="56"/>
      <c r="F206" s="50"/>
      <c r="G206" s="52"/>
    </row>
    <row r="207" spans="2:7">
      <c r="B207" s="44"/>
      <c r="C207" s="48" t="s">
        <v>69</v>
      </c>
      <c r="D207" s="48"/>
      <c r="E207" s="49">
        <v>0</v>
      </c>
      <c r="F207" s="50">
        <v>0</v>
      </c>
      <c r="G207" s="52"/>
    </row>
    <row r="208" spans="2:7">
      <c r="B208" s="44"/>
      <c r="C208" s="48" t="s">
        <v>70</v>
      </c>
      <c r="D208" s="48"/>
      <c r="E208" s="49">
        <v>0</v>
      </c>
      <c r="F208" s="50">
        <v>0</v>
      </c>
      <c r="G208" s="52"/>
    </row>
    <row r="209" spans="2:7">
      <c r="B209" s="44"/>
      <c r="C209" s="48" t="s">
        <v>71</v>
      </c>
      <c r="D209" s="48"/>
      <c r="E209" s="49">
        <v>0</v>
      </c>
      <c r="F209" s="50">
        <v>0</v>
      </c>
      <c r="G209" s="52"/>
    </row>
    <row r="210" spans="2:7">
      <c r="B210" s="44"/>
      <c r="C210" s="48" t="s">
        <v>72</v>
      </c>
      <c r="D210" s="48"/>
      <c r="E210" s="49">
        <v>0</v>
      </c>
      <c r="F210" s="50">
        <v>0</v>
      </c>
      <c r="G210" s="52"/>
    </row>
    <row r="211" spans="2:7">
      <c r="B211" s="44"/>
      <c r="C211" s="48" t="s">
        <v>73</v>
      </c>
      <c r="D211" s="48"/>
      <c r="E211" s="49">
        <v>177.60024119008227</v>
      </c>
      <c r="F211" s="50">
        <v>177.60024119008227</v>
      </c>
      <c r="G211" s="52"/>
    </row>
    <row r="212" spans="2:7">
      <c r="B212" s="44"/>
      <c r="C212" s="48" t="s">
        <v>74</v>
      </c>
      <c r="D212" s="48"/>
      <c r="E212" s="49">
        <v>0</v>
      </c>
      <c r="F212" s="50">
        <v>0</v>
      </c>
      <c r="G212" s="52"/>
    </row>
    <row r="213" spans="2:7">
      <c r="B213" s="44"/>
      <c r="C213" s="48" t="s">
        <v>75</v>
      </c>
      <c r="D213" s="48"/>
      <c r="E213" s="49">
        <v>841.13447563636271</v>
      </c>
      <c r="F213" s="50">
        <v>841.13447563636271</v>
      </c>
      <c r="G213" s="52"/>
    </row>
    <row r="214" spans="2:7">
      <c r="B214" s="44"/>
      <c r="C214" s="48" t="s">
        <v>76</v>
      </c>
      <c r="D214" s="48"/>
      <c r="E214" s="49">
        <v>0</v>
      </c>
      <c r="F214" s="50">
        <v>0</v>
      </c>
      <c r="G214" s="52"/>
    </row>
    <row r="215" spans="2:7">
      <c r="B215" s="44"/>
      <c r="C215" s="48" t="s">
        <v>77</v>
      </c>
      <c r="D215" s="48"/>
      <c r="E215" s="49">
        <v>0</v>
      </c>
      <c r="F215" s="50">
        <v>0</v>
      </c>
      <c r="G215" s="52"/>
    </row>
    <row r="216" spans="2:7">
      <c r="B216" s="44"/>
      <c r="C216" s="53" t="s">
        <v>26</v>
      </c>
      <c r="D216" s="53"/>
      <c r="E216" s="56">
        <v>1018.734716826445</v>
      </c>
      <c r="F216" s="54">
        <v>1018.734716826445</v>
      </c>
      <c r="G216" s="52"/>
    </row>
    <row r="217" spans="2:7">
      <c r="B217" s="44">
        <v>136</v>
      </c>
      <c r="C217" s="39" t="s">
        <v>78</v>
      </c>
      <c r="D217" s="39"/>
      <c r="E217" s="56"/>
      <c r="F217" s="50"/>
      <c r="G217" s="52"/>
    </row>
    <row r="218" spans="2:7">
      <c r="B218" s="44"/>
      <c r="C218" s="48" t="s">
        <v>79</v>
      </c>
      <c r="D218" s="48"/>
      <c r="E218" s="49">
        <v>0</v>
      </c>
      <c r="F218" s="50">
        <v>0</v>
      </c>
      <c r="G218" s="52"/>
    </row>
    <row r="219" spans="2:7">
      <c r="B219" s="44"/>
      <c r="C219" s="48" t="s">
        <v>80</v>
      </c>
      <c r="D219" s="48"/>
      <c r="E219" s="49">
        <v>0</v>
      </c>
      <c r="F219" s="50">
        <v>0</v>
      </c>
      <c r="G219" s="52"/>
    </row>
    <row r="220" spans="2:7">
      <c r="B220" s="44"/>
      <c r="C220" s="48" t="s">
        <v>81</v>
      </c>
      <c r="D220" s="48"/>
      <c r="E220" s="49">
        <v>0</v>
      </c>
      <c r="F220" s="50">
        <v>0</v>
      </c>
      <c r="G220" s="52"/>
    </row>
    <row r="221" spans="2:7">
      <c r="B221" s="44"/>
      <c r="C221" s="48" t="s">
        <v>82</v>
      </c>
      <c r="D221" s="48"/>
      <c r="E221" s="49">
        <v>0</v>
      </c>
      <c r="F221" s="50">
        <v>0</v>
      </c>
      <c r="G221" s="52"/>
    </row>
    <row r="222" spans="2:7">
      <c r="B222" s="44"/>
      <c r="C222" s="48" t="s">
        <v>83</v>
      </c>
      <c r="D222" s="48"/>
      <c r="E222" s="49">
        <v>0</v>
      </c>
      <c r="F222" s="50">
        <v>0</v>
      </c>
      <c r="G222" s="52"/>
    </row>
    <row r="223" spans="2:7">
      <c r="B223" s="44"/>
      <c r="C223" s="48" t="s">
        <v>84</v>
      </c>
      <c r="D223" s="48"/>
      <c r="E223" s="49">
        <v>0</v>
      </c>
      <c r="F223" s="50">
        <v>0</v>
      </c>
      <c r="G223" s="52"/>
    </row>
    <row r="224" spans="2:7">
      <c r="B224" s="44"/>
      <c r="C224" s="53" t="s">
        <v>26</v>
      </c>
      <c r="D224" s="53"/>
      <c r="E224" s="56">
        <v>0</v>
      </c>
      <c r="F224" s="54">
        <v>0</v>
      </c>
      <c r="G224" s="52"/>
    </row>
    <row r="225" spans="2:7">
      <c r="B225" s="44">
        <v>142</v>
      </c>
      <c r="C225" s="39" t="s">
        <v>85</v>
      </c>
      <c r="D225" s="39"/>
      <c r="E225" s="56"/>
      <c r="F225" s="50"/>
      <c r="G225" s="52"/>
    </row>
    <row r="226" spans="2:7">
      <c r="B226" s="44"/>
      <c r="C226" s="48" t="s">
        <v>86</v>
      </c>
      <c r="D226" s="48"/>
      <c r="E226" s="49">
        <v>0</v>
      </c>
      <c r="F226" s="50">
        <v>0</v>
      </c>
      <c r="G226" s="52"/>
    </row>
    <row r="227" spans="2:7">
      <c r="B227" s="44"/>
      <c r="C227" s="48" t="s">
        <v>87</v>
      </c>
      <c r="D227" s="48"/>
      <c r="E227" s="49">
        <v>0</v>
      </c>
      <c r="F227" s="50">
        <v>0</v>
      </c>
      <c r="G227" s="52"/>
    </row>
    <row r="228" spans="2:7">
      <c r="B228" s="44"/>
      <c r="C228" s="53" t="s">
        <v>26</v>
      </c>
      <c r="D228" s="53"/>
      <c r="E228" s="56">
        <v>0</v>
      </c>
      <c r="F228" s="54">
        <v>0</v>
      </c>
      <c r="G228" s="52"/>
    </row>
    <row r="229" spans="2:7">
      <c r="B229" s="44">
        <v>144</v>
      </c>
      <c r="C229" s="39" t="s">
        <v>88</v>
      </c>
      <c r="D229" s="39"/>
      <c r="E229" s="49">
        <v>0</v>
      </c>
      <c r="F229" s="54">
        <v>0</v>
      </c>
      <c r="G229" s="52"/>
    </row>
    <row r="230" spans="2:7">
      <c r="B230" s="44">
        <v>221</v>
      </c>
      <c r="C230" s="39" t="s">
        <v>89</v>
      </c>
      <c r="D230" s="39"/>
      <c r="E230" s="49">
        <v>0</v>
      </c>
      <c r="F230" s="54">
        <v>0</v>
      </c>
      <c r="G230" s="52"/>
    </row>
    <row r="231" spans="2:7">
      <c r="B231" s="44">
        <v>222</v>
      </c>
      <c r="C231" s="39" t="s">
        <v>90</v>
      </c>
      <c r="D231" s="39"/>
      <c r="E231" s="49">
        <v>0</v>
      </c>
      <c r="F231" s="54">
        <v>0</v>
      </c>
      <c r="G231" s="52"/>
    </row>
    <row r="232" spans="2:7">
      <c r="B232" s="44">
        <v>224</v>
      </c>
      <c r="C232" s="39" t="s">
        <v>91</v>
      </c>
      <c r="D232" s="39"/>
      <c r="E232" s="49">
        <v>0</v>
      </c>
      <c r="F232" s="54">
        <v>0</v>
      </c>
      <c r="G232" s="52"/>
    </row>
    <row r="233" spans="2:7">
      <c r="B233" s="44">
        <v>225</v>
      </c>
      <c r="C233" s="39" t="s">
        <v>92</v>
      </c>
      <c r="D233" s="39"/>
      <c r="E233" s="49">
        <v>0</v>
      </c>
      <c r="F233" s="54">
        <v>0</v>
      </c>
      <c r="G233" s="38"/>
    </row>
    <row r="234" spans="2:7">
      <c r="B234" s="44">
        <v>226</v>
      </c>
      <c r="C234" s="39" t="s">
        <v>93</v>
      </c>
      <c r="D234" s="39"/>
      <c r="E234" s="49">
        <v>0</v>
      </c>
      <c r="F234" s="54">
        <v>0</v>
      </c>
      <c r="G234" s="60"/>
    </row>
    <row r="235" spans="2:7" ht="15.75" thickBot="1">
      <c r="B235" s="61"/>
      <c r="C235" s="62" t="s">
        <v>94</v>
      </c>
      <c r="D235" s="62"/>
      <c r="E235" s="94">
        <v>0</v>
      </c>
      <c r="F235" s="63">
        <v>0</v>
      </c>
      <c r="G235" s="38"/>
    </row>
    <row r="236" spans="2:7">
      <c r="B236" s="64"/>
      <c r="C236" s="65" t="s">
        <v>95</v>
      </c>
      <c r="D236" s="66"/>
      <c r="E236" s="67">
        <v>2713.3370181818141</v>
      </c>
      <c r="F236" s="68">
        <v>2713.3370181818141</v>
      </c>
      <c r="G236" s="69"/>
    </row>
    <row r="237" spans="2:7" ht="15.75" thickBot="1">
      <c r="B237" s="64"/>
      <c r="C237" s="70"/>
      <c r="D237" s="71"/>
      <c r="E237" s="72"/>
      <c r="F237" s="73"/>
      <c r="G237" s="69"/>
    </row>
    <row r="238" spans="2:7" ht="15.75" thickBot="1">
      <c r="B238" s="64"/>
      <c r="C238" s="70" t="s">
        <v>96</v>
      </c>
      <c r="D238" s="71"/>
      <c r="E238" s="74">
        <v>13761.81686677687</v>
      </c>
      <c r="F238" s="75">
        <v>13761.81686677687</v>
      </c>
      <c r="G238" s="76"/>
    </row>
    <row r="239" spans="2:7" ht="8.25" customHeight="1" thickBot="1">
      <c r="B239" s="77"/>
      <c r="C239" s="81"/>
      <c r="D239" s="81"/>
      <c r="E239" s="78"/>
      <c r="F239" s="78"/>
      <c r="G239" s="79"/>
    </row>
    <row r="240" spans="2:7">
      <c r="B240" s="85"/>
      <c r="C240" s="84"/>
      <c r="D240" s="84"/>
      <c r="E240" s="85"/>
      <c r="F240" s="85"/>
      <c r="G240" s="85"/>
    </row>
    <row r="241" spans="1:7" ht="6" customHeight="1" thickBot="1"/>
    <row r="242" spans="1:7">
      <c r="B242" s="1"/>
      <c r="C242" s="2"/>
      <c r="D242" s="2"/>
      <c r="E242" s="2"/>
      <c r="F242" s="2"/>
      <c r="G242" s="3"/>
    </row>
    <row r="243" spans="1:7">
      <c r="B243" s="4"/>
      <c r="C243" s="5"/>
      <c r="D243" s="5"/>
      <c r="E243" s="5"/>
      <c r="F243" s="5"/>
      <c r="G243" s="6"/>
    </row>
    <row r="244" spans="1:7">
      <c r="B244" s="4"/>
      <c r="C244" s="5"/>
      <c r="D244" s="5"/>
      <c r="E244" s="5"/>
      <c r="F244" s="5"/>
      <c r="G244" s="6"/>
    </row>
    <row r="245" spans="1:7">
      <c r="B245" s="4"/>
      <c r="C245" s="5"/>
      <c r="D245" s="5"/>
      <c r="E245" s="5"/>
      <c r="F245" s="5"/>
      <c r="G245" s="6"/>
    </row>
    <row r="246" spans="1:7">
      <c r="B246" s="4"/>
      <c r="C246" s="5"/>
      <c r="D246" s="5"/>
      <c r="E246" s="5"/>
      <c r="F246" s="5"/>
      <c r="G246" s="6"/>
    </row>
    <row r="247" spans="1:7" ht="16.5" customHeight="1">
      <c r="B247" s="4"/>
      <c r="C247" s="5"/>
      <c r="D247" s="5"/>
      <c r="E247" s="5"/>
      <c r="F247" s="5"/>
      <c r="G247" s="6"/>
    </row>
    <row r="248" spans="1:7" ht="22.5" customHeight="1" thickBot="1">
      <c r="B248" s="4"/>
      <c r="C248" s="95" t="s">
        <v>0</v>
      </c>
      <c r="D248" s="95"/>
      <c r="E248" s="95"/>
      <c r="F248" s="5"/>
      <c r="G248" s="6"/>
    </row>
    <row r="249" spans="1:7" ht="21" thickTop="1">
      <c r="B249" s="4"/>
      <c r="C249" s="7"/>
      <c r="D249" s="7"/>
      <c r="E249" s="5"/>
      <c r="F249" s="5"/>
      <c r="G249" s="6"/>
    </row>
    <row r="250" spans="1:7">
      <c r="B250" s="8" t="s">
        <v>1</v>
      </c>
      <c r="C250" s="9" t="s">
        <v>97</v>
      </c>
      <c r="D250" s="5"/>
      <c r="E250" s="10" t="s">
        <v>2</v>
      </c>
      <c r="F250" s="9" t="s">
        <v>98</v>
      </c>
      <c r="G250" s="6"/>
    </row>
    <row r="251" spans="1:7" ht="3.75" customHeight="1">
      <c r="A251" s="80"/>
      <c r="B251" s="5"/>
      <c r="C251" s="5"/>
      <c r="D251" s="5"/>
      <c r="E251" s="11"/>
      <c r="F251" s="5"/>
      <c r="G251" s="6"/>
    </row>
    <row r="252" spans="1:7">
      <c r="A252" s="80"/>
      <c r="B252" s="12" t="s">
        <v>3</v>
      </c>
      <c r="C252" s="9" t="s">
        <v>99</v>
      </c>
      <c r="D252" s="5"/>
      <c r="E252" s="10" t="s">
        <v>4</v>
      </c>
      <c r="F252" s="82" t="s">
        <v>100</v>
      </c>
      <c r="G252" s="6"/>
    </row>
    <row r="253" spans="1:7" ht="3.75" customHeight="1">
      <c r="A253" s="80"/>
      <c r="B253" s="5"/>
      <c r="C253" s="5"/>
      <c r="D253" s="5"/>
      <c r="E253" s="11"/>
      <c r="F253" s="5"/>
      <c r="G253" s="6"/>
    </row>
    <row r="254" spans="1:7">
      <c r="A254" s="80"/>
      <c r="B254" s="10" t="s">
        <v>5</v>
      </c>
      <c r="C254" s="9" t="s">
        <v>101</v>
      </c>
      <c r="D254" s="5"/>
      <c r="E254" s="10" t="s">
        <v>6</v>
      </c>
      <c r="F254" s="9" t="s">
        <v>107</v>
      </c>
      <c r="G254" s="6"/>
    </row>
    <row r="255" spans="1:7" ht="4.5" customHeight="1">
      <c r="A255" s="80"/>
      <c r="B255" s="13"/>
      <c r="C255" s="5"/>
      <c r="D255" s="5"/>
      <c r="E255" s="11"/>
      <c r="F255" s="5"/>
      <c r="G255" s="6"/>
    </row>
    <row r="256" spans="1:7">
      <c r="A256" s="80"/>
      <c r="B256" s="10" t="s">
        <v>7</v>
      </c>
      <c r="C256" s="9" t="s">
        <v>127</v>
      </c>
      <c r="D256" s="5"/>
      <c r="E256" s="11"/>
      <c r="F256" s="5"/>
      <c r="G256" s="6"/>
    </row>
    <row r="257" spans="1:7" ht="3.75" customHeight="1">
      <c r="A257" s="80"/>
      <c r="B257" s="5"/>
      <c r="C257" s="5"/>
      <c r="D257" s="5"/>
      <c r="E257" s="11"/>
      <c r="F257" s="5"/>
      <c r="G257" s="6"/>
    </row>
    <row r="258" spans="1:7">
      <c r="B258" s="14" t="s">
        <v>8</v>
      </c>
      <c r="C258" s="15" t="s">
        <v>105</v>
      </c>
      <c r="D258" s="5"/>
      <c r="E258" s="86" t="s">
        <v>109</v>
      </c>
      <c r="F258" s="87">
        <v>45352</v>
      </c>
      <c r="G258" s="6"/>
    </row>
    <row r="259" spans="1:7">
      <c r="B259" s="16" t="s">
        <v>9</v>
      </c>
      <c r="C259" s="17" t="s">
        <v>130</v>
      </c>
      <c r="D259" s="5"/>
      <c r="E259" s="88" t="s">
        <v>110</v>
      </c>
      <c r="F259" s="89">
        <v>45382</v>
      </c>
      <c r="G259" s="18"/>
    </row>
    <row r="260" spans="1:7" ht="15.75" thickBot="1">
      <c r="B260" s="4"/>
      <c r="C260" s="19"/>
      <c r="D260" s="19"/>
      <c r="E260" s="20"/>
      <c r="F260" s="21"/>
      <c r="G260" s="18"/>
    </row>
    <row r="261" spans="1:7" ht="18.75" thickBot="1">
      <c r="B261" s="4"/>
      <c r="C261" s="22" t="s">
        <v>10</v>
      </c>
      <c r="D261" s="23"/>
      <c r="E261" s="24"/>
      <c r="F261" s="25" t="s">
        <v>11</v>
      </c>
      <c r="G261" s="18"/>
    </row>
    <row r="262" spans="1:7">
      <c r="B262" s="4"/>
      <c r="C262" s="26" t="s">
        <v>12</v>
      </c>
      <c r="D262" s="26"/>
      <c r="E262" s="27">
        <v>13761.81686677687</v>
      </c>
      <c r="F262" s="28">
        <v>13761.81686677687</v>
      </c>
      <c r="G262" s="29"/>
    </row>
    <row r="263" spans="1:7">
      <c r="B263" s="30">
        <v>143</v>
      </c>
      <c r="C263" s="31" t="s">
        <v>13</v>
      </c>
      <c r="D263" s="31"/>
      <c r="E263" s="27">
        <v>4578.6174545454505</v>
      </c>
      <c r="F263" s="32">
        <v>4578.6174545454505</v>
      </c>
      <c r="G263" s="33"/>
    </row>
    <row r="264" spans="1:7">
      <c r="B264" s="30"/>
      <c r="C264" s="34" t="s">
        <v>14</v>
      </c>
      <c r="D264" s="34"/>
      <c r="E264" s="27">
        <v>0</v>
      </c>
      <c r="F264" s="32">
        <v>0</v>
      </c>
      <c r="G264" s="33"/>
    </row>
    <row r="265" spans="1:7">
      <c r="B265" s="30"/>
      <c r="C265" s="34" t="s">
        <v>15</v>
      </c>
      <c r="D265" s="34"/>
      <c r="E265" s="27">
        <v>0</v>
      </c>
      <c r="F265" s="32">
        <v>0</v>
      </c>
      <c r="G265" s="33"/>
    </row>
    <row r="266" spans="1:7">
      <c r="B266" s="30"/>
      <c r="C266" s="34" t="s">
        <v>16</v>
      </c>
      <c r="D266" s="34"/>
      <c r="E266" s="27">
        <v>0</v>
      </c>
      <c r="F266" s="32">
        <v>0</v>
      </c>
      <c r="G266" s="33"/>
    </row>
    <row r="267" spans="1:7">
      <c r="B267" s="30"/>
      <c r="C267" s="34" t="s">
        <v>17</v>
      </c>
      <c r="D267" s="34"/>
      <c r="E267" s="27">
        <v>0</v>
      </c>
      <c r="F267" s="32">
        <v>0</v>
      </c>
      <c r="G267" s="33"/>
    </row>
    <row r="268" spans="1:7">
      <c r="B268" s="30"/>
      <c r="C268" s="35" t="s">
        <v>18</v>
      </c>
      <c r="D268" s="35"/>
      <c r="E268" s="36">
        <v>18340.434321322318</v>
      </c>
      <c r="F268" s="37">
        <v>18340.434321322318</v>
      </c>
      <c r="G268" s="38"/>
    </row>
    <row r="269" spans="1:7" ht="15.75" thickBot="1">
      <c r="B269" s="30"/>
      <c r="C269" s="39"/>
      <c r="D269" s="39"/>
      <c r="E269" s="40"/>
      <c r="F269" s="41"/>
      <c r="G269" s="38"/>
    </row>
    <row r="270" spans="1:7" ht="18.75" thickBot="1">
      <c r="B270" s="30"/>
      <c r="C270" s="22" t="s">
        <v>19</v>
      </c>
      <c r="D270" s="23"/>
      <c r="E270" s="42"/>
      <c r="F270" s="43"/>
      <c r="G270" s="38"/>
    </row>
    <row r="271" spans="1:7">
      <c r="B271" s="44">
        <v>121</v>
      </c>
      <c r="C271" s="39" t="s">
        <v>20</v>
      </c>
      <c r="D271" s="39"/>
      <c r="E271" s="45"/>
      <c r="F271" s="46"/>
      <c r="G271" s="47"/>
    </row>
    <row r="272" spans="1:7">
      <c r="B272" s="44"/>
      <c r="C272" s="48" t="s">
        <v>21</v>
      </c>
      <c r="D272" s="48"/>
      <c r="E272" s="49">
        <v>0</v>
      </c>
      <c r="F272" s="50">
        <v>0</v>
      </c>
      <c r="G272" s="47"/>
    </row>
    <row r="273" spans="2:7">
      <c r="B273" s="44"/>
      <c r="C273" s="48" t="s">
        <v>22</v>
      </c>
      <c r="D273" s="48"/>
      <c r="E273" s="49">
        <v>0</v>
      </c>
      <c r="F273" s="50">
        <v>0</v>
      </c>
      <c r="G273" s="47"/>
    </row>
    <row r="274" spans="2:7">
      <c r="B274" s="51"/>
      <c r="C274" s="48" t="s">
        <v>23</v>
      </c>
      <c r="D274" s="48"/>
      <c r="E274" s="49">
        <v>0</v>
      </c>
      <c r="F274" s="50">
        <v>0</v>
      </c>
      <c r="G274" s="52"/>
    </row>
    <row r="275" spans="2:7">
      <c r="B275" s="51"/>
      <c r="C275" s="48" t="s">
        <v>24</v>
      </c>
      <c r="D275" s="48"/>
      <c r="E275" s="49">
        <v>814.0011054545447</v>
      </c>
      <c r="F275" s="50">
        <v>814.0011054545447</v>
      </c>
      <c r="G275" s="52"/>
    </row>
    <row r="276" spans="2:7">
      <c r="B276" s="44"/>
      <c r="C276" s="48" t="s">
        <v>25</v>
      </c>
      <c r="D276" s="48"/>
      <c r="E276" s="49">
        <v>0</v>
      </c>
      <c r="F276" s="50">
        <v>0</v>
      </c>
      <c r="G276" s="52"/>
    </row>
    <row r="277" spans="2:7">
      <c r="B277" s="44"/>
      <c r="C277" s="53" t="s">
        <v>26</v>
      </c>
      <c r="D277" s="53"/>
      <c r="E277" s="36">
        <v>814.0011054545447</v>
      </c>
      <c r="F277" s="54">
        <v>814.0011054545447</v>
      </c>
      <c r="G277" s="52"/>
    </row>
    <row r="278" spans="2:7">
      <c r="B278" s="44">
        <v>122</v>
      </c>
      <c r="C278" s="39" t="s">
        <v>27</v>
      </c>
      <c r="D278" s="39"/>
      <c r="E278" s="36"/>
      <c r="F278" s="50"/>
      <c r="G278" s="55"/>
    </row>
    <row r="279" spans="2:7">
      <c r="B279" s="44"/>
      <c r="C279" s="48" t="s">
        <v>28</v>
      </c>
      <c r="D279" s="48"/>
      <c r="E279" s="49">
        <v>0</v>
      </c>
      <c r="F279" s="50">
        <v>0</v>
      </c>
      <c r="G279" s="52"/>
    </row>
    <row r="280" spans="2:7">
      <c r="B280" s="44"/>
      <c r="C280" s="48" t="s">
        <v>29</v>
      </c>
      <c r="D280" s="48"/>
      <c r="E280" s="49">
        <v>0</v>
      </c>
      <c r="F280" s="50">
        <v>0</v>
      </c>
      <c r="G280" s="52"/>
    </row>
    <row r="281" spans="2:7">
      <c r="B281" s="44"/>
      <c r="C281" s="48" t="s">
        <v>30</v>
      </c>
      <c r="D281" s="48"/>
      <c r="E281" s="49">
        <v>0</v>
      </c>
      <c r="F281" s="50">
        <v>0</v>
      </c>
      <c r="G281" s="52"/>
    </row>
    <row r="282" spans="2:7">
      <c r="B282" s="44"/>
      <c r="C282" s="48" t="s">
        <v>31</v>
      </c>
      <c r="D282" s="48"/>
      <c r="E282" s="49">
        <v>0</v>
      </c>
      <c r="F282" s="50">
        <v>0</v>
      </c>
      <c r="G282" s="52"/>
    </row>
    <row r="283" spans="2:7">
      <c r="B283" s="44"/>
      <c r="C283" s="48" t="s">
        <v>32</v>
      </c>
      <c r="D283" s="48"/>
      <c r="E283" s="49">
        <v>271.33370181818157</v>
      </c>
      <c r="F283" s="50">
        <v>271.33370181818157</v>
      </c>
      <c r="G283" s="52"/>
    </row>
    <row r="284" spans="2:7">
      <c r="B284" s="44"/>
      <c r="C284" s="48" t="s">
        <v>33</v>
      </c>
      <c r="D284" s="48"/>
      <c r="E284" s="49">
        <v>0</v>
      </c>
      <c r="F284" s="50">
        <v>0</v>
      </c>
      <c r="G284" s="52"/>
    </row>
    <row r="285" spans="2:7">
      <c r="B285" s="44"/>
      <c r="C285" s="48" t="s">
        <v>34</v>
      </c>
      <c r="D285" s="48"/>
      <c r="E285" s="49">
        <v>0</v>
      </c>
      <c r="F285" s="50">
        <v>0</v>
      </c>
      <c r="G285" s="52"/>
    </row>
    <row r="286" spans="2:7">
      <c r="B286" s="44"/>
      <c r="C286" s="48" t="s">
        <v>35</v>
      </c>
      <c r="D286" s="48"/>
      <c r="E286" s="49">
        <v>0</v>
      </c>
      <c r="F286" s="50">
        <v>0</v>
      </c>
      <c r="G286" s="52"/>
    </row>
    <row r="287" spans="2:7">
      <c r="B287" s="44"/>
      <c r="C287" s="53" t="s">
        <v>26</v>
      </c>
      <c r="D287" s="53"/>
      <c r="E287" s="36">
        <v>271.33370181818157</v>
      </c>
      <c r="F287" s="54">
        <v>271.33370181818157</v>
      </c>
      <c r="G287" s="52"/>
    </row>
    <row r="288" spans="2:7">
      <c r="B288" s="44">
        <v>123</v>
      </c>
      <c r="C288" s="39" t="s">
        <v>36</v>
      </c>
      <c r="D288" s="39"/>
      <c r="E288" s="56"/>
      <c r="F288" s="57"/>
      <c r="G288" s="52"/>
    </row>
    <row r="289" spans="2:7">
      <c r="B289" s="44"/>
      <c r="C289" s="48" t="s">
        <v>37</v>
      </c>
      <c r="D289" s="48"/>
      <c r="E289" s="49">
        <v>222.00030148760285</v>
      </c>
      <c r="F289" s="50">
        <v>222.00030148760285</v>
      </c>
      <c r="G289" s="52"/>
    </row>
    <row r="290" spans="2:7">
      <c r="B290" s="44"/>
      <c r="C290" s="48" t="s">
        <v>38</v>
      </c>
      <c r="D290" s="48"/>
      <c r="E290" s="49">
        <v>1825.3358122314014</v>
      </c>
      <c r="F290" s="50">
        <v>1825.3358122314014</v>
      </c>
      <c r="G290" s="52"/>
    </row>
    <row r="291" spans="2:7">
      <c r="B291" s="44"/>
      <c r="C291" s="48" t="s">
        <v>39</v>
      </c>
      <c r="D291" s="48"/>
      <c r="E291" s="49">
        <v>222.00030148760285</v>
      </c>
      <c r="F291" s="50">
        <v>222.00030148760285</v>
      </c>
      <c r="G291" s="52"/>
    </row>
    <row r="292" spans="2:7">
      <c r="B292" s="44"/>
      <c r="C292" s="48" t="s">
        <v>40</v>
      </c>
      <c r="D292" s="48"/>
      <c r="E292" s="49">
        <v>0</v>
      </c>
      <c r="F292" s="50">
        <v>0</v>
      </c>
      <c r="G292" s="52"/>
    </row>
    <row r="293" spans="2:7">
      <c r="B293" s="44"/>
      <c r="C293" s="48" t="s">
        <v>41</v>
      </c>
      <c r="D293" s="48"/>
      <c r="E293" s="49">
        <v>0</v>
      </c>
      <c r="F293" s="50">
        <v>0</v>
      </c>
      <c r="G293" s="52"/>
    </row>
    <row r="294" spans="2:7">
      <c r="B294" s="44"/>
      <c r="C294" s="48" t="s">
        <v>42</v>
      </c>
      <c r="D294" s="48"/>
      <c r="E294" s="49">
        <v>444.00060297520571</v>
      </c>
      <c r="F294" s="50">
        <v>444.00060297520571</v>
      </c>
      <c r="G294" s="52"/>
    </row>
    <row r="295" spans="2:7">
      <c r="B295" s="44"/>
      <c r="C295" s="53" t="s">
        <v>26</v>
      </c>
      <c r="D295" s="53"/>
      <c r="E295" s="36">
        <v>2713.3370181818127</v>
      </c>
      <c r="F295" s="54">
        <v>2713.3370181818127</v>
      </c>
      <c r="G295" s="52"/>
    </row>
    <row r="296" spans="2:7">
      <c r="B296" s="44">
        <v>124</v>
      </c>
      <c r="C296" s="39" t="s">
        <v>43</v>
      </c>
      <c r="D296" s="39"/>
      <c r="E296" s="56"/>
      <c r="F296" s="57"/>
      <c r="G296" s="52"/>
    </row>
    <row r="297" spans="2:7">
      <c r="B297" s="44"/>
      <c r="C297" s="48" t="s">
        <v>44</v>
      </c>
      <c r="D297" s="48"/>
      <c r="E297" s="49">
        <v>0</v>
      </c>
      <c r="F297" s="50">
        <v>0</v>
      </c>
      <c r="G297" s="52"/>
    </row>
    <row r="298" spans="2:7">
      <c r="B298" s="44"/>
      <c r="C298" s="48" t="s">
        <v>45</v>
      </c>
      <c r="D298" s="48"/>
      <c r="E298" s="49">
        <v>2102.8361890909068</v>
      </c>
      <c r="F298" s="50">
        <v>2102.8361890909068</v>
      </c>
      <c r="G298" s="52"/>
    </row>
    <row r="299" spans="2:7">
      <c r="B299" s="44"/>
      <c r="C299" s="48" t="s">
        <v>46</v>
      </c>
      <c r="D299" s="48"/>
      <c r="E299" s="49">
        <v>0</v>
      </c>
      <c r="F299" s="50">
        <v>0</v>
      </c>
      <c r="G299" s="52"/>
    </row>
    <row r="300" spans="2:7">
      <c r="B300" s="44"/>
      <c r="C300" s="53" t="s">
        <v>26</v>
      </c>
      <c r="D300" s="53"/>
      <c r="E300" s="36">
        <v>2102.8361890909068</v>
      </c>
      <c r="F300" s="54">
        <v>2102.8361890909068</v>
      </c>
      <c r="G300" s="52"/>
    </row>
    <row r="301" spans="2:7">
      <c r="B301" s="44">
        <v>125</v>
      </c>
      <c r="C301" s="39" t="s">
        <v>47</v>
      </c>
      <c r="D301" s="39"/>
      <c r="E301" s="36"/>
      <c r="F301" s="50"/>
      <c r="G301" s="52"/>
    </row>
    <row r="302" spans="2:7">
      <c r="B302" s="44"/>
      <c r="C302" s="48" t="s">
        <v>48</v>
      </c>
      <c r="D302" s="48"/>
      <c r="E302" s="58">
        <v>0</v>
      </c>
      <c r="F302" s="50">
        <v>0</v>
      </c>
      <c r="G302" s="52"/>
    </row>
    <row r="303" spans="2:7">
      <c r="B303" s="44"/>
      <c r="C303" s="48" t="s">
        <v>49</v>
      </c>
      <c r="D303" s="48"/>
      <c r="E303" s="58">
        <v>0</v>
      </c>
      <c r="F303" s="50">
        <v>0</v>
      </c>
      <c r="G303" s="52"/>
    </row>
    <row r="304" spans="2:7">
      <c r="B304" s="44"/>
      <c r="C304" s="48" t="s">
        <v>50</v>
      </c>
      <c r="D304" s="48"/>
      <c r="E304" s="58">
        <v>881.83453090909018</v>
      </c>
      <c r="F304" s="50">
        <v>881.83453090909018</v>
      </c>
      <c r="G304" s="52"/>
    </row>
    <row r="305" spans="2:7">
      <c r="B305" s="44"/>
      <c r="C305" s="48" t="s">
        <v>51</v>
      </c>
      <c r="D305" s="48"/>
      <c r="E305" s="58">
        <v>0</v>
      </c>
      <c r="F305" s="50">
        <v>0</v>
      </c>
      <c r="G305" s="52"/>
    </row>
    <row r="306" spans="2:7">
      <c r="B306" s="44"/>
      <c r="C306" s="53" t="s">
        <v>26</v>
      </c>
      <c r="D306" s="53"/>
      <c r="E306" s="56">
        <v>881.83453090909018</v>
      </c>
      <c r="F306" s="54">
        <v>881.83453090909018</v>
      </c>
      <c r="G306" s="52"/>
    </row>
    <row r="307" spans="2:7">
      <c r="B307" s="44">
        <v>126</v>
      </c>
      <c r="C307" s="39" t="s">
        <v>52</v>
      </c>
      <c r="D307" s="39"/>
      <c r="E307" s="56"/>
      <c r="F307" s="50"/>
      <c r="G307" s="52"/>
    </row>
    <row r="308" spans="2:7">
      <c r="B308" s="44"/>
      <c r="C308" s="48" t="s">
        <v>53</v>
      </c>
      <c r="D308" s="48"/>
      <c r="E308" s="49">
        <v>0</v>
      </c>
      <c r="F308" s="50">
        <v>0</v>
      </c>
      <c r="G308" s="52"/>
    </row>
    <row r="309" spans="2:7">
      <c r="B309" s="44"/>
      <c r="C309" s="48" t="s">
        <v>54</v>
      </c>
      <c r="D309" s="48"/>
      <c r="E309" s="49">
        <v>0</v>
      </c>
      <c r="F309" s="50"/>
      <c r="G309" s="52"/>
    </row>
    <row r="310" spans="2:7">
      <c r="B310" s="44"/>
      <c r="C310" s="48" t="s">
        <v>55</v>
      </c>
      <c r="D310" s="48"/>
      <c r="E310" s="49">
        <v>0</v>
      </c>
      <c r="F310" s="50"/>
      <c r="G310" s="52"/>
    </row>
    <row r="311" spans="2:7">
      <c r="B311" s="44"/>
      <c r="C311" s="48" t="s">
        <v>56</v>
      </c>
      <c r="D311" s="48"/>
      <c r="E311" s="49">
        <v>0</v>
      </c>
      <c r="F311" s="57"/>
      <c r="G311" s="52"/>
    </row>
    <row r="312" spans="2:7">
      <c r="B312" s="44"/>
      <c r="C312" s="53" t="s">
        <v>26</v>
      </c>
      <c r="D312" s="53"/>
      <c r="E312" s="56">
        <v>0</v>
      </c>
      <c r="F312" s="54">
        <v>0</v>
      </c>
      <c r="G312" s="52"/>
    </row>
    <row r="313" spans="2:7">
      <c r="B313" s="44">
        <v>127</v>
      </c>
      <c r="C313" s="39" t="s">
        <v>57</v>
      </c>
      <c r="D313" s="39"/>
      <c r="E313" s="56"/>
      <c r="F313" s="54"/>
      <c r="G313" s="52"/>
    </row>
    <row r="314" spans="2:7">
      <c r="B314" s="44"/>
      <c r="C314" s="48" t="s">
        <v>58</v>
      </c>
      <c r="D314" s="48"/>
      <c r="E314" s="49">
        <v>0</v>
      </c>
      <c r="F314" s="50">
        <v>0</v>
      </c>
      <c r="G314" s="52"/>
    </row>
    <row r="315" spans="2:7">
      <c r="B315" s="44"/>
      <c r="C315" s="48" t="s">
        <v>59</v>
      </c>
      <c r="D315" s="48"/>
      <c r="E315" s="49">
        <v>0</v>
      </c>
      <c r="F315" s="50">
        <v>0</v>
      </c>
      <c r="G315" s="52"/>
    </row>
    <row r="316" spans="2:7">
      <c r="B316" s="44"/>
      <c r="C316" s="48" t="s">
        <v>60</v>
      </c>
      <c r="D316" s="48"/>
      <c r="E316" s="49">
        <v>0</v>
      </c>
      <c r="F316" s="50">
        <v>0</v>
      </c>
      <c r="G316" s="52"/>
    </row>
    <row r="317" spans="2:7">
      <c r="B317" s="44"/>
      <c r="C317" s="59" t="s">
        <v>61</v>
      </c>
      <c r="D317" s="59"/>
      <c r="E317" s="49">
        <v>0</v>
      </c>
      <c r="F317" s="50">
        <v>0</v>
      </c>
      <c r="G317" s="52"/>
    </row>
    <row r="318" spans="2:7">
      <c r="B318" s="44"/>
      <c r="C318" s="53" t="s">
        <v>26</v>
      </c>
      <c r="D318" s="53"/>
      <c r="E318" s="56">
        <v>0</v>
      </c>
      <c r="F318" s="54">
        <v>0</v>
      </c>
      <c r="G318" s="52"/>
    </row>
    <row r="319" spans="2:7">
      <c r="B319" s="44">
        <v>128</v>
      </c>
      <c r="C319" s="39" t="s">
        <v>62</v>
      </c>
      <c r="D319" s="39"/>
      <c r="E319" s="56"/>
      <c r="F319" s="54"/>
      <c r="G319" s="52"/>
    </row>
    <row r="320" spans="2:7">
      <c r="B320" s="44"/>
      <c r="C320" s="48" t="s">
        <v>63</v>
      </c>
      <c r="D320" s="48"/>
      <c r="E320" s="49">
        <v>0</v>
      </c>
      <c r="F320" s="50">
        <v>0</v>
      </c>
      <c r="G320" s="52"/>
    </row>
    <row r="321" spans="2:7">
      <c r="B321" s="44"/>
      <c r="C321" s="48" t="s">
        <v>64</v>
      </c>
      <c r="D321" s="48"/>
      <c r="E321" s="49">
        <v>0</v>
      </c>
      <c r="F321" s="50">
        <v>0</v>
      </c>
      <c r="G321" s="52"/>
    </row>
    <row r="322" spans="2:7">
      <c r="B322" s="44"/>
      <c r="C322" s="48" t="s">
        <v>65</v>
      </c>
      <c r="D322" s="48"/>
      <c r="E322" s="49">
        <v>0</v>
      </c>
      <c r="F322" s="50">
        <v>0</v>
      </c>
      <c r="G322" s="52"/>
    </row>
    <row r="323" spans="2:7">
      <c r="B323" s="44"/>
      <c r="C323" s="48" t="s">
        <v>66</v>
      </c>
      <c r="D323" s="48"/>
      <c r="E323" s="49">
        <v>0</v>
      </c>
      <c r="F323" s="50">
        <v>0</v>
      </c>
      <c r="G323" s="52"/>
    </row>
    <row r="324" spans="2:7">
      <c r="B324" s="44"/>
      <c r="C324" s="48" t="s">
        <v>67</v>
      </c>
      <c r="D324" s="48"/>
      <c r="E324" s="49">
        <v>0</v>
      </c>
      <c r="F324" s="50">
        <v>0</v>
      </c>
      <c r="G324" s="52"/>
    </row>
    <row r="325" spans="2:7">
      <c r="B325" s="44"/>
      <c r="C325" s="53" t="s">
        <v>26</v>
      </c>
      <c r="D325" s="53"/>
      <c r="E325" s="56">
        <v>0</v>
      </c>
      <c r="F325" s="54">
        <v>0</v>
      </c>
      <c r="G325" s="52"/>
    </row>
    <row r="326" spans="2:7">
      <c r="B326" s="44">
        <v>135</v>
      </c>
      <c r="C326" s="39" t="s">
        <v>68</v>
      </c>
      <c r="D326" s="39"/>
      <c r="E326" s="56"/>
      <c r="F326" s="50"/>
      <c r="G326" s="52"/>
    </row>
    <row r="327" spans="2:7">
      <c r="B327" s="44"/>
      <c r="C327" s="48" t="s">
        <v>69</v>
      </c>
      <c r="D327" s="48"/>
      <c r="E327" s="49">
        <v>0</v>
      </c>
      <c r="F327" s="50">
        <v>0</v>
      </c>
      <c r="G327" s="52"/>
    </row>
    <row r="328" spans="2:7">
      <c r="B328" s="44"/>
      <c r="C328" s="48" t="s">
        <v>70</v>
      </c>
      <c r="D328" s="48"/>
      <c r="E328" s="49">
        <v>0</v>
      </c>
      <c r="F328" s="50">
        <v>0</v>
      </c>
      <c r="G328" s="52"/>
    </row>
    <row r="329" spans="2:7">
      <c r="B329" s="44"/>
      <c r="C329" s="48" t="s">
        <v>71</v>
      </c>
      <c r="D329" s="48"/>
      <c r="E329" s="49">
        <v>0</v>
      </c>
      <c r="F329" s="50">
        <v>0</v>
      </c>
      <c r="G329" s="52"/>
    </row>
    <row r="330" spans="2:7">
      <c r="B330" s="44"/>
      <c r="C330" s="48" t="s">
        <v>72</v>
      </c>
      <c r="D330" s="48"/>
      <c r="E330" s="49">
        <v>0</v>
      </c>
      <c r="F330" s="50">
        <v>0</v>
      </c>
      <c r="G330" s="52"/>
    </row>
    <row r="331" spans="2:7">
      <c r="B331" s="44"/>
      <c r="C331" s="48" t="s">
        <v>73</v>
      </c>
      <c r="D331" s="48"/>
      <c r="E331" s="49">
        <v>0</v>
      </c>
      <c r="F331" s="50">
        <v>0</v>
      </c>
      <c r="G331" s="52"/>
    </row>
    <row r="332" spans="2:7">
      <c r="B332" s="44"/>
      <c r="C332" s="48" t="s">
        <v>74</v>
      </c>
      <c r="D332" s="48"/>
      <c r="E332" s="49">
        <v>0</v>
      </c>
      <c r="F332" s="50">
        <v>0</v>
      </c>
      <c r="G332" s="52"/>
    </row>
    <row r="333" spans="2:7">
      <c r="B333" s="44"/>
      <c r="C333" s="48" t="s">
        <v>75</v>
      </c>
      <c r="D333" s="48"/>
      <c r="E333" s="49">
        <v>0</v>
      </c>
      <c r="F333" s="50">
        <v>0</v>
      </c>
      <c r="G333" s="52"/>
    </row>
    <row r="334" spans="2:7">
      <c r="B334" s="44"/>
      <c r="C334" s="48" t="s">
        <v>76</v>
      </c>
      <c r="D334" s="48"/>
      <c r="E334" s="49">
        <v>0</v>
      </c>
      <c r="F334" s="50">
        <v>0</v>
      </c>
      <c r="G334" s="52"/>
    </row>
    <row r="335" spans="2:7">
      <c r="B335" s="44"/>
      <c r="C335" s="48" t="s">
        <v>77</v>
      </c>
      <c r="D335" s="48"/>
      <c r="E335" s="49">
        <v>0</v>
      </c>
      <c r="F335" s="50">
        <v>0</v>
      </c>
      <c r="G335" s="52"/>
    </row>
    <row r="336" spans="2:7">
      <c r="B336" s="44"/>
      <c r="C336" s="53" t="s">
        <v>26</v>
      </c>
      <c r="D336" s="53"/>
      <c r="E336" s="56">
        <v>0</v>
      </c>
      <c r="F336" s="54">
        <v>0</v>
      </c>
      <c r="G336" s="52"/>
    </row>
    <row r="337" spans="2:7">
      <c r="B337" s="44">
        <v>136</v>
      </c>
      <c r="C337" s="39" t="s">
        <v>78</v>
      </c>
      <c r="D337" s="39"/>
      <c r="E337" s="56"/>
      <c r="F337" s="50"/>
      <c r="G337" s="52"/>
    </row>
    <row r="338" spans="2:7">
      <c r="B338" s="44"/>
      <c r="C338" s="48" t="s">
        <v>79</v>
      </c>
      <c r="D338" s="48"/>
      <c r="E338" s="49">
        <v>0</v>
      </c>
      <c r="F338" s="50">
        <v>0</v>
      </c>
      <c r="G338" s="52"/>
    </row>
    <row r="339" spans="2:7">
      <c r="B339" s="44"/>
      <c r="C339" s="48" t="s">
        <v>80</v>
      </c>
      <c r="D339" s="48"/>
      <c r="E339" s="49">
        <v>0</v>
      </c>
      <c r="F339" s="50">
        <v>0</v>
      </c>
      <c r="G339" s="52"/>
    </row>
    <row r="340" spans="2:7">
      <c r="B340" s="44"/>
      <c r="C340" s="48" t="s">
        <v>81</v>
      </c>
      <c r="D340" s="48"/>
      <c r="E340" s="49">
        <v>0</v>
      </c>
      <c r="F340" s="50">
        <v>0</v>
      </c>
      <c r="G340" s="52"/>
    </row>
    <row r="341" spans="2:7">
      <c r="B341" s="44"/>
      <c r="C341" s="48" t="s">
        <v>82</v>
      </c>
      <c r="D341" s="48"/>
      <c r="E341" s="49">
        <v>0</v>
      </c>
      <c r="F341" s="50">
        <v>0</v>
      </c>
      <c r="G341" s="52"/>
    </row>
    <row r="342" spans="2:7">
      <c r="B342" s="44"/>
      <c r="C342" s="48" t="s">
        <v>83</v>
      </c>
      <c r="D342" s="48"/>
      <c r="E342" s="49">
        <v>0</v>
      </c>
      <c r="F342" s="50">
        <v>0</v>
      </c>
      <c r="G342" s="52"/>
    </row>
    <row r="343" spans="2:7">
      <c r="B343" s="44"/>
      <c r="C343" s="48" t="s">
        <v>84</v>
      </c>
      <c r="D343" s="48"/>
      <c r="E343" s="49">
        <v>0</v>
      </c>
      <c r="F343" s="50">
        <v>0</v>
      </c>
      <c r="G343" s="52"/>
    </row>
    <row r="344" spans="2:7">
      <c r="B344" s="44"/>
      <c r="C344" s="53" t="s">
        <v>26</v>
      </c>
      <c r="D344" s="53"/>
      <c r="E344" s="56">
        <v>0</v>
      </c>
      <c r="F344" s="54">
        <v>0</v>
      </c>
      <c r="G344" s="52"/>
    </row>
    <row r="345" spans="2:7">
      <c r="B345" s="44">
        <v>142</v>
      </c>
      <c r="C345" s="39" t="s">
        <v>85</v>
      </c>
      <c r="D345" s="39"/>
      <c r="E345" s="56"/>
      <c r="F345" s="50"/>
      <c r="G345" s="52"/>
    </row>
    <row r="346" spans="2:7">
      <c r="B346" s="44"/>
      <c r="C346" s="48" t="s">
        <v>86</v>
      </c>
      <c r="D346" s="48"/>
      <c r="E346" s="49">
        <v>0</v>
      </c>
      <c r="F346" s="50">
        <v>0</v>
      </c>
      <c r="G346" s="52"/>
    </row>
    <row r="347" spans="2:7">
      <c r="B347" s="44"/>
      <c r="C347" s="48" t="s">
        <v>87</v>
      </c>
      <c r="D347" s="48"/>
      <c r="E347" s="49">
        <v>0</v>
      </c>
      <c r="F347" s="50">
        <v>0</v>
      </c>
      <c r="G347" s="52"/>
    </row>
    <row r="348" spans="2:7">
      <c r="B348" s="44"/>
      <c r="C348" s="53" t="s">
        <v>26</v>
      </c>
      <c r="D348" s="53"/>
      <c r="E348" s="56">
        <v>0</v>
      </c>
      <c r="F348" s="54">
        <v>0</v>
      </c>
      <c r="G348" s="52"/>
    </row>
    <row r="349" spans="2:7">
      <c r="B349" s="44">
        <v>144</v>
      </c>
      <c r="C349" s="39" t="s">
        <v>88</v>
      </c>
      <c r="D349" s="39"/>
      <c r="E349" s="49">
        <v>0</v>
      </c>
      <c r="F349" s="54">
        <v>0</v>
      </c>
      <c r="G349" s="52"/>
    </row>
    <row r="350" spans="2:7">
      <c r="B350" s="44">
        <v>221</v>
      </c>
      <c r="C350" s="39" t="s">
        <v>89</v>
      </c>
      <c r="D350" s="39"/>
      <c r="E350" s="49">
        <v>0</v>
      </c>
      <c r="F350" s="54">
        <v>0</v>
      </c>
      <c r="G350" s="52"/>
    </row>
    <row r="351" spans="2:7">
      <c r="B351" s="44">
        <v>222</v>
      </c>
      <c r="C351" s="39" t="s">
        <v>90</v>
      </c>
      <c r="D351" s="39"/>
      <c r="E351" s="49">
        <v>0</v>
      </c>
      <c r="F351" s="54">
        <v>0</v>
      </c>
      <c r="G351" s="52"/>
    </row>
    <row r="352" spans="2:7">
      <c r="B352" s="44">
        <v>224</v>
      </c>
      <c r="C352" s="39" t="s">
        <v>91</v>
      </c>
      <c r="D352" s="39"/>
      <c r="E352" s="49">
        <v>0</v>
      </c>
      <c r="F352" s="54">
        <v>0</v>
      </c>
      <c r="G352" s="52"/>
    </row>
    <row r="353" spans="2:7">
      <c r="B353" s="44">
        <v>225</v>
      </c>
      <c r="C353" s="39" t="s">
        <v>92</v>
      </c>
      <c r="D353" s="39"/>
      <c r="E353" s="49">
        <v>0</v>
      </c>
      <c r="F353" s="54">
        <v>0</v>
      </c>
      <c r="G353" s="38"/>
    </row>
    <row r="354" spans="2:7">
      <c r="B354" s="44">
        <v>226</v>
      </c>
      <c r="C354" s="39" t="s">
        <v>93</v>
      </c>
      <c r="D354" s="39"/>
      <c r="E354" s="49">
        <v>0</v>
      </c>
      <c r="F354" s="54">
        <v>0</v>
      </c>
      <c r="G354" s="60"/>
    </row>
    <row r="355" spans="2:7" ht="15.75" thickBot="1">
      <c r="B355" s="61"/>
      <c r="C355" s="62" t="s">
        <v>94</v>
      </c>
      <c r="D355" s="62"/>
      <c r="E355" s="94">
        <v>0</v>
      </c>
      <c r="F355" s="63">
        <v>0</v>
      </c>
      <c r="G355" s="38"/>
    </row>
    <row r="356" spans="2:7">
      <c r="B356" s="64"/>
      <c r="C356" s="65" t="s">
        <v>95</v>
      </c>
      <c r="D356" s="66"/>
      <c r="E356" s="67">
        <v>6783.3425454545359</v>
      </c>
      <c r="F356" s="68">
        <v>6783.3425454545359</v>
      </c>
      <c r="G356" s="69"/>
    </row>
    <row r="357" spans="2:7" ht="15.75" thickBot="1">
      <c r="B357" s="64"/>
      <c r="C357" s="70"/>
      <c r="D357" s="71"/>
      <c r="E357" s="72"/>
      <c r="F357" s="73"/>
      <c r="G357" s="69"/>
    </row>
    <row r="358" spans="2:7" ht="15.75" thickBot="1">
      <c r="B358" s="64"/>
      <c r="C358" s="70" t="s">
        <v>96</v>
      </c>
      <c r="D358" s="71"/>
      <c r="E358" s="74">
        <v>11557.091775867782</v>
      </c>
      <c r="F358" s="75">
        <v>11557.091775867782</v>
      </c>
      <c r="G358" s="76"/>
    </row>
    <row r="359" spans="2:7" ht="8.25" customHeight="1" thickBot="1">
      <c r="B359" s="77"/>
      <c r="C359" s="81"/>
      <c r="D359" s="81"/>
      <c r="E359" s="78"/>
      <c r="F359" s="78"/>
      <c r="G359" s="79"/>
    </row>
    <row r="360" spans="2:7">
      <c r="B360" s="85"/>
      <c r="C360" s="84"/>
      <c r="D360" s="84"/>
      <c r="E360" s="85"/>
      <c r="F360" s="85"/>
      <c r="G360" s="85"/>
    </row>
  </sheetData>
  <mergeCells count="3">
    <mergeCell ref="C8:E8"/>
    <mergeCell ref="C128:E128"/>
    <mergeCell ref="C248:E248"/>
  </mergeCells>
  <dataValidations count="1">
    <dataValidation type="list" allowBlank="1" showInputMessage="1" showErrorMessage="1" sqref="C136 C16 C256" xr:uid="{CB2CE5EE-276F-4681-A245-1F2A7E1F48F8}">
      <formula1>FacList</formula1>
    </dataValidation>
  </dataValidations>
  <hyperlinks>
    <hyperlink ref="F12" r:id="rId1" xr:uid="{9FE93A3D-E538-4EAE-A364-2F86A8F0DE96}"/>
    <hyperlink ref="F132" r:id="rId2" xr:uid="{B6F5F54F-531C-4019-BB54-8DD824F7AF71}"/>
    <hyperlink ref="F252" r:id="rId3" xr:uid="{36390D9B-CDD7-4B32-AD7C-DB0415B3318F}"/>
  </hyperlinks>
  <pageMargins left="0.7" right="0.7" top="0.75" bottom="0.75" header="0.3" footer="0.3"/>
  <drawing r:id="rId4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A2AD6-0DC4-4C9B-9AA6-A3FD2D1233F5}">
  <dimension ref="A1:G360"/>
  <sheetViews>
    <sheetView zoomScale="90" zoomScaleNormal="90" workbookViewId="0">
      <selection sqref="A1:XFD1048576"/>
    </sheetView>
  </sheetViews>
  <sheetFormatPr defaultColWidth="8.85546875" defaultRowHeight="15"/>
  <cols>
    <col min="1" max="1" width="1.140625" customWidth="1"/>
    <col min="2" max="2" width="27.42578125" customWidth="1"/>
    <col min="3" max="3" width="42.7109375" bestFit="1" customWidth="1"/>
    <col min="4" max="4" width="4" customWidth="1"/>
    <col min="5" max="5" width="25.42578125" customWidth="1"/>
    <col min="6" max="6" width="27.42578125" customWidth="1"/>
    <col min="7" max="7" width="4.7109375" customWidth="1"/>
  </cols>
  <sheetData>
    <row r="1" spans="1:7" ht="6" customHeight="1" thickBot="1"/>
    <row r="2" spans="1:7">
      <c r="B2" s="1"/>
      <c r="C2" s="2"/>
      <c r="D2" s="2"/>
      <c r="E2" s="2"/>
      <c r="F2" s="2"/>
      <c r="G2" s="3"/>
    </row>
    <row r="3" spans="1:7">
      <c r="B3" s="4"/>
      <c r="C3" s="5"/>
      <c r="D3" s="5"/>
      <c r="E3" s="5"/>
      <c r="F3" s="5"/>
      <c r="G3" s="6"/>
    </row>
    <row r="4" spans="1:7">
      <c r="B4" s="4"/>
      <c r="C4" s="5"/>
      <c r="D4" s="5"/>
      <c r="E4" s="5"/>
      <c r="F4" s="5"/>
      <c r="G4" s="6"/>
    </row>
    <row r="5" spans="1:7">
      <c r="B5" s="4"/>
      <c r="C5" s="5"/>
      <c r="D5" s="5"/>
      <c r="E5" s="5"/>
      <c r="F5" s="5"/>
      <c r="G5" s="6"/>
    </row>
    <row r="6" spans="1:7">
      <c r="B6" s="4"/>
      <c r="C6" s="5"/>
      <c r="D6" s="5"/>
      <c r="E6" s="5"/>
      <c r="F6" s="5"/>
      <c r="G6" s="6"/>
    </row>
    <row r="7" spans="1:7" ht="16.5" customHeight="1">
      <c r="B7" s="4"/>
      <c r="C7" s="5"/>
      <c r="D7" s="5"/>
      <c r="E7" s="5"/>
      <c r="F7" s="5"/>
      <c r="G7" s="6"/>
    </row>
    <row r="8" spans="1:7" ht="22.5" customHeight="1" thickBot="1">
      <c r="B8" s="4"/>
      <c r="C8" s="95" t="s">
        <v>0</v>
      </c>
      <c r="D8" s="95"/>
      <c r="E8" s="95"/>
      <c r="F8" s="5"/>
      <c r="G8" s="6"/>
    </row>
    <row r="9" spans="1:7" ht="21" thickTop="1">
      <c r="B9" s="4"/>
      <c r="C9" s="7"/>
      <c r="D9" s="7"/>
      <c r="E9" s="5"/>
      <c r="F9" s="5"/>
      <c r="G9" s="6"/>
    </row>
    <row r="10" spans="1:7">
      <c r="B10" s="8" t="s">
        <v>1</v>
      </c>
      <c r="C10" s="9" t="s">
        <v>97</v>
      </c>
      <c r="D10" s="5"/>
      <c r="E10" s="10" t="s">
        <v>2</v>
      </c>
      <c r="F10" s="9" t="s">
        <v>98</v>
      </c>
      <c r="G10" s="6"/>
    </row>
    <row r="11" spans="1:7" ht="3.75" customHeight="1">
      <c r="A11" s="80"/>
      <c r="B11" s="5"/>
      <c r="C11" s="5"/>
      <c r="D11" s="5"/>
      <c r="E11" s="11"/>
      <c r="F11" s="5"/>
      <c r="G11" s="6"/>
    </row>
    <row r="12" spans="1:7">
      <c r="A12" s="80"/>
      <c r="B12" s="12" t="s">
        <v>3</v>
      </c>
      <c r="C12" s="9" t="s">
        <v>99</v>
      </c>
      <c r="D12" s="5"/>
      <c r="E12" s="10" t="s">
        <v>4</v>
      </c>
      <c r="F12" s="82" t="s">
        <v>100</v>
      </c>
      <c r="G12" s="6"/>
    </row>
    <row r="13" spans="1:7" ht="3.75" customHeight="1">
      <c r="A13" s="80"/>
      <c r="B13" s="5"/>
      <c r="C13" s="5"/>
      <c r="D13" s="5"/>
      <c r="E13" s="11"/>
      <c r="F13" s="5"/>
      <c r="G13" s="6"/>
    </row>
    <row r="14" spans="1:7">
      <c r="A14" s="80"/>
      <c r="B14" s="10" t="s">
        <v>5</v>
      </c>
      <c r="C14" s="9" t="s">
        <v>101</v>
      </c>
      <c r="D14" s="5"/>
      <c r="E14" s="10" t="s">
        <v>6</v>
      </c>
      <c r="F14" s="9" t="s">
        <v>107</v>
      </c>
      <c r="G14" s="6"/>
    </row>
    <row r="15" spans="1:7" ht="4.5" customHeight="1">
      <c r="A15" s="80"/>
      <c r="B15" s="13"/>
      <c r="C15" s="5"/>
      <c r="D15" s="5"/>
      <c r="E15" s="11"/>
      <c r="F15" s="5"/>
      <c r="G15" s="6"/>
    </row>
    <row r="16" spans="1:7">
      <c r="A16" s="80"/>
      <c r="B16" s="10" t="s">
        <v>7</v>
      </c>
      <c r="C16" s="9" t="s">
        <v>128</v>
      </c>
      <c r="D16" s="5"/>
      <c r="E16" s="11"/>
      <c r="F16" s="5"/>
      <c r="G16" s="6"/>
    </row>
    <row r="17" spans="1:7" ht="3.75" customHeight="1">
      <c r="A17" s="80"/>
      <c r="B17" s="5"/>
      <c r="C17" s="5"/>
      <c r="D17" s="5"/>
      <c r="E17" s="11"/>
      <c r="F17" s="5"/>
      <c r="G17" s="6"/>
    </row>
    <row r="18" spans="1:7">
      <c r="B18" s="14" t="s">
        <v>8</v>
      </c>
      <c r="C18" s="15" t="s">
        <v>103</v>
      </c>
      <c r="D18" s="5"/>
      <c r="E18" s="86" t="s">
        <v>109</v>
      </c>
      <c r="F18" s="87">
        <v>45292</v>
      </c>
      <c r="G18" s="6"/>
    </row>
    <row r="19" spans="1:7">
      <c r="B19" s="16" t="s">
        <v>9</v>
      </c>
      <c r="C19" s="17" t="s">
        <v>130</v>
      </c>
      <c r="D19" s="5"/>
      <c r="E19" s="88" t="s">
        <v>110</v>
      </c>
      <c r="F19" s="89">
        <v>45322</v>
      </c>
      <c r="G19" s="18"/>
    </row>
    <row r="20" spans="1:7" ht="15.75" thickBot="1">
      <c r="B20" s="4"/>
      <c r="C20" s="19"/>
      <c r="D20" s="19"/>
      <c r="E20" s="20"/>
      <c r="F20" s="21"/>
      <c r="G20" s="18"/>
    </row>
    <row r="21" spans="1:7" ht="18.75" thickBot="1">
      <c r="B21" s="4"/>
      <c r="C21" s="22" t="s">
        <v>10</v>
      </c>
      <c r="D21" s="23"/>
      <c r="E21" s="24"/>
      <c r="F21" s="25" t="s">
        <v>11</v>
      </c>
      <c r="G21" s="18"/>
    </row>
    <row r="22" spans="1:7">
      <c r="B22" s="4"/>
      <c r="C22" s="26" t="s">
        <v>12</v>
      </c>
      <c r="D22" s="26"/>
      <c r="E22" s="27">
        <v>10709.59024859505</v>
      </c>
      <c r="F22" s="28">
        <v>10709.59024859505</v>
      </c>
      <c r="G22" s="29"/>
    </row>
    <row r="23" spans="1:7">
      <c r="B23" s="30">
        <v>143</v>
      </c>
      <c r="C23" s="31" t="s">
        <v>13</v>
      </c>
      <c r="D23" s="31"/>
      <c r="E23" s="27">
        <v>4578.6174545454505</v>
      </c>
      <c r="F23" s="32">
        <v>4578.6174545454505</v>
      </c>
      <c r="G23" s="33"/>
    </row>
    <row r="24" spans="1:7">
      <c r="B24" s="30"/>
      <c r="C24" s="34" t="s">
        <v>14</v>
      </c>
      <c r="D24" s="34"/>
      <c r="E24" s="27">
        <v>0</v>
      </c>
      <c r="F24" s="32">
        <v>0</v>
      </c>
      <c r="G24" s="33"/>
    </row>
    <row r="25" spans="1:7">
      <c r="B25" s="30"/>
      <c r="C25" s="34" t="s">
        <v>15</v>
      </c>
      <c r="D25" s="34"/>
      <c r="E25" s="27">
        <v>0</v>
      </c>
      <c r="F25" s="32">
        <v>0</v>
      </c>
      <c r="G25" s="33"/>
    </row>
    <row r="26" spans="1:7">
      <c r="B26" s="30"/>
      <c r="C26" s="34" t="s">
        <v>16</v>
      </c>
      <c r="D26" s="34"/>
      <c r="E26" s="27">
        <v>0</v>
      </c>
      <c r="F26" s="32">
        <v>0</v>
      </c>
      <c r="G26" s="33"/>
    </row>
    <row r="27" spans="1:7">
      <c r="B27" s="30"/>
      <c r="C27" s="34" t="s">
        <v>17</v>
      </c>
      <c r="D27" s="34"/>
      <c r="E27" s="27">
        <v>0</v>
      </c>
      <c r="F27" s="32">
        <v>0</v>
      </c>
      <c r="G27" s="33"/>
    </row>
    <row r="28" spans="1:7">
      <c r="B28" s="30"/>
      <c r="C28" s="35" t="s">
        <v>18</v>
      </c>
      <c r="D28" s="35"/>
      <c r="E28" s="36">
        <v>15288.207703140501</v>
      </c>
      <c r="F28" s="37">
        <v>15288.207703140501</v>
      </c>
      <c r="G28" s="38"/>
    </row>
    <row r="29" spans="1:7" ht="15.75" thickBot="1">
      <c r="B29" s="30"/>
      <c r="C29" s="39"/>
      <c r="D29" s="39"/>
      <c r="E29" s="40"/>
      <c r="F29" s="41"/>
      <c r="G29" s="38"/>
    </row>
    <row r="30" spans="1:7" ht="18.75" thickBot="1">
      <c r="B30" s="30"/>
      <c r="C30" s="22" t="s">
        <v>19</v>
      </c>
      <c r="D30" s="23"/>
      <c r="E30" s="42"/>
      <c r="F30" s="43"/>
      <c r="G30" s="38"/>
    </row>
    <row r="31" spans="1:7">
      <c r="B31" s="44">
        <v>121</v>
      </c>
      <c r="C31" s="39" t="s">
        <v>20</v>
      </c>
      <c r="D31" s="39"/>
      <c r="E31" s="45"/>
      <c r="F31" s="46"/>
      <c r="G31" s="47"/>
    </row>
    <row r="32" spans="1:7">
      <c r="B32" s="44"/>
      <c r="C32" s="48" t="s">
        <v>21</v>
      </c>
      <c r="D32" s="48"/>
      <c r="E32" s="49">
        <v>296.77123636363604</v>
      </c>
      <c r="F32" s="50">
        <v>296.77123636363604</v>
      </c>
      <c r="G32" s="47"/>
    </row>
    <row r="33" spans="2:7">
      <c r="B33" s="44"/>
      <c r="C33" s="48" t="s">
        <v>22</v>
      </c>
      <c r="D33" s="48"/>
      <c r="E33" s="49">
        <v>305.25041454545385</v>
      </c>
      <c r="F33" s="50">
        <v>305.25041454545385</v>
      </c>
      <c r="G33" s="47"/>
    </row>
    <row r="34" spans="2:7">
      <c r="B34" s="51"/>
      <c r="C34" s="48" t="s">
        <v>23</v>
      </c>
      <c r="D34" s="48"/>
      <c r="E34" s="49">
        <v>364.60466181818146</v>
      </c>
      <c r="F34" s="50">
        <v>364.60466181818146</v>
      </c>
      <c r="G34" s="52"/>
    </row>
    <row r="35" spans="2:7">
      <c r="B35" s="51"/>
      <c r="C35" s="48" t="s">
        <v>24</v>
      </c>
      <c r="D35" s="48"/>
      <c r="E35" s="49">
        <v>249.75033917355319</v>
      </c>
      <c r="F35" s="50">
        <v>249.75033917355319</v>
      </c>
      <c r="G35" s="52"/>
    </row>
    <row r="36" spans="2:7">
      <c r="B36" s="44"/>
      <c r="C36" s="48" t="s">
        <v>25</v>
      </c>
      <c r="D36" s="48"/>
      <c r="E36" s="49">
        <v>0</v>
      </c>
      <c r="F36" s="50">
        <v>0</v>
      </c>
      <c r="G36" s="52"/>
    </row>
    <row r="37" spans="2:7">
      <c r="B37" s="44"/>
      <c r="C37" s="53" t="s">
        <v>26</v>
      </c>
      <c r="D37" s="53"/>
      <c r="E37" s="36">
        <v>1216.3766519008245</v>
      </c>
      <c r="F37" s="54">
        <v>1216.3766519008245</v>
      </c>
      <c r="G37" s="52"/>
    </row>
    <row r="38" spans="2:7">
      <c r="B38" s="44">
        <v>122</v>
      </c>
      <c r="C38" s="39" t="s">
        <v>27</v>
      </c>
      <c r="D38" s="39"/>
      <c r="E38" s="36"/>
      <c r="F38" s="50"/>
      <c r="G38" s="55"/>
    </row>
    <row r="39" spans="2:7">
      <c r="B39" s="44"/>
      <c r="C39" s="48" t="s">
        <v>28</v>
      </c>
      <c r="D39" s="48"/>
      <c r="E39" s="49">
        <v>144.14602909090897</v>
      </c>
      <c r="F39" s="50">
        <v>144.14602909090897</v>
      </c>
      <c r="G39" s="52"/>
    </row>
    <row r="40" spans="2:7">
      <c r="B40" s="44"/>
      <c r="C40" s="48" t="s">
        <v>29</v>
      </c>
      <c r="D40" s="48"/>
      <c r="E40" s="49">
        <v>0</v>
      </c>
      <c r="F40" s="50">
        <v>0</v>
      </c>
      <c r="G40" s="52"/>
    </row>
    <row r="41" spans="2:7">
      <c r="B41" s="44"/>
      <c r="C41" s="48" t="s">
        <v>30</v>
      </c>
      <c r="D41" s="48"/>
      <c r="E41" s="49">
        <v>191.16692628099148</v>
      </c>
      <c r="F41" s="50">
        <v>191.16692628099148</v>
      </c>
      <c r="G41" s="52"/>
    </row>
    <row r="42" spans="2:7">
      <c r="B42" s="44"/>
      <c r="C42" s="48" t="s">
        <v>31</v>
      </c>
      <c r="D42" s="48"/>
      <c r="E42" s="49">
        <v>33.916712727272696</v>
      </c>
      <c r="F42" s="50">
        <v>33.916712727272696</v>
      </c>
      <c r="G42" s="52"/>
    </row>
    <row r="43" spans="2:7">
      <c r="B43" s="44"/>
      <c r="C43" s="48" t="s">
        <v>32</v>
      </c>
      <c r="D43" s="48"/>
      <c r="E43" s="49">
        <v>135.66685090909078</v>
      </c>
      <c r="F43" s="50">
        <v>135.66685090909078</v>
      </c>
      <c r="G43" s="52"/>
    </row>
    <row r="44" spans="2:7">
      <c r="B44" s="44"/>
      <c r="C44" s="48" t="s">
        <v>33</v>
      </c>
      <c r="D44" s="48"/>
      <c r="E44" s="49">
        <v>0</v>
      </c>
      <c r="F44" s="50">
        <v>0</v>
      </c>
      <c r="G44" s="52"/>
    </row>
    <row r="45" spans="2:7">
      <c r="B45" s="44"/>
      <c r="C45" s="48" t="s">
        <v>34</v>
      </c>
      <c r="D45" s="48"/>
      <c r="E45" s="49">
        <v>0</v>
      </c>
      <c r="F45" s="50">
        <v>0</v>
      </c>
      <c r="G45" s="52"/>
    </row>
    <row r="46" spans="2:7">
      <c r="B46" s="44"/>
      <c r="C46" s="48" t="s">
        <v>35</v>
      </c>
      <c r="D46" s="48"/>
      <c r="E46" s="49">
        <v>0</v>
      </c>
      <c r="F46" s="50">
        <v>0</v>
      </c>
      <c r="G46" s="52"/>
    </row>
    <row r="47" spans="2:7">
      <c r="B47" s="44"/>
      <c r="C47" s="53" t="s">
        <v>26</v>
      </c>
      <c r="D47" s="53"/>
      <c r="E47" s="36">
        <v>504.89651900826391</v>
      </c>
      <c r="F47" s="54">
        <v>504.89651900826391</v>
      </c>
      <c r="G47" s="52"/>
    </row>
    <row r="48" spans="2:7">
      <c r="B48" s="44">
        <v>123</v>
      </c>
      <c r="C48" s="39" t="s">
        <v>36</v>
      </c>
      <c r="D48" s="39"/>
      <c r="E48" s="56"/>
      <c r="F48" s="57"/>
      <c r="G48" s="52"/>
    </row>
    <row r="49" spans="2:7">
      <c r="B49" s="44"/>
      <c r="C49" s="48" t="s">
        <v>37</v>
      </c>
      <c r="D49" s="48"/>
      <c r="E49" s="49">
        <v>123.33350082644611</v>
      </c>
      <c r="F49" s="50">
        <v>123.33350082644611</v>
      </c>
      <c r="G49" s="52"/>
    </row>
    <row r="50" spans="2:7">
      <c r="B50" s="44"/>
      <c r="C50" s="48" t="s">
        <v>38</v>
      </c>
      <c r="D50" s="48"/>
      <c r="E50" s="49">
        <v>0</v>
      </c>
      <c r="F50" s="50">
        <v>0</v>
      </c>
      <c r="G50" s="52"/>
    </row>
    <row r="51" spans="2:7">
      <c r="B51" s="44"/>
      <c r="C51" s="48" t="s">
        <v>39</v>
      </c>
      <c r="D51" s="48"/>
      <c r="E51" s="49">
        <v>144.91686347107415</v>
      </c>
      <c r="F51" s="50">
        <v>144.91686347107415</v>
      </c>
      <c r="G51" s="52"/>
    </row>
    <row r="52" spans="2:7">
      <c r="B52" s="44"/>
      <c r="C52" s="48" t="s">
        <v>40</v>
      </c>
      <c r="D52" s="48"/>
      <c r="E52" s="49">
        <v>111.00015074380143</v>
      </c>
      <c r="F52" s="50">
        <v>111.00015074380143</v>
      </c>
      <c r="G52" s="52"/>
    </row>
    <row r="53" spans="2:7">
      <c r="B53" s="44"/>
      <c r="C53" s="48" t="s">
        <v>41</v>
      </c>
      <c r="D53" s="48"/>
      <c r="E53" s="49">
        <v>0</v>
      </c>
      <c r="F53" s="50">
        <v>0</v>
      </c>
      <c r="G53" s="52"/>
    </row>
    <row r="54" spans="2:7">
      <c r="B54" s="44"/>
      <c r="C54" s="48" t="s">
        <v>42</v>
      </c>
      <c r="D54" s="48"/>
      <c r="E54" s="49">
        <v>195.02109818181799</v>
      </c>
      <c r="F54" s="50">
        <v>195.02109818181799</v>
      </c>
      <c r="G54" s="52"/>
    </row>
    <row r="55" spans="2:7">
      <c r="B55" s="44"/>
      <c r="C55" s="53" t="s">
        <v>26</v>
      </c>
      <c r="D55" s="53"/>
      <c r="E55" s="36">
        <v>574.27161322313964</v>
      </c>
      <c r="F55" s="54">
        <v>574.27161322313964</v>
      </c>
      <c r="G55" s="52"/>
    </row>
    <row r="56" spans="2:7">
      <c r="B56" s="44">
        <v>124</v>
      </c>
      <c r="C56" s="39" t="s">
        <v>43</v>
      </c>
      <c r="D56" s="39"/>
      <c r="E56" s="56"/>
      <c r="F56" s="57"/>
      <c r="G56" s="52"/>
    </row>
    <row r="57" spans="2:7">
      <c r="B57" s="44"/>
      <c r="C57" s="48" t="s">
        <v>44</v>
      </c>
      <c r="D57" s="48"/>
      <c r="E57" s="49">
        <v>366.91716495867701</v>
      </c>
      <c r="F57" s="50">
        <v>366.91716495867701</v>
      </c>
      <c r="G57" s="52"/>
    </row>
    <row r="58" spans="2:7">
      <c r="B58" s="44"/>
      <c r="C58" s="48" t="s">
        <v>45</v>
      </c>
      <c r="D58" s="48"/>
      <c r="E58" s="49">
        <v>0</v>
      </c>
      <c r="F58" s="50">
        <v>0</v>
      </c>
      <c r="G58" s="52"/>
    </row>
    <row r="59" spans="2:7">
      <c r="B59" s="44"/>
      <c r="C59" s="48" t="s">
        <v>46</v>
      </c>
      <c r="D59" s="48"/>
      <c r="E59" s="49">
        <v>0</v>
      </c>
      <c r="F59" s="50">
        <v>0</v>
      </c>
      <c r="G59" s="52"/>
    </row>
    <row r="60" spans="2:7">
      <c r="B60" s="44"/>
      <c r="C60" s="53" t="s">
        <v>26</v>
      </c>
      <c r="D60" s="53"/>
      <c r="E60" s="36">
        <v>366.91716495867701</v>
      </c>
      <c r="F60" s="54">
        <v>366.91716495867701</v>
      </c>
      <c r="G60" s="52"/>
    </row>
    <row r="61" spans="2:7">
      <c r="B61" s="44">
        <v>125</v>
      </c>
      <c r="C61" s="39" t="s">
        <v>47</v>
      </c>
      <c r="D61" s="39"/>
      <c r="E61" s="36"/>
      <c r="F61" s="50"/>
      <c r="G61" s="52"/>
    </row>
    <row r="62" spans="2:7">
      <c r="B62" s="44"/>
      <c r="C62" s="48" t="s">
        <v>48</v>
      </c>
      <c r="D62" s="48"/>
      <c r="E62" s="58">
        <v>0</v>
      </c>
      <c r="F62" s="50">
        <v>0</v>
      </c>
      <c r="G62" s="52"/>
    </row>
    <row r="63" spans="2:7">
      <c r="B63" s="44"/>
      <c r="C63" s="48" t="s">
        <v>49</v>
      </c>
      <c r="D63" s="48"/>
      <c r="E63" s="58">
        <v>0</v>
      </c>
      <c r="F63" s="50">
        <v>0</v>
      </c>
      <c r="G63" s="52"/>
    </row>
    <row r="64" spans="2:7">
      <c r="B64" s="44"/>
      <c r="C64" s="48" t="s">
        <v>50</v>
      </c>
      <c r="D64" s="48"/>
      <c r="E64" s="58">
        <v>593.54247272727218</v>
      </c>
      <c r="F64" s="50">
        <v>593.54247272727218</v>
      </c>
      <c r="G64" s="52"/>
    </row>
    <row r="65" spans="2:7">
      <c r="B65" s="44"/>
      <c r="C65" s="48" t="s">
        <v>51</v>
      </c>
      <c r="D65" s="48"/>
      <c r="E65" s="58">
        <v>135.66685090909078</v>
      </c>
      <c r="F65" s="50">
        <v>135.66685090909078</v>
      </c>
      <c r="G65" s="52"/>
    </row>
    <row r="66" spans="2:7">
      <c r="B66" s="44"/>
      <c r="C66" s="53" t="s">
        <v>26</v>
      </c>
      <c r="D66" s="53"/>
      <c r="E66" s="56">
        <v>729.20932363636302</v>
      </c>
      <c r="F66" s="54">
        <v>729.20932363636302</v>
      </c>
      <c r="G66" s="52"/>
    </row>
    <row r="67" spans="2:7">
      <c r="B67" s="44">
        <v>126</v>
      </c>
      <c r="C67" s="39" t="s">
        <v>52</v>
      </c>
      <c r="D67" s="39"/>
      <c r="E67" s="56"/>
      <c r="F67" s="50"/>
      <c r="G67" s="52"/>
    </row>
    <row r="68" spans="2:7">
      <c r="B68" s="44"/>
      <c r="C68" s="48" t="s">
        <v>53</v>
      </c>
      <c r="D68" s="48"/>
      <c r="E68" s="49">
        <v>0</v>
      </c>
      <c r="F68" s="50">
        <v>0</v>
      </c>
      <c r="G68" s="52"/>
    </row>
    <row r="69" spans="2:7">
      <c r="B69" s="44"/>
      <c r="C69" s="48" t="s">
        <v>54</v>
      </c>
      <c r="D69" s="48"/>
      <c r="E69" s="49">
        <v>0</v>
      </c>
      <c r="F69" s="50"/>
      <c r="G69" s="52"/>
    </row>
    <row r="70" spans="2:7">
      <c r="B70" s="44"/>
      <c r="C70" s="48" t="s">
        <v>55</v>
      </c>
      <c r="D70" s="48"/>
      <c r="E70" s="49">
        <v>0</v>
      </c>
      <c r="F70" s="50"/>
      <c r="G70" s="52"/>
    </row>
    <row r="71" spans="2:7">
      <c r="B71" s="44"/>
      <c r="C71" s="48" t="s">
        <v>56</v>
      </c>
      <c r="D71" s="48"/>
      <c r="E71" s="49">
        <v>0</v>
      </c>
      <c r="F71" s="57"/>
      <c r="G71" s="52"/>
    </row>
    <row r="72" spans="2:7">
      <c r="B72" s="44"/>
      <c r="C72" s="53" t="s">
        <v>26</v>
      </c>
      <c r="D72" s="53"/>
      <c r="E72" s="56">
        <v>0</v>
      </c>
      <c r="F72" s="54">
        <v>0</v>
      </c>
      <c r="G72" s="52"/>
    </row>
    <row r="73" spans="2:7">
      <c r="B73" s="44">
        <v>127</v>
      </c>
      <c r="C73" s="39" t="s">
        <v>57</v>
      </c>
      <c r="D73" s="39"/>
      <c r="E73" s="56"/>
      <c r="F73" s="54"/>
      <c r="G73" s="52"/>
    </row>
    <row r="74" spans="2:7">
      <c r="B74" s="44"/>
      <c r="C74" s="48" t="s">
        <v>58</v>
      </c>
      <c r="D74" s="48"/>
      <c r="E74" s="49">
        <v>0</v>
      </c>
      <c r="F74" s="50">
        <v>0</v>
      </c>
      <c r="G74" s="52"/>
    </row>
    <row r="75" spans="2:7">
      <c r="B75" s="44"/>
      <c r="C75" s="48" t="s">
        <v>59</v>
      </c>
      <c r="D75" s="48"/>
      <c r="E75" s="49">
        <v>0</v>
      </c>
      <c r="F75" s="50">
        <v>0</v>
      </c>
      <c r="G75" s="52"/>
    </row>
    <row r="76" spans="2:7">
      <c r="B76" s="44"/>
      <c r="C76" s="48" t="s">
        <v>60</v>
      </c>
      <c r="D76" s="48"/>
      <c r="E76" s="49">
        <v>0</v>
      </c>
      <c r="F76" s="50">
        <v>0</v>
      </c>
      <c r="G76" s="52"/>
    </row>
    <row r="77" spans="2:7">
      <c r="B77" s="44"/>
      <c r="C77" s="59" t="s">
        <v>61</v>
      </c>
      <c r="D77" s="59"/>
      <c r="E77" s="49">
        <v>0</v>
      </c>
      <c r="F77" s="50">
        <v>0</v>
      </c>
      <c r="G77" s="52"/>
    </row>
    <row r="78" spans="2:7">
      <c r="B78" s="44"/>
      <c r="C78" s="53" t="s">
        <v>26</v>
      </c>
      <c r="D78" s="53"/>
      <c r="E78" s="56">
        <v>0</v>
      </c>
      <c r="F78" s="54">
        <v>0</v>
      </c>
      <c r="G78" s="52"/>
    </row>
    <row r="79" spans="2:7">
      <c r="B79" s="44">
        <v>128</v>
      </c>
      <c r="C79" s="39" t="s">
        <v>62</v>
      </c>
      <c r="D79" s="39"/>
      <c r="E79" s="56"/>
      <c r="F79" s="54"/>
      <c r="G79" s="52"/>
    </row>
    <row r="80" spans="2:7">
      <c r="B80" s="44"/>
      <c r="C80" s="48" t="s">
        <v>63</v>
      </c>
      <c r="D80" s="48"/>
      <c r="E80" s="49">
        <v>0</v>
      </c>
      <c r="F80" s="50">
        <v>0</v>
      </c>
      <c r="G80" s="52"/>
    </row>
    <row r="81" spans="2:7">
      <c r="B81" s="44"/>
      <c r="C81" s="48" t="s">
        <v>64</v>
      </c>
      <c r="D81" s="48"/>
      <c r="E81" s="49">
        <v>0</v>
      </c>
      <c r="F81" s="50">
        <v>0</v>
      </c>
      <c r="G81" s="52"/>
    </row>
    <row r="82" spans="2:7">
      <c r="B82" s="44"/>
      <c r="C82" s="48" t="s">
        <v>65</v>
      </c>
      <c r="D82" s="48"/>
      <c r="E82" s="49">
        <v>0</v>
      </c>
      <c r="F82" s="50">
        <v>0</v>
      </c>
      <c r="G82" s="52"/>
    </row>
    <row r="83" spans="2:7">
      <c r="B83" s="44"/>
      <c r="C83" s="48" t="s">
        <v>66</v>
      </c>
      <c r="D83" s="48"/>
      <c r="E83" s="49">
        <v>0</v>
      </c>
      <c r="F83" s="50">
        <v>0</v>
      </c>
      <c r="G83" s="52"/>
    </row>
    <row r="84" spans="2:7">
      <c r="B84" s="44"/>
      <c r="C84" s="48" t="s">
        <v>67</v>
      </c>
      <c r="D84" s="48"/>
      <c r="E84" s="49">
        <v>0</v>
      </c>
      <c r="F84" s="50">
        <v>0</v>
      </c>
      <c r="G84" s="52"/>
    </row>
    <row r="85" spans="2:7">
      <c r="B85" s="44"/>
      <c r="C85" s="53" t="s">
        <v>26</v>
      </c>
      <c r="D85" s="53"/>
      <c r="E85" s="56">
        <v>0</v>
      </c>
      <c r="F85" s="54">
        <v>0</v>
      </c>
      <c r="G85" s="52"/>
    </row>
    <row r="86" spans="2:7">
      <c r="B86" s="44">
        <v>135</v>
      </c>
      <c r="C86" s="39" t="s">
        <v>68</v>
      </c>
      <c r="D86" s="39"/>
      <c r="E86" s="56"/>
      <c r="F86" s="50"/>
      <c r="G86" s="52"/>
    </row>
    <row r="87" spans="2:7">
      <c r="B87" s="44"/>
      <c r="C87" s="48" t="s">
        <v>69</v>
      </c>
      <c r="D87" s="48"/>
      <c r="E87" s="49">
        <v>0</v>
      </c>
      <c r="F87" s="50">
        <v>0</v>
      </c>
      <c r="G87" s="52"/>
    </row>
    <row r="88" spans="2:7">
      <c r="B88" s="44"/>
      <c r="C88" s="48" t="s">
        <v>70</v>
      </c>
      <c r="D88" s="48"/>
      <c r="E88" s="49">
        <v>0</v>
      </c>
      <c r="F88" s="50">
        <v>0</v>
      </c>
      <c r="G88" s="52"/>
    </row>
    <row r="89" spans="2:7">
      <c r="B89" s="44"/>
      <c r="C89" s="48" t="s">
        <v>71</v>
      </c>
      <c r="D89" s="48"/>
      <c r="E89" s="49">
        <v>0</v>
      </c>
      <c r="F89" s="50">
        <v>0</v>
      </c>
      <c r="G89" s="52"/>
    </row>
    <row r="90" spans="2:7">
      <c r="B90" s="44"/>
      <c r="C90" s="48" t="s">
        <v>72</v>
      </c>
      <c r="D90" s="48"/>
      <c r="E90" s="49">
        <v>0</v>
      </c>
      <c r="F90" s="50">
        <v>0</v>
      </c>
      <c r="G90" s="52"/>
    </row>
    <row r="91" spans="2:7">
      <c r="B91" s="44"/>
      <c r="C91" s="48" t="s">
        <v>73</v>
      </c>
      <c r="D91" s="48"/>
      <c r="E91" s="49">
        <v>0</v>
      </c>
      <c r="F91" s="50">
        <v>0</v>
      </c>
      <c r="G91" s="52"/>
    </row>
    <row r="92" spans="2:7">
      <c r="B92" s="44"/>
      <c r="C92" s="48" t="s">
        <v>74</v>
      </c>
      <c r="D92" s="48"/>
      <c r="E92" s="49">
        <v>0</v>
      </c>
      <c r="F92" s="50">
        <v>0</v>
      </c>
      <c r="G92" s="52"/>
    </row>
    <row r="93" spans="2:7">
      <c r="B93" s="44"/>
      <c r="C93" s="48" t="s">
        <v>75</v>
      </c>
      <c r="D93" s="48"/>
      <c r="E93" s="49">
        <v>0</v>
      </c>
      <c r="F93" s="50">
        <v>0</v>
      </c>
      <c r="G93" s="52"/>
    </row>
    <row r="94" spans="2:7">
      <c r="B94" s="44"/>
      <c r="C94" s="48" t="s">
        <v>76</v>
      </c>
      <c r="D94" s="48"/>
      <c r="E94" s="49">
        <v>0</v>
      </c>
      <c r="F94" s="50">
        <v>0</v>
      </c>
      <c r="G94" s="52"/>
    </row>
    <row r="95" spans="2:7">
      <c r="B95" s="44"/>
      <c r="C95" s="48" t="s">
        <v>77</v>
      </c>
      <c r="D95" s="48"/>
      <c r="E95" s="49">
        <v>0</v>
      </c>
      <c r="F95" s="50">
        <v>0</v>
      </c>
      <c r="G95" s="52"/>
    </row>
    <row r="96" spans="2:7">
      <c r="B96" s="44"/>
      <c r="C96" s="53" t="s">
        <v>26</v>
      </c>
      <c r="D96" s="53"/>
      <c r="E96" s="56">
        <v>0</v>
      </c>
      <c r="F96" s="54">
        <v>0</v>
      </c>
      <c r="G96" s="52"/>
    </row>
    <row r="97" spans="2:7">
      <c r="B97" s="44">
        <v>136</v>
      </c>
      <c r="C97" s="39" t="s">
        <v>78</v>
      </c>
      <c r="D97" s="39"/>
      <c r="E97" s="56"/>
      <c r="F97" s="50"/>
      <c r="G97" s="52"/>
    </row>
    <row r="98" spans="2:7">
      <c r="B98" s="44"/>
      <c r="C98" s="48" t="s">
        <v>79</v>
      </c>
      <c r="D98" s="48"/>
      <c r="E98" s="49">
        <v>0</v>
      </c>
      <c r="F98" s="50">
        <v>0</v>
      </c>
      <c r="G98" s="52"/>
    </row>
    <row r="99" spans="2:7">
      <c r="B99" s="44"/>
      <c r="C99" s="48" t="s">
        <v>80</v>
      </c>
      <c r="D99" s="48"/>
      <c r="E99" s="49">
        <v>0</v>
      </c>
      <c r="F99" s="50">
        <v>0</v>
      </c>
      <c r="G99" s="52"/>
    </row>
    <row r="100" spans="2:7">
      <c r="B100" s="44"/>
      <c r="C100" s="48" t="s">
        <v>81</v>
      </c>
      <c r="D100" s="48"/>
      <c r="E100" s="49">
        <v>0</v>
      </c>
      <c r="F100" s="50">
        <v>0</v>
      </c>
      <c r="G100" s="52"/>
    </row>
    <row r="101" spans="2:7">
      <c r="B101" s="44"/>
      <c r="C101" s="48" t="s">
        <v>82</v>
      </c>
      <c r="D101" s="48"/>
      <c r="E101" s="49">
        <v>0</v>
      </c>
      <c r="F101" s="50">
        <v>0</v>
      </c>
      <c r="G101" s="52"/>
    </row>
    <row r="102" spans="2:7">
      <c r="B102" s="44"/>
      <c r="C102" s="48" t="s">
        <v>83</v>
      </c>
      <c r="D102" s="48"/>
      <c r="E102" s="49">
        <v>0</v>
      </c>
      <c r="F102" s="50">
        <v>0</v>
      </c>
      <c r="G102" s="52"/>
    </row>
    <row r="103" spans="2:7">
      <c r="B103" s="44"/>
      <c r="C103" s="48" t="s">
        <v>84</v>
      </c>
      <c r="D103" s="48"/>
      <c r="E103" s="49">
        <v>0</v>
      </c>
      <c r="F103" s="50">
        <v>0</v>
      </c>
      <c r="G103" s="52"/>
    </row>
    <row r="104" spans="2:7">
      <c r="B104" s="44"/>
      <c r="C104" s="53" t="s">
        <v>26</v>
      </c>
      <c r="D104" s="53"/>
      <c r="E104" s="56">
        <v>0</v>
      </c>
      <c r="F104" s="54">
        <v>0</v>
      </c>
      <c r="G104" s="52"/>
    </row>
    <row r="105" spans="2:7">
      <c r="B105" s="44">
        <v>142</v>
      </c>
      <c r="C105" s="39" t="s">
        <v>85</v>
      </c>
      <c r="D105" s="39"/>
      <c r="E105" s="56"/>
      <c r="F105" s="50"/>
      <c r="G105" s="52"/>
    </row>
    <row r="106" spans="2:7">
      <c r="B106" s="44"/>
      <c r="C106" s="48" t="s">
        <v>86</v>
      </c>
      <c r="D106" s="48"/>
      <c r="E106" s="49">
        <v>0</v>
      </c>
      <c r="F106" s="50">
        <v>0</v>
      </c>
      <c r="G106" s="52"/>
    </row>
    <row r="107" spans="2:7">
      <c r="B107" s="44"/>
      <c r="C107" s="48" t="s">
        <v>87</v>
      </c>
      <c r="D107" s="48"/>
      <c r="E107" s="49">
        <v>0</v>
      </c>
      <c r="F107" s="50">
        <v>0</v>
      </c>
      <c r="G107" s="52"/>
    </row>
    <row r="108" spans="2:7">
      <c r="B108" s="44"/>
      <c r="C108" s="53" t="s">
        <v>26</v>
      </c>
      <c r="D108" s="53"/>
      <c r="E108" s="56">
        <v>0</v>
      </c>
      <c r="F108" s="54">
        <v>0</v>
      </c>
      <c r="G108" s="52"/>
    </row>
    <row r="109" spans="2:7">
      <c r="B109" s="44">
        <v>144</v>
      </c>
      <c r="C109" s="39" t="s">
        <v>88</v>
      </c>
      <c r="D109" s="39"/>
      <c r="E109" s="49">
        <v>0</v>
      </c>
      <c r="F109" s="54">
        <v>0</v>
      </c>
      <c r="G109" s="52"/>
    </row>
    <row r="110" spans="2:7">
      <c r="B110" s="44">
        <v>221</v>
      </c>
      <c r="C110" s="39" t="s">
        <v>89</v>
      </c>
      <c r="D110" s="39"/>
      <c r="E110" s="49">
        <v>0</v>
      </c>
      <c r="F110" s="54">
        <v>0</v>
      </c>
      <c r="G110" s="52"/>
    </row>
    <row r="111" spans="2:7">
      <c r="B111" s="44">
        <v>222</v>
      </c>
      <c r="C111" s="39" t="s">
        <v>90</v>
      </c>
      <c r="D111" s="39"/>
      <c r="E111" s="49">
        <v>0</v>
      </c>
      <c r="F111" s="54">
        <v>0</v>
      </c>
      <c r="G111" s="52"/>
    </row>
    <row r="112" spans="2:7">
      <c r="B112" s="44">
        <v>224</v>
      </c>
      <c r="C112" s="39" t="s">
        <v>91</v>
      </c>
      <c r="D112" s="39"/>
      <c r="E112" s="49">
        <v>0</v>
      </c>
      <c r="F112" s="54">
        <v>0</v>
      </c>
      <c r="G112" s="52"/>
    </row>
    <row r="113" spans="2:7">
      <c r="B113" s="44">
        <v>225</v>
      </c>
      <c r="C113" s="39" t="s">
        <v>92</v>
      </c>
      <c r="D113" s="39"/>
      <c r="E113" s="49">
        <v>0</v>
      </c>
      <c r="F113" s="54">
        <v>0</v>
      </c>
      <c r="G113" s="38"/>
    </row>
    <row r="114" spans="2:7">
      <c r="B114" s="44">
        <v>226</v>
      </c>
      <c r="C114" s="39" t="s">
        <v>93</v>
      </c>
      <c r="D114" s="39"/>
      <c r="E114" s="49">
        <v>0</v>
      </c>
      <c r="F114" s="54">
        <v>0</v>
      </c>
      <c r="G114" s="60"/>
    </row>
    <row r="115" spans="2:7" ht="15.75" thickBot="1">
      <c r="B115" s="61"/>
      <c r="C115" s="62" t="s">
        <v>94</v>
      </c>
      <c r="D115" s="62"/>
      <c r="E115" s="90">
        <v>0</v>
      </c>
      <c r="F115" s="63">
        <v>0</v>
      </c>
      <c r="G115" s="38"/>
    </row>
    <row r="116" spans="2:7">
      <c r="B116" s="64"/>
      <c r="C116" s="65" t="s">
        <v>95</v>
      </c>
      <c r="D116" s="66"/>
      <c r="E116" s="91">
        <v>3391.6712727272684</v>
      </c>
      <c r="F116" s="68">
        <v>3391.6712727272684</v>
      </c>
      <c r="G116" s="69"/>
    </row>
    <row r="117" spans="2:7" ht="15.75" thickBot="1">
      <c r="B117" s="64"/>
      <c r="C117" s="70"/>
      <c r="D117" s="71"/>
      <c r="E117" s="92"/>
      <c r="F117" s="73"/>
      <c r="G117" s="69"/>
    </row>
    <row r="118" spans="2:7" ht="15.75" thickBot="1">
      <c r="B118" s="64"/>
      <c r="C118" s="70" t="s">
        <v>96</v>
      </c>
      <c r="D118" s="71"/>
      <c r="E118" s="93">
        <v>11896.536430413233</v>
      </c>
      <c r="F118" s="75">
        <v>11896.536430413233</v>
      </c>
      <c r="G118" s="76"/>
    </row>
    <row r="119" spans="2:7" ht="8.25" customHeight="1" thickBot="1">
      <c r="B119" s="77"/>
      <c r="C119" s="81"/>
      <c r="D119" s="81"/>
      <c r="E119" s="78"/>
      <c r="F119" s="78"/>
      <c r="G119" s="79"/>
    </row>
    <row r="120" spans="2:7">
      <c r="B120" s="83"/>
      <c r="C120" s="84"/>
      <c r="D120" s="84"/>
      <c r="E120" s="85"/>
      <c r="F120" s="83"/>
      <c r="G120" s="85"/>
    </row>
    <row r="121" spans="2:7" ht="6" customHeight="1" thickBot="1"/>
    <row r="122" spans="2:7">
      <c r="B122" s="1"/>
      <c r="C122" s="2"/>
      <c r="D122" s="2"/>
      <c r="E122" s="2"/>
      <c r="F122" s="2"/>
      <c r="G122" s="3"/>
    </row>
    <row r="123" spans="2:7">
      <c r="B123" s="4"/>
      <c r="C123" s="5"/>
      <c r="D123" s="5"/>
      <c r="E123" s="5"/>
      <c r="F123" s="5"/>
      <c r="G123" s="6"/>
    </row>
    <row r="124" spans="2:7">
      <c r="B124" s="4"/>
      <c r="C124" s="5"/>
      <c r="D124" s="5"/>
      <c r="E124" s="5"/>
      <c r="F124" s="5"/>
      <c r="G124" s="6"/>
    </row>
    <row r="125" spans="2:7">
      <c r="B125" s="4"/>
      <c r="C125" s="5"/>
      <c r="D125" s="5"/>
      <c r="E125" s="5"/>
      <c r="F125" s="5"/>
      <c r="G125" s="6"/>
    </row>
    <row r="126" spans="2:7">
      <c r="B126" s="4"/>
      <c r="C126" s="5"/>
      <c r="D126" s="5"/>
      <c r="E126" s="5"/>
      <c r="F126" s="5"/>
      <c r="G126" s="6"/>
    </row>
    <row r="127" spans="2:7" ht="16.5" customHeight="1">
      <c r="B127" s="4"/>
      <c r="C127" s="5"/>
      <c r="D127" s="5"/>
      <c r="E127" s="5"/>
      <c r="F127" s="5"/>
      <c r="G127" s="6"/>
    </row>
    <row r="128" spans="2:7" ht="22.5" customHeight="1" thickBot="1">
      <c r="B128" s="4"/>
      <c r="C128" s="95" t="s">
        <v>0</v>
      </c>
      <c r="D128" s="95"/>
      <c r="E128" s="95"/>
      <c r="F128" s="5"/>
      <c r="G128" s="6"/>
    </row>
    <row r="129" spans="1:7" ht="21" thickTop="1">
      <c r="B129" s="4"/>
      <c r="C129" s="7"/>
      <c r="D129" s="7"/>
      <c r="E129" s="5"/>
      <c r="F129" s="5"/>
      <c r="G129" s="6"/>
    </row>
    <row r="130" spans="1:7">
      <c r="B130" s="8" t="s">
        <v>1</v>
      </c>
      <c r="C130" s="9" t="s">
        <v>97</v>
      </c>
      <c r="D130" s="5"/>
      <c r="E130" s="10" t="s">
        <v>2</v>
      </c>
      <c r="F130" s="9" t="s">
        <v>98</v>
      </c>
      <c r="G130" s="6"/>
    </row>
    <row r="131" spans="1:7" ht="3.75" customHeight="1">
      <c r="A131" s="80"/>
      <c r="B131" s="5"/>
      <c r="C131" s="5"/>
      <c r="D131" s="5"/>
      <c r="E131" s="11"/>
      <c r="F131" s="5"/>
      <c r="G131" s="6"/>
    </row>
    <row r="132" spans="1:7">
      <c r="A132" s="80"/>
      <c r="B132" s="12" t="s">
        <v>3</v>
      </c>
      <c r="C132" s="9" t="s">
        <v>99</v>
      </c>
      <c r="D132" s="5"/>
      <c r="E132" s="10" t="s">
        <v>4</v>
      </c>
      <c r="F132" s="82" t="s">
        <v>100</v>
      </c>
      <c r="G132" s="6"/>
    </row>
    <row r="133" spans="1:7" ht="3.75" customHeight="1">
      <c r="A133" s="80"/>
      <c r="B133" s="5"/>
      <c r="C133" s="5"/>
      <c r="D133" s="5"/>
      <c r="E133" s="11"/>
      <c r="F133" s="5"/>
      <c r="G133" s="6"/>
    </row>
    <row r="134" spans="1:7">
      <c r="A134" s="80"/>
      <c r="B134" s="10" t="s">
        <v>5</v>
      </c>
      <c r="C134" s="9" t="s">
        <v>101</v>
      </c>
      <c r="D134" s="5"/>
      <c r="E134" s="10" t="s">
        <v>6</v>
      </c>
      <c r="F134" s="9" t="s">
        <v>107</v>
      </c>
      <c r="G134" s="6"/>
    </row>
    <row r="135" spans="1:7" ht="4.5" customHeight="1">
      <c r="A135" s="80"/>
      <c r="B135" s="13"/>
      <c r="C135" s="5"/>
      <c r="D135" s="5"/>
      <c r="E135" s="11"/>
      <c r="F135" s="5"/>
      <c r="G135" s="6"/>
    </row>
    <row r="136" spans="1:7">
      <c r="A136" s="80"/>
      <c r="B136" s="10" t="s">
        <v>7</v>
      </c>
      <c r="C136" s="9" t="s">
        <v>128</v>
      </c>
      <c r="D136" s="5"/>
      <c r="E136" s="11"/>
      <c r="F136" s="5"/>
      <c r="G136" s="6"/>
    </row>
    <row r="137" spans="1:7" ht="3.75" customHeight="1">
      <c r="A137" s="80"/>
      <c r="B137" s="5"/>
      <c r="C137" s="5"/>
      <c r="D137" s="5"/>
      <c r="E137" s="11"/>
      <c r="F137" s="5"/>
      <c r="G137" s="6"/>
    </row>
    <row r="138" spans="1:7">
      <c r="B138" s="14" t="s">
        <v>8</v>
      </c>
      <c r="C138" s="15" t="s">
        <v>104</v>
      </c>
      <c r="D138" s="5"/>
      <c r="E138" s="86" t="s">
        <v>109</v>
      </c>
      <c r="F138" s="87">
        <v>45323</v>
      </c>
      <c r="G138" s="6"/>
    </row>
    <row r="139" spans="1:7">
      <c r="B139" s="16" t="s">
        <v>9</v>
      </c>
      <c r="C139" s="17" t="s">
        <v>130</v>
      </c>
      <c r="D139" s="5"/>
      <c r="E139" s="88" t="s">
        <v>110</v>
      </c>
      <c r="F139" s="89">
        <v>45351</v>
      </c>
      <c r="G139" s="18"/>
    </row>
    <row r="140" spans="1:7" ht="15.75" thickBot="1">
      <c r="B140" s="4"/>
      <c r="C140" s="19"/>
      <c r="D140" s="19"/>
      <c r="E140" s="20"/>
      <c r="F140" s="21"/>
      <c r="G140" s="18"/>
    </row>
    <row r="141" spans="1:7" ht="18.75" thickBot="1">
      <c r="B141" s="4"/>
      <c r="C141" s="22" t="s">
        <v>10</v>
      </c>
      <c r="D141" s="23"/>
      <c r="E141" s="24"/>
      <c r="F141" s="25" t="s">
        <v>11</v>
      </c>
      <c r="G141" s="18"/>
    </row>
    <row r="142" spans="1:7">
      <c r="B142" s="4"/>
      <c r="C142" s="26" t="s">
        <v>12</v>
      </c>
      <c r="D142" s="26"/>
      <c r="E142" s="27">
        <v>11896.536430413233</v>
      </c>
      <c r="F142" s="28">
        <v>11896.536430413233</v>
      </c>
      <c r="G142" s="29"/>
    </row>
    <row r="143" spans="1:7">
      <c r="B143" s="30">
        <v>143</v>
      </c>
      <c r="C143" s="31" t="s">
        <v>13</v>
      </c>
      <c r="D143" s="31"/>
      <c r="E143" s="27">
        <v>4578.6174545454505</v>
      </c>
      <c r="F143" s="32">
        <v>4578.6174545454505</v>
      </c>
      <c r="G143" s="33"/>
    </row>
    <row r="144" spans="1:7">
      <c r="B144" s="30"/>
      <c r="C144" s="34" t="s">
        <v>14</v>
      </c>
      <c r="D144" s="34"/>
      <c r="E144" s="27">
        <v>0</v>
      </c>
      <c r="F144" s="32">
        <v>0</v>
      </c>
      <c r="G144" s="33"/>
    </row>
    <row r="145" spans="2:7">
      <c r="B145" s="30"/>
      <c r="C145" s="34" t="s">
        <v>15</v>
      </c>
      <c r="D145" s="34"/>
      <c r="E145" s="27">
        <v>0</v>
      </c>
      <c r="F145" s="32">
        <v>0</v>
      </c>
      <c r="G145" s="33"/>
    </row>
    <row r="146" spans="2:7">
      <c r="B146" s="30"/>
      <c r="C146" s="34" t="s">
        <v>16</v>
      </c>
      <c r="D146" s="34"/>
      <c r="E146" s="27">
        <v>0</v>
      </c>
      <c r="F146" s="32">
        <v>0</v>
      </c>
      <c r="G146" s="33"/>
    </row>
    <row r="147" spans="2:7">
      <c r="B147" s="30"/>
      <c r="C147" s="34" t="s">
        <v>17</v>
      </c>
      <c r="D147" s="34"/>
      <c r="E147" s="27">
        <v>0</v>
      </c>
      <c r="F147" s="32">
        <v>0</v>
      </c>
      <c r="G147" s="33"/>
    </row>
    <row r="148" spans="2:7">
      <c r="B148" s="30"/>
      <c r="C148" s="35" t="s">
        <v>18</v>
      </c>
      <c r="D148" s="35"/>
      <c r="E148" s="36">
        <v>16475.153884958683</v>
      </c>
      <c r="F148" s="37">
        <v>16475.153884958683</v>
      </c>
      <c r="G148" s="38"/>
    </row>
    <row r="149" spans="2:7" ht="15.75" thickBot="1">
      <c r="B149" s="30"/>
      <c r="C149" s="39"/>
      <c r="D149" s="39"/>
      <c r="E149" s="40"/>
      <c r="F149" s="41"/>
      <c r="G149" s="38"/>
    </row>
    <row r="150" spans="2:7" ht="18.75" thickBot="1">
      <c r="B150" s="30"/>
      <c r="C150" s="22" t="s">
        <v>19</v>
      </c>
      <c r="D150" s="23"/>
      <c r="E150" s="42"/>
      <c r="F150" s="43"/>
      <c r="G150" s="38"/>
    </row>
    <row r="151" spans="2:7">
      <c r="B151" s="44">
        <v>121</v>
      </c>
      <c r="C151" s="39" t="s">
        <v>20</v>
      </c>
      <c r="D151" s="39"/>
      <c r="E151" s="45"/>
      <c r="F151" s="46"/>
      <c r="G151" s="47"/>
    </row>
    <row r="152" spans="2:7">
      <c r="B152" s="44"/>
      <c r="C152" s="48" t="s">
        <v>21</v>
      </c>
      <c r="D152" s="48"/>
      <c r="E152" s="49">
        <v>0</v>
      </c>
      <c r="F152" s="50">
        <v>0</v>
      </c>
      <c r="G152" s="47"/>
    </row>
    <row r="153" spans="2:7">
      <c r="B153" s="44"/>
      <c r="C153" s="48" t="s">
        <v>22</v>
      </c>
      <c r="D153" s="48"/>
      <c r="E153" s="49">
        <v>0</v>
      </c>
      <c r="F153" s="50">
        <v>0</v>
      </c>
      <c r="G153" s="47"/>
    </row>
    <row r="154" spans="2:7">
      <c r="B154" s="51"/>
      <c r="C154" s="48" t="s">
        <v>23</v>
      </c>
      <c r="D154" s="48"/>
      <c r="E154" s="49">
        <v>0</v>
      </c>
      <c r="F154" s="50">
        <v>0</v>
      </c>
      <c r="G154" s="52"/>
    </row>
    <row r="155" spans="2:7">
      <c r="B155" s="51"/>
      <c r="C155" s="48" t="s">
        <v>24</v>
      </c>
      <c r="D155" s="48"/>
      <c r="E155" s="49">
        <v>0</v>
      </c>
      <c r="F155" s="50">
        <v>0</v>
      </c>
      <c r="G155" s="52"/>
    </row>
    <row r="156" spans="2:7">
      <c r="B156" s="44"/>
      <c r="C156" s="48" t="s">
        <v>25</v>
      </c>
      <c r="D156" s="48"/>
      <c r="E156" s="49">
        <v>0</v>
      </c>
      <c r="F156" s="50">
        <v>0</v>
      </c>
      <c r="G156" s="52"/>
    </row>
    <row r="157" spans="2:7">
      <c r="B157" s="44"/>
      <c r="C157" s="53" t="s">
        <v>26</v>
      </c>
      <c r="D157" s="53"/>
      <c r="E157" s="36">
        <v>0</v>
      </c>
      <c r="F157" s="54">
        <v>0</v>
      </c>
      <c r="G157" s="52"/>
    </row>
    <row r="158" spans="2:7">
      <c r="B158" s="44">
        <v>122</v>
      </c>
      <c r="C158" s="39" t="s">
        <v>27</v>
      </c>
      <c r="D158" s="39"/>
      <c r="E158" s="36"/>
      <c r="F158" s="50"/>
      <c r="G158" s="55"/>
    </row>
    <row r="159" spans="2:7">
      <c r="B159" s="44"/>
      <c r="C159" s="48" t="s">
        <v>28</v>
      </c>
      <c r="D159" s="48"/>
      <c r="E159" s="49">
        <v>0</v>
      </c>
      <c r="F159" s="50">
        <v>0</v>
      </c>
      <c r="G159" s="52"/>
    </row>
    <row r="160" spans="2:7">
      <c r="B160" s="44"/>
      <c r="C160" s="48" t="s">
        <v>29</v>
      </c>
      <c r="D160" s="48"/>
      <c r="E160" s="49">
        <v>0</v>
      </c>
      <c r="F160" s="50">
        <v>0</v>
      </c>
      <c r="G160" s="52"/>
    </row>
    <row r="161" spans="2:7">
      <c r="B161" s="44"/>
      <c r="C161" s="48" t="s">
        <v>30</v>
      </c>
      <c r="D161" s="48"/>
      <c r="E161" s="49">
        <v>0</v>
      </c>
      <c r="F161" s="50">
        <v>0</v>
      </c>
      <c r="G161" s="52"/>
    </row>
    <row r="162" spans="2:7">
      <c r="B162" s="44"/>
      <c r="C162" s="48" t="s">
        <v>31</v>
      </c>
      <c r="D162" s="48"/>
      <c r="E162" s="49">
        <v>0</v>
      </c>
      <c r="F162" s="50">
        <v>0</v>
      </c>
      <c r="G162" s="52"/>
    </row>
    <row r="163" spans="2:7">
      <c r="B163" s="44"/>
      <c r="C163" s="48" t="s">
        <v>32</v>
      </c>
      <c r="D163" s="48"/>
      <c r="E163" s="49">
        <v>88.800120595041136</v>
      </c>
      <c r="F163" s="50">
        <v>88.800120595041136</v>
      </c>
      <c r="G163" s="52"/>
    </row>
    <row r="164" spans="2:7">
      <c r="B164" s="44"/>
      <c r="C164" s="48" t="s">
        <v>33</v>
      </c>
      <c r="D164" s="48"/>
      <c r="E164" s="49">
        <v>0</v>
      </c>
      <c r="F164" s="50">
        <v>0</v>
      </c>
      <c r="G164" s="52"/>
    </row>
    <row r="165" spans="2:7">
      <c r="B165" s="44"/>
      <c r="C165" s="48" t="s">
        <v>34</v>
      </c>
      <c r="D165" s="48"/>
      <c r="E165" s="49">
        <v>0</v>
      </c>
      <c r="F165" s="50">
        <v>0</v>
      </c>
      <c r="G165" s="52"/>
    </row>
    <row r="166" spans="2:7">
      <c r="B166" s="44"/>
      <c r="C166" s="48" t="s">
        <v>35</v>
      </c>
      <c r="D166" s="48"/>
      <c r="E166" s="49">
        <v>0</v>
      </c>
      <c r="F166" s="50">
        <v>0</v>
      </c>
      <c r="G166" s="52"/>
    </row>
    <row r="167" spans="2:7">
      <c r="B167" s="44"/>
      <c r="C167" s="53" t="s">
        <v>26</v>
      </c>
      <c r="D167" s="53"/>
      <c r="E167" s="36">
        <v>88.800120595041136</v>
      </c>
      <c r="F167" s="54">
        <v>88.800120595041136</v>
      </c>
      <c r="G167" s="52"/>
    </row>
    <row r="168" spans="2:7">
      <c r="B168" s="44">
        <v>123</v>
      </c>
      <c r="C168" s="39" t="s">
        <v>36</v>
      </c>
      <c r="D168" s="39"/>
      <c r="E168" s="56"/>
      <c r="F168" s="57"/>
      <c r="G168" s="52"/>
    </row>
    <row r="169" spans="2:7">
      <c r="B169" s="44"/>
      <c r="C169" s="48" t="s">
        <v>37</v>
      </c>
      <c r="D169" s="48"/>
      <c r="E169" s="49">
        <v>88.800120595041136</v>
      </c>
      <c r="F169" s="50">
        <v>88.800120595041136</v>
      </c>
      <c r="G169" s="52"/>
    </row>
    <row r="170" spans="2:7">
      <c r="B170" s="44"/>
      <c r="C170" s="48" t="s">
        <v>38</v>
      </c>
      <c r="D170" s="48"/>
      <c r="E170" s="49">
        <v>0</v>
      </c>
      <c r="F170" s="50">
        <v>0</v>
      </c>
      <c r="G170" s="52"/>
    </row>
    <row r="171" spans="2:7">
      <c r="B171" s="44"/>
      <c r="C171" s="48" t="s">
        <v>39</v>
      </c>
      <c r="D171" s="48"/>
      <c r="E171" s="49">
        <v>769.60104515702335</v>
      </c>
      <c r="F171" s="50">
        <v>769.60104515702335</v>
      </c>
      <c r="G171" s="52"/>
    </row>
    <row r="172" spans="2:7">
      <c r="B172" s="44"/>
      <c r="C172" s="48" t="s">
        <v>40</v>
      </c>
      <c r="D172" s="48"/>
      <c r="E172" s="49">
        <v>0</v>
      </c>
      <c r="F172" s="50">
        <v>0</v>
      </c>
      <c r="G172" s="52"/>
    </row>
    <row r="173" spans="2:7">
      <c r="B173" s="44"/>
      <c r="C173" s="48" t="s">
        <v>41</v>
      </c>
      <c r="D173" s="48"/>
      <c r="E173" s="49">
        <v>0</v>
      </c>
      <c r="F173" s="50">
        <v>0</v>
      </c>
      <c r="G173" s="52"/>
    </row>
    <row r="174" spans="2:7">
      <c r="B174" s="44"/>
      <c r="C174" s="48" t="s">
        <v>42</v>
      </c>
      <c r="D174" s="48"/>
      <c r="E174" s="49">
        <v>177.60024119008227</v>
      </c>
      <c r="F174" s="50">
        <v>177.60024119008227</v>
      </c>
      <c r="G174" s="52"/>
    </row>
    <row r="175" spans="2:7">
      <c r="B175" s="44"/>
      <c r="C175" s="53" t="s">
        <v>26</v>
      </c>
      <c r="D175" s="53"/>
      <c r="E175" s="36">
        <v>1036.0014069421468</v>
      </c>
      <c r="F175" s="54">
        <v>1036.0014069421468</v>
      </c>
      <c r="G175" s="52"/>
    </row>
    <row r="176" spans="2:7">
      <c r="B176" s="44">
        <v>124</v>
      </c>
      <c r="C176" s="39" t="s">
        <v>43</v>
      </c>
      <c r="D176" s="39"/>
      <c r="E176" s="56"/>
      <c r="F176" s="57"/>
      <c r="G176" s="52"/>
    </row>
    <row r="177" spans="2:7">
      <c r="B177" s="44"/>
      <c r="C177" s="48" t="s">
        <v>44</v>
      </c>
      <c r="D177" s="48"/>
      <c r="E177" s="49">
        <v>135.66685090909075</v>
      </c>
      <c r="F177" s="50">
        <v>135.66685090909075</v>
      </c>
      <c r="G177" s="52"/>
    </row>
    <row r="178" spans="2:7">
      <c r="B178" s="44"/>
      <c r="C178" s="48" t="s">
        <v>45</v>
      </c>
      <c r="D178" s="48"/>
      <c r="E178" s="49">
        <v>0</v>
      </c>
      <c r="F178" s="50">
        <v>0</v>
      </c>
      <c r="G178" s="52"/>
    </row>
    <row r="179" spans="2:7">
      <c r="B179" s="44"/>
      <c r="C179" s="48" t="s">
        <v>46</v>
      </c>
      <c r="D179" s="48"/>
      <c r="E179" s="49">
        <v>0</v>
      </c>
      <c r="F179" s="50">
        <v>0</v>
      </c>
      <c r="G179" s="52"/>
    </row>
    <row r="180" spans="2:7">
      <c r="B180" s="44"/>
      <c r="C180" s="53" t="s">
        <v>26</v>
      </c>
      <c r="D180" s="53"/>
      <c r="E180" s="36">
        <v>135.66685090909075</v>
      </c>
      <c r="F180" s="54">
        <v>135.66685090909075</v>
      </c>
      <c r="G180" s="52"/>
    </row>
    <row r="181" spans="2:7">
      <c r="B181" s="44">
        <v>125</v>
      </c>
      <c r="C181" s="39" t="s">
        <v>47</v>
      </c>
      <c r="D181" s="39"/>
      <c r="E181" s="36"/>
      <c r="F181" s="50"/>
      <c r="G181" s="52"/>
    </row>
    <row r="182" spans="2:7">
      <c r="B182" s="44"/>
      <c r="C182" s="48" t="s">
        <v>48</v>
      </c>
      <c r="D182" s="48"/>
      <c r="E182" s="58">
        <v>0</v>
      </c>
      <c r="F182" s="50">
        <v>0</v>
      </c>
      <c r="G182" s="52"/>
    </row>
    <row r="183" spans="2:7">
      <c r="B183" s="44"/>
      <c r="C183" s="48" t="s">
        <v>49</v>
      </c>
      <c r="D183" s="48"/>
      <c r="E183" s="58">
        <v>0</v>
      </c>
      <c r="F183" s="50">
        <v>0</v>
      </c>
      <c r="G183" s="52"/>
    </row>
    <row r="184" spans="2:7">
      <c r="B184" s="44"/>
      <c r="C184" s="48" t="s">
        <v>50</v>
      </c>
      <c r="D184" s="48"/>
      <c r="E184" s="58">
        <v>108.5334807272726</v>
      </c>
      <c r="F184" s="50">
        <v>108.5334807272726</v>
      </c>
      <c r="G184" s="52"/>
    </row>
    <row r="185" spans="2:7">
      <c r="B185" s="44"/>
      <c r="C185" s="48" t="s">
        <v>51</v>
      </c>
      <c r="D185" s="48"/>
      <c r="E185" s="58">
        <v>0</v>
      </c>
      <c r="F185" s="50">
        <v>0</v>
      </c>
      <c r="G185" s="52"/>
    </row>
    <row r="186" spans="2:7">
      <c r="B186" s="44"/>
      <c r="C186" s="53" t="s">
        <v>26</v>
      </c>
      <c r="D186" s="53"/>
      <c r="E186" s="56">
        <v>108.5334807272726</v>
      </c>
      <c r="F186" s="54">
        <v>108.5334807272726</v>
      </c>
      <c r="G186" s="52"/>
    </row>
    <row r="187" spans="2:7">
      <c r="B187" s="44">
        <v>126</v>
      </c>
      <c r="C187" s="39" t="s">
        <v>52</v>
      </c>
      <c r="D187" s="39"/>
      <c r="E187" s="56"/>
      <c r="F187" s="50"/>
      <c r="G187" s="52"/>
    </row>
    <row r="188" spans="2:7">
      <c r="B188" s="44"/>
      <c r="C188" s="48" t="s">
        <v>53</v>
      </c>
      <c r="D188" s="48"/>
      <c r="E188" s="49">
        <v>0</v>
      </c>
      <c r="F188" s="50">
        <v>0</v>
      </c>
      <c r="G188" s="52"/>
    </row>
    <row r="189" spans="2:7">
      <c r="B189" s="44"/>
      <c r="C189" s="48" t="s">
        <v>54</v>
      </c>
      <c r="D189" s="48"/>
      <c r="E189" s="49">
        <v>0</v>
      </c>
      <c r="F189" s="50"/>
      <c r="G189" s="52"/>
    </row>
    <row r="190" spans="2:7">
      <c r="B190" s="44"/>
      <c r="C190" s="48" t="s">
        <v>55</v>
      </c>
      <c r="D190" s="48"/>
      <c r="E190" s="49">
        <v>0</v>
      </c>
      <c r="F190" s="50"/>
      <c r="G190" s="52"/>
    </row>
    <row r="191" spans="2:7">
      <c r="B191" s="44"/>
      <c r="C191" s="48" t="s">
        <v>56</v>
      </c>
      <c r="D191" s="48"/>
      <c r="E191" s="49">
        <v>0</v>
      </c>
      <c r="F191" s="57"/>
      <c r="G191" s="52"/>
    </row>
    <row r="192" spans="2:7">
      <c r="B192" s="44"/>
      <c r="C192" s="53" t="s">
        <v>26</v>
      </c>
      <c r="D192" s="53"/>
      <c r="E192" s="56">
        <v>0</v>
      </c>
      <c r="F192" s="54">
        <v>0</v>
      </c>
      <c r="G192" s="52"/>
    </row>
    <row r="193" spans="2:7">
      <c r="B193" s="44">
        <v>127</v>
      </c>
      <c r="C193" s="39" t="s">
        <v>57</v>
      </c>
      <c r="D193" s="39"/>
      <c r="E193" s="56"/>
      <c r="F193" s="54"/>
      <c r="G193" s="52"/>
    </row>
    <row r="194" spans="2:7">
      <c r="B194" s="44"/>
      <c r="C194" s="48" t="s">
        <v>58</v>
      </c>
      <c r="D194" s="48"/>
      <c r="E194" s="49">
        <v>0</v>
      </c>
      <c r="F194" s="50">
        <v>0</v>
      </c>
      <c r="G194" s="52"/>
    </row>
    <row r="195" spans="2:7">
      <c r="B195" s="44"/>
      <c r="C195" s="48" t="s">
        <v>59</v>
      </c>
      <c r="D195" s="48"/>
      <c r="E195" s="49">
        <v>0</v>
      </c>
      <c r="F195" s="50">
        <v>0</v>
      </c>
      <c r="G195" s="52"/>
    </row>
    <row r="196" spans="2:7">
      <c r="B196" s="44"/>
      <c r="C196" s="48" t="s">
        <v>60</v>
      </c>
      <c r="D196" s="48"/>
      <c r="E196" s="49">
        <v>0</v>
      </c>
      <c r="F196" s="50">
        <v>0</v>
      </c>
      <c r="G196" s="52"/>
    </row>
    <row r="197" spans="2:7">
      <c r="B197" s="44"/>
      <c r="C197" s="59" t="s">
        <v>61</v>
      </c>
      <c r="D197" s="59"/>
      <c r="E197" s="49">
        <v>0</v>
      </c>
      <c r="F197" s="50">
        <v>0</v>
      </c>
      <c r="G197" s="52"/>
    </row>
    <row r="198" spans="2:7">
      <c r="B198" s="44"/>
      <c r="C198" s="53" t="s">
        <v>26</v>
      </c>
      <c r="D198" s="53"/>
      <c r="E198" s="56">
        <v>0</v>
      </c>
      <c r="F198" s="54">
        <v>0</v>
      </c>
      <c r="G198" s="52"/>
    </row>
    <row r="199" spans="2:7">
      <c r="B199" s="44">
        <v>128</v>
      </c>
      <c r="C199" s="39" t="s">
        <v>62</v>
      </c>
      <c r="D199" s="39"/>
      <c r="E199" s="56"/>
      <c r="F199" s="54"/>
      <c r="G199" s="52"/>
    </row>
    <row r="200" spans="2:7">
      <c r="B200" s="44"/>
      <c r="C200" s="48" t="s">
        <v>63</v>
      </c>
      <c r="D200" s="48"/>
      <c r="E200" s="49">
        <v>0</v>
      </c>
      <c r="F200" s="50">
        <v>0</v>
      </c>
      <c r="G200" s="52"/>
    </row>
    <row r="201" spans="2:7">
      <c r="B201" s="44"/>
      <c r="C201" s="48" t="s">
        <v>64</v>
      </c>
      <c r="D201" s="48"/>
      <c r="E201" s="49">
        <v>0</v>
      </c>
      <c r="F201" s="50">
        <v>0</v>
      </c>
      <c r="G201" s="52"/>
    </row>
    <row r="202" spans="2:7">
      <c r="B202" s="44"/>
      <c r="C202" s="48" t="s">
        <v>65</v>
      </c>
      <c r="D202" s="48"/>
      <c r="E202" s="49">
        <v>325.60044218181781</v>
      </c>
      <c r="F202" s="50">
        <v>325.60044218181781</v>
      </c>
      <c r="G202" s="52"/>
    </row>
    <row r="203" spans="2:7">
      <c r="B203" s="44"/>
      <c r="C203" s="48" t="s">
        <v>66</v>
      </c>
      <c r="D203" s="48"/>
      <c r="E203" s="49">
        <v>0</v>
      </c>
      <c r="F203" s="50">
        <v>0</v>
      </c>
      <c r="G203" s="52"/>
    </row>
    <row r="204" spans="2:7">
      <c r="B204" s="44"/>
      <c r="C204" s="48" t="s">
        <v>67</v>
      </c>
      <c r="D204" s="48"/>
      <c r="E204" s="49">
        <v>0</v>
      </c>
      <c r="F204" s="50">
        <v>0</v>
      </c>
      <c r="G204" s="52"/>
    </row>
    <row r="205" spans="2:7">
      <c r="B205" s="44"/>
      <c r="C205" s="53" t="s">
        <v>26</v>
      </c>
      <c r="D205" s="53"/>
      <c r="E205" s="56">
        <v>325.60044218181781</v>
      </c>
      <c r="F205" s="54">
        <v>325.60044218181781</v>
      </c>
      <c r="G205" s="52"/>
    </row>
    <row r="206" spans="2:7">
      <c r="B206" s="44">
        <v>135</v>
      </c>
      <c r="C206" s="39" t="s">
        <v>68</v>
      </c>
      <c r="D206" s="39"/>
      <c r="E206" s="56"/>
      <c r="F206" s="50"/>
      <c r="G206" s="52"/>
    </row>
    <row r="207" spans="2:7">
      <c r="B207" s="44"/>
      <c r="C207" s="48" t="s">
        <v>69</v>
      </c>
      <c r="D207" s="48"/>
      <c r="E207" s="49">
        <v>0</v>
      </c>
      <c r="F207" s="50">
        <v>0</v>
      </c>
      <c r="G207" s="52"/>
    </row>
    <row r="208" spans="2:7">
      <c r="B208" s="44"/>
      <c r="C208" s="48" t="s">
        <v>70</v>
      </c>
      <c r="D208" s="48"/>
      <c r="E208" s="49">
        <v>0</v>
      </c>
      <c r="F208" s="50">
        <v>0</v>
      </c>
      <c r="G208" s="52"/>
    </row>
    <row r="209" spans="2:7">
      <c r="B209" s="44"/>
      <c r="C209" s="48" t="s">
        <v>71</v>
      </c>
      <c r="D209" s="48"/>
      <c r="E209" s="49">
        <v>0</v>
      </c>
      <c r="F209" s="50">
        <v>0</v>
      </c>
      <c r="G209" s="52"/>
    </row>
    <row r="210" spans="2:7">
      <c r="B210" s="44"/>
      <c r="C210" s="48" t="s">
        <v>72</v>
      </c>
      <c r="D210" s="48"/>
      <c r="E210" s="49">
        <v>0</v>
      </c>
      <c r="F210" s="50">
        <v>0</v>
      </c>
      <c r="G210" s="52"/>
    </row>
    <row r="211" spans="2:7">
      <c r="B211" s="44"/>
      <c r="C211" s="48" t="s">
        <v>73</v>
      </c>
      <c r="D211" s="48"/>
      <c r="E211" s="49">
        <v>177.60024119008227</v>
      </c>
      <c r="F211" s="50">
        <v>177.60024119008227</v>
      </c>
      <c r="G211" s="52"/>
    </row>
    <row r="212" spans="2:7">
      <c r="B212" s="44"/>
      <c r="C212" s="48" t="s">
        <v>74</v>
      </c>
      <c r="D212" s="48"/>
      <c r="E212" s="49">
        <v>0</v>
      </c>
      <c r="F212" s="50">
        <v>0</v>
      </c>
      <c r="G212" s="52"/>
    </row>
    <row r="213" spans="2:7">
      <c r="B213" s="44"/>
      <c r="C213" s="48" t="s">
        <v>75</v>
      </c>
      <c r="D213" s="48"/>
      <c r="E213" s="49">
        <v>841.13447563636271</v>
      </c>
      <c r="F213" s="50">
        <v>841.13447563636271</v>
      </c>
      <c r="G213" s="52"/>
    </row>
    <row r="214" spans="2:7">
      <c r="B214" s="44"/>
      <c r="C214" s="48" t="s">
        <v>76</v>
      </c>
      <c r="D214" s="48"/>
      <c r="E214" s="49">
        <v>0</v>
      </c>
      <c r="F214" s="50">
        <v>0</v>
      </c>
      <c r="G214" s="52"/>
    </row>
    <row r="215" spans="2:7">
      <c r="B215" s="44"/>
      <c r="C215" s="48" t="s">
        <v>77</v>
      </c>
      <c r="D215" s="48"/>
      <c r="E215" s="49">
        <v>0</v>
      </c>
      <c r="F215" s="50">
        <v>0</v>
      </c>
      <c r="G215" s="52"/>
    </row>
    <row r="216" spans="2:7">
      <c r="B216" s="44"/>
      <c r="C216" s="53" t="s">
        <v>26</v>
      </c>
      <c r="D216" s="53"/>
      <c r="E216" s="56">
        <v>1018.734716826445</v>
      </c>
      <c r="F216" s="54">
        <v>1018.734716826445</v>
      </c>
      <c r="G216" s="52"/>
    </row>
    <row r="217" spans="2:7">
      <c r="B217" s="44">
        <v>136</v>
      </c>
      <c r="C217" s="39" t="s">
        <v>78</v>
      </c>
      <c r="D217" s="39"/>
      <c r="E217" s="56"/>
      <c r="F217" s="50"/>
      <c r="G217" s="52"/>
    </row>
    <row r="218" spans="2:7">
      <c r="B218" s="44"/>
      <c r="C218" s="48" t="s">
        <v>79</v>
      </c>
      <c r="D218" s="48"/>
      <c r="E218" s="49">
        <v>0</v>
      </c>
      <c r="F218" s="50">
        <v>0</v>
      </c>
      <c r="G218" s="52"/>
    </row>
    <row r="219" spans="2:7">
      <c r="B219" s="44"/>
      <c r="C219" s="48" t="s">
        <v>80</v>
      </c>
      <c r="D219" s="48"/>
      <c r="E219" s="49">
        <v>0</v>
      </c>
      <c r="F219" s="50">
        <v>0</v>
      </c>
      <c r="G219" s="52"/>
    </row>
    <row r="220" spans="2:7">
      <c r="B220" s="44"/>
      <c r="C220" s="48" t="s">
        <v>81</v>
      </c>
      <c r="D220" s="48"/>
      <c r="E220" s="49">
        <v>0</v>
      </c>
      <c r="F220" s="50">
        <v>0</v>
      </c>
      <c r="G220" s="52"/>
    </row>
    <row r="221" spans="2:7">
      <c r="B221" s="44"/>
      <c r="C221" s="48" t="s">
        <v>82</v>
      </c>
      <c r="D221" s="48"/>
      <c r="E221" s="49">
        <v>0</v>
      </c>
      <c r="F221" s="50">
        <v>0</v>
      </c>
      <c r="G221" s="52"/>
    </row>
    <row r="222" spans="2:7">
      <c r="B222" s="44"/>
      <c r="C222" s="48" t="s">
        <v>83</v>
      </c>
      <c r="D222" s="48"/>
      <c r="E222" s="49">
        <v>0</v>
      </c>
      <c r="F222" s="50">
        <v>0</v>
      </c>
      <c r="G222" s="52"/>
    </row>
    <row r="223" spans="2:7">
      <c r="B223" s="44"/>
      <c r="C223" s="48" t="s">
        <v>84</v>
      </c>
      <c r="D223" s="48"/>
      <c r="E223" s="49">
        <v>0</v>
      </c>
      <c r="F223" s="50">
        <v>0</v>
      </c>
      <c r="G223" s="52"/>
    </row>
    <row r="224" spans="2:7">
      <c r="B224" s="44"/>
      <c r="C224" s="53" t="s">
        <v>26</v>
      </c>
      <c r="D224" s="53"/>
      <c r="E224" s="56">
        <v>0</v>
      </c>
      <c r="F224" s="54">
        <v>0</v>
      </c>
      <c r="G224" s="52"/>
    </row>
    <row r="225" spans="2:7">
      <c r="B225" s="44">
        <v>142</v>
      </c>
      <c r="C225" s="39" t="s">
        <v>85</v>
      </c>
      <c r="D225" s="39"/>
      <c r="E225" s="56"/>
      <c r="F225" s="50"/>
      <c r="G225" s="52"/>
    </row>
    <row r="226" spans="2:7">
      <c r="B226" s="44"/>
      <c r="C226" s="48" t="s">
        <v>86</v>
      </c>
      <c r="D226" s="48"/>
      <c r="E226" s="49">
        <v>0</v>
      </c>
      <c r="F226" s="50">
        <v>0</v>
      </c>
      <c r="G226" s="52"/>
    </row>
    <row r="227" spans="2:7">
      <c r="B227" s="44"/>
      <c r="C227" s="48" t="s">
        <v>87</v>
      </c>
      <c r="D227" s="48"/>
      <c r="E227" s="49">
        <v>0</v>
      </c>
      <c r="F227" s="50">
        <v>0</v>
      </c>
      <c r="G227" s="52"/>
    </row>
    <row r="228" spans="2:7">
      <c r="B228" s="44"/>
      <c r="C228" s="53" t="s">
        <v>26</v>
      </c>
      <c r="D228" s="53"/>
      <c r="E228" s="56">
        <v>0</v>
      </c>
      <c r="F228" s="54">
        <v>0</v>
      </c>
      <c r="G228" s="52"/>
    </row>
    <row r="229" spans="2:7">
      <c r="B229" s="44">
        <v>144</v>
      </c>
      <c r="C229" s="39" t="s">
        <v>88</v>
      </c>
      <c r="D229" s="39"/>
      <c r="E229" s="49">
        <v>0</v>
      </c>
      <c r="F229" s="54">
        <v>0</v>
      </c>
      <c r="G229" s="52"/>
    </row>
    <row r="230" spans="2:7">
      <c r="B230" s="44">
        <v>221</v>
      </c>
      <c r="C230" s="39" t="s">
        <v>89</v>
      </c>
      <c r="D230" s="39"/>
      <c r="E230" s="49">
        <v>0</v>
      </c>
      <c r="F230" s="54">
        <v>0</v>
      </c>
      <c r="G230" s="52"/>
    </row>
    <row r="231" spans="2:7">
      <c r="B231" s="44">
        <v>222</v>
      </c>
      <c r="C231" s="39" t="s">
        <v>90</v>
      </c>
      <c r="D231" s="39"/>
      <c r="E231" s="49">
        <v>0</v>
      </c>
      <c r="F231" s="54">
        <v>0</v>
      </c>
      <c r="G231" s="52"/>
    </row>
    <row r="232" spans="2:7">
      <c r="B232" s="44">
        <v>224</v>
      </c>
      <c r="C232" s="39" t="s">
        <v>91</v>
      </c>
      <c r="D232" s="39"/>
      <c r="E232" s="49">
        <v>0</v>
      </c>
      <c r="F232" s="54">
        <v>0</v>
      </c>
      <c r="G232" s="52"/>
    </row>
    <row r="233" spans="2:7">
      <c r="B233" s="44">
        <v>225</v>
      </c>
      <c r="C233" s="39" t="s">
        <v>92</v>
      </c>
      <c r="D233" s="39"/>
      <c r="E233" s="49">
        <v>0</v>
      </c>
      <c r="F233" s="54">
        <v>0</v>
      </c>
      <c r="G233" s="38"/>
    </row>
    <row r="234" spans="2:7">
      <c r="B234" s="44">
        <v>226</v>
      </c>
      <c r="C234" s="39" t="s">
        <v>93</v>
      </c>
      <c r="D234" s="39"/>
      <c r="E234" s="49">
        <v>0</v>
      </c>
      <c r="F234" s="54">
        <v>0</v>
      </c>
      <c r="G234" s="60"/>
    </row>
    <row r="235" spans="2:7" ht="15.75" thickBot="1">
      <c r="B235" s="61"/>
      <c r="C235" s="62" t="s">
        <v>94</v>
      </c>
      <c r="D235" s="62"/>
      <c r="E235" s="94">
        <v>0</v>
      </c>
      <c r="F235" s="63">
        <v>0</v>
      </c>
      <c r="G235" s="38"/>
    </row>
    <row r="236" spans="2:7">
      <c r="B236" s="64"/>
      <c r="C236" s="65" t="s">
        <v>95</v>
      </c>
      <c r="D236" s="66"/>
      <c r="E236" s="67">
        <v>2713.3370181818141</v>
      </c>
      <c r="F236" s="68">
        <v>2713.3370181818141</v>
      </c>
      <c r="G236" s="69"/>
    </row>
    <row r="237" spans="2:7" ht="15.75" thickBot="1">
      <c r="B237" s="64"/>
      <c r="C237" s="70"/>
      <c r="D237" s="71"/>
      <c r="E237" s="72"/>
      <c r="F237" s="73"/>
      <c r="G237" s="69"/>
    </row>
    <row r="238" spans="2:7" ht="15.75" thickBot="1">
      <c r="B238" s="64"/>
      <c r="C238" s="70" t="s">
        <v>96</v>
      </c>
      <c r="D238" s="71"/>
      <c r="E238" s="74">
        <v>13761.81686677687</v>
      </c>
      <c r="F238" s="75">
        <v>13761.81686677687</v>
      </c>
      <c r="G238" s="76"/>
    </row>
    <row r="239" spans="2:7" ht="8.25" customHeight="1" thickBot="1">
      <c r="B239" s="77"/>
      <c r="C239" s="81"/>
      <c r="D239" s="81"/>
      <c r="E239" s="78"/>
      <c r="F239" s="78"/>
      <c r="G239" s="79"/>
    </row>
    <row r="240" spans="2:7">
      <c r="B240" s="85"/>
      <c r="C240" s="84"/>
      <c r="D240" s="84"/>
      <c r="E240" s="85"/>
      <c r="F240" s="85"/>
      <c r="G240" s="85"/>
    </row>
    <row r="241" spans="1:7" ht="6" customHeight="1" thickBot="1"/>
    <row r="242" spans="1:7">
      <c r="B242" s="1"/>
      <c r="C242" s="2"/>
      <c r="D242" s="2"/>
      <c r="E242" s="2"/>
      <c r="F242" s="2"/>
      <c r="G242" s="3"/>
    </row>
    <row r="243" spans="1:7">
      <c r="B243" s="4"/>
      <c r="C243" s="5"/>
      <c r="D243" s="5"/>
      <c r="E243" s="5"/>
      <c r="F243" s="5"/>
      <c r="G243" s="6"/>
    </row>
    <row r="244" spans="1:7">
      <c r="B244" s="4"/>
      <c r="C244" s="5"/>
      <c r="D244" s="5"/>
      <c r="E244" s="5"/>
      <c r="F244" s="5"/>
      <c r="G244" s="6"/>
    </row>
    <row r="245" spans="1:7">
      <c r="B245" s="4"/>
      <c r="C245" s="5"/>
      <c r="D245" s="5"/>
      <c r="E245" s="5"/>
      <c r="F245" s="5"/>
      <c r="G245" s="6"/>
    </row>
    <row r="246" spans="1:7">
      <c r="B246" s="4"/>
      <c r="C246" s="5"/>
      <c r="D246" s="5"/>
      <c r="E246" s="5"/>
      <c r="F246" s="5"/>
      <c r="G246" s="6"/>
    </row>
    <row r="247" spans="1:7" ht="16.5" customHeight="1">
      <c r="B247" s="4"/>
      <c r="C247" s="5"/>
      <c r="D247" s="5"/>
      <c r="E247" s="5"/>
      <c r="F247" s="5"/>
      <c r="G247" s="6"/>
    </row>
    <row r="248" spans="1:7" ht="22.5" customHeight="1" thickBot="1">
      <c r="B248" s="4"/>
      <c r="C248" s="95" t="s">
        <v>0</v>
      </c>
      <c r="D248" s="95"/>
      <c r="E248" s="95"/>
      <c r="F248" s="5"/>
      <c r="G248" s="6"/>
    </row>
    <row r="249" spans="1:7" ht="21" thickTop="1">
      <c r="B249" s="4"/>
      <c r="C249" s="7"/>
      <c r="D249" s="7"/>
      <c r="E249" s="5"/>
      <c r="F249" s="5"/>
      <c r="G249" s="6"/>
    </row>
    <row r="250" spans="1:7">
      <c r="B250" s="8" t="s">
        <v>1</v>
      </c>
      <c r="C250" s="9" t="s">
        <v>97</v>
      </c>
      <c r="D250" s="5"/>
      <c r="E250" s="10" t="s">
        <v>2</v>
      </c>
      <c r="F250" s="9" t="s">
        <v>98</v>
      </c>
      <c r="G250" s="6"/>
    </row>
    <row r="251" spans="1:7" ht="3.75" customHeight="1">
      <c r="A251" s="80"/>
      <c r="B251" s="5"/>
      <c r="C251" s="5"/>
      <c r="D251" s="5"/>
      <c r="E251" s="11"/>
      <c r="F251" s="5"/>
      <c r="G251" s="6"/>
    </row>
    <row r="252" spans="1:7">
      <c r="A252" s="80"/>
      <c r="B252" s="12" t="s">
        <v>3</v>
      </c>
      <c r="C252" s="9" t="s">
        <v>99</v>
      </c>
      <c r="D252" s="5"/>
      <c r="E252" s="10" t="s">
        <v>4</v>
      </c>
      <c r="F252" s="82" t="s">
        <v>100</v>
      </c>
      <c r="G252" s="6"/>
    </row>
    <row r="253" spans="1:7" ht="3.75" customHeight="1">
      <c r="A253" s="80"/>
      <c r="B253" s="5"/>
      <c r="C253" s="5"/>
      <c r="D253" s="5"/>
      <c r="E253" s="11"/>
      <c r="F253" s="5"/>
      <c r="G253" s="6"/>
    </row>
    <row r="254" spans="1:7">
      <c r="A254" s="80"/>
      <c r="B254" s="10" t="s">
        <v>5</v>
      </c>
      <c r="C254" s="9" t="s">
        <v>101</v>
      </c>
      <c r="D254" s="5"/>
      <c r="E254" s="10" t="s">
        <v>6</v>
      </c>
      <c r="F254" s="9" t="s">
        <v>107</v>
      </c>
      <c r="G254" s="6"/>
    </row>
    <row r="255" spans="1:7" ht="4.5" customHeight="1">
      <c r="A255" s="80"/>
      <c r="B255" s="13"/>
      <c r="C255" s="5"/>
      <c r="D255" s="5"/>
      <c r="E255" s="11"/>
      <c r="F255" s="5"/>
      <c r="G255" s="6"/>
    </row>
    <row r="256" spans="1:7">
      <c r="A256" s="80"/>
      <c r="B256" s="10" t="s">
        <v>7</v>
      </c>
      <c r="C256" s="9" t="s">
        <v>128</v>
      </c>
      <c r="D256" s="5"/>
      <c r="E256" s="11"/>
      <c r="F256" s="5"/>
      <c r="G256" s="6"/>
    </row>
    <row r="257" spans="1:7" ht="3.75" customHeight="1">
      <c r="A257" s="80"/>
      <c r="B257" s="5"/>
      <c r="C257" s="5"/>
      <c r="D257" s="5"/>
      <c r="E257" s="11"/>
      <c r="F257" s="5"/>
      <c r="G257" s="6"/>
    </row>
    <row r="258" spans="1:7">
      <c r="B258" s="14" t="s">
        <v>8</v>
      </c>
      <c r="C258" s="15" t="s">
        <v>105</v>
      </c>
      <c r="D258" s="5"/>
      <c r="E258" s="86" t="s">
        <v>109</v>
      </c>
      <c r="F258" s="87">
        <v>45352</v>
      </c>
      <c r="G258" s="6"/>
    </row>
    <row r="259" spans="1:7">
      <c r="B259" s="16" t="s">
        <v>9</v>
      </c>
      <c r="C259" s="17" t="s">
        <v>130</v>
      </c>
      <c r="D259" s="5"/>
      <c r="E259" s="88" t="s">
        <v>110</v>
      </c>
      <c r="F259" s="89">
        <v>45382</v>
      </c>
      <c r="G259" s="18"/>
    </row>
    <row r="260" spans="1:7" ht="15.75" thickBot="1">
      <c r="B260" s="4"/>
      <c r="C260" s="19"/>
      <c r="D260" s="19"/>
      <c r="E260" s="20"/>
      <c r="F260" s="21"/>
      <c r="G260" s="18"/>
    </row>
    <row r="261" spans="1:7" ht="18.75" thickBot="1">
      <c r="B261" s="4"/>
      <c r="C261" s="22" t="s">
        <v>10</v>
      </c>
      <c r="D261" s="23"/>
      <c r="E261" s="24"/>
      <c r="F261" s="25" t="s">
        <v>11</v>
      </c>
      <c r="G261" s="18"/>
    </row>
    <row r="262" spans="1:7">
      <c r="B262" s="4"/>
      <c r="C262" s="26" t="s">
        <v>12</v>
      </c>
      <c r="D262" s="26"/>
      <c r="E262" s="27">
        <v>13761.81686677687</v>
      </c>
      <c r="F262" s="28">
        <v>13761.81686677687</v>
      </c>
      <c r="G262" s="29"/>
    </row>
    <row r="263" spans="1:7">
      <c r="B263" s="30">
        <v>143</v>
      </c>
      <c r="C263" s="31" t="s">
        <v>13</v>
      </c>
      <c r="D263" s="31"/>
      <c r="E263" s="27">
        <v>4578.6174545454505</v>
      </c>
      <c r="F263" s="32">
        <v>4578.6174545454505</v>
      </c>
      <c r="G263" s="33"/>
    </row>
    <row r="264" spans="1:7">
      <c r="B264" s="30"/>
      <c r="C264" s="34" t="s">
        <v>14</v>
      </c>
      <c r="D264" s="34"/>
      <c r="E264" s="27">
        <v>0</v>
      </c>
      <c r="F264" s="32">
        <v>0</v>
      </c>
      <c r="G264" s="33"/>
    </row>
    <row r="265" spans="1:7">
      <c r="B265" s="30"/>
      <c r="C265" s="34" t="s">
        <v>15</v>
      </c>
      <c r="D265" s="34"/>
      <c r="E265" s="27">
        <v>0</v>
      </c>
      <c r="F265" s="32">
        <v>0</v>
      </c>
      <c r="G265" s="33"/>
    </row>
    <row r="266" spans="1:7">
      <c r="B266" s="30"/>
      <c r="C266" s="34" t="s">
        <v>16</v>
      </c>
      <c r="D266" s="34"/>
      <c r="E266" s="27">
        <v>0</v>
      </c>
      <c r="F266" s="32">
        <v>0</v>
      </c>
      <c r="G266" s="33"/>
    </row>
    <row r="267" spans="1:7">
      <c r="B267" s="30"/>
      <c r="C267" s="34" t="s">
        <v>17</v>
      </c>
      <c r="D267" s="34"/>
      <c r="E267" s="27">
        <v>0</v>
      </c>
      <c r="F267" s="32">
        <v>0</v>
      </c>
      <c r="G267" s="33"/>
    </row>
    <row r="268" spans="1:7">
      <c r="B268" s="30"/>
      <c r="C268" s="35" t="s">
        <v>18</v>
      </c>
      <c r="D268" s="35"/>
      <c r="E268" s="36">
        <v>18340.434321322318</v>
      </c>
      <c r="F268" s="37">
        <v>18340.434321322318</v>
      </c>
      <c r="G268" s="38"/>
    </row>
    <row r="269" spans="1:7" ht="15.75" thickBot="1">
      <c r="B269" s="30"/>
      <c r="C269" s="39"/>
      <c r="D269" s="39"/>
      <c r="E269" s="40"/>
      <c r="F269" s="41"/>
      <c r="G269" s="38"/>
    </row>
    <row r="270" spans="1:7" ht="18.75" thickBot="1">
      <c r="B270" s="30"/>
      <c r="C270" s="22" t="s">
        <v>19</v>
      </c>
      <c r="D270" s="23"/>
      <c r="E270" s="42"/>
      <c r="F270" s="43"/>
      <c r="G270" s="38"/>
    </row>
    <row r="271" spans="1:7">
      <c r="B271" s="44">
        <v>121</v>
      </c>
      <c r="C271" s="39" t="s">
        <v>20</v>
      </c>
      <c r="D271" s="39"/>
      <c r="E271" s="45"/>
      <c r="F271" s="46"/>
      <c r="G271" s="47"/>
    </row>
    <row r="272" spans="1:7">
      <c r="B272" s="44"/>
      <c r="C272" s="48" t="s">
        <v>21</v>
      </c>
      <c r="D272" s="48"/>
      <c r="E272" s="49">
        <v>0</v>
      </c>
      <c r="F272" s="50">
        <v>0</v>
      </c>
      <c r="G272" s="47"/>
    </row>
    <row r="273" spans="2:7">
      <c r="B273" s="44"/>
      <c r="C273" s="48" t="s">
        <v>22</v>
      </c>
      <c r="D273" s="48"/>
      <c r="E273" s="49">
        <v>0</v>
      </c>
      <c r="F273" s="50">
        <v>0</v>
      </c>
      <c r="G273" s="47"/>
    </row>
    <row r="274" spans="2:7">
      <c r="B274" s="51"/>
      <c r="C274" s="48" t="s">
        <v>23</v>
      </c>
      <c r="D274" s="48"/>
      <c r="E274" s="49">
        <v>0</v>
      </c>
      <c r="F274" s="50">
        <v>0</v>
      </c>
      <c r="G274" s="52"/>
    </row>
    <row r="275" spans="2:7">
      <c r="B275" s="51"/>
      <c r="C275" s="48" t="s">
        <v>24</v>
      </c>
      <c r="D275" s="48"/>
      <c r="E275" s="49">
        <v>814.0011054545447</v>
      </c>
      <c r="F275" s="50">
        <v>814.0011054545447</v>
      </c>
      <c r="G275" s="52"/>
    </row>
    <row r="276" spans="2:7">
      <c r="B276" s="44"/>
      <c r="C276" s="48" t="s">
        <v>25</v>
      </c>
      <c r="D276" s="48"/>
      <c r="E276" s="49">
        <v>0</v>
      </c>
      <c r="F276" s="50">
        <v>0</v>
      </c>
      <c r="G276" s="52"/>
    </row>
    <row r="277" spans="2:7">
      <c r="B277" s="44"/>
      <c r="C277" s="53" t="s">
        <v>26</v>
      </c>
      <c r="D277" s="53"/>
      <c r="E277" s="36">
        <v>814.0011054545447</v>
      </c>
      <c r="F277" s="54">
        <v>814.0011054545447</v>
      </c>
      <c r="G277" s="52"/>
    </row>
    <row r="278" spans="2:7">
      <c r="B278" s="44">
        <v>122</v>
      </c>
      <c r="C278" s="39" t="s">
        <v>27</v>
      </c>
      <c r="D278" s="39"/>
      <c r="E278" s="36"/>
      <c r="F278" s="50"/>
      <c r="G278" s="55"/>
    </row>
    <row r="279" spans="2:7">
      <c r="B279" s="44"/>
      <c r="C279" s="48" t="s">
        <v>28</v>
      </c>
      <c r="D279" s="48"/>
      <c r="E279" s="49">
        <v>0</v>
      </c>
      <c r="F279" s="50">
        <v>0</v>
      </c>
      <c r="G279" s="52"/>
    </row>
    <row r="280" spans="2:7">
      <c r="B280" s="44"/>
      <c r="C280" s="48" t="s">
        <v>29</v>
      </c>
      <c r="D280" s="48"/>
      <c r="E280" s="49">
        <v>0</v>
      </c>
      <c r="F280" s="50">
        <v>0</v>
      </c>
      <c r="G280" s="52"/>
    </row>
    <row r="281" spans="2:7">
      <c r="B281" s="44"/>
      <c r="C281" s="48" t="s">
        <v>30</v>
      </c>
      <c r="D281" s="48"/>
      <c r="E281" s="49">
        <v>0</v>
      </c>
      <c r="F281" s="50">
        <v>0</v>
      </c>
      <c r="G281" s="52"/>
    </row>
    <row r="282" spans="2:7">
      <c r="B282" s="44"/>
      <c r="C282" s="48" t="s">
        <v>31</v>
      </c>
      <c r="D282" s="48"/>
      <c r="E282" s="49">
        <v>0</v>
      </c>
      <c r="F282" s="50">
        <v>0</v>
      </c>
      <c r="G282" s="52"/>
    </row>
    <row r="283" spans="2:7">
      <c r="B283" s="44"/>
      <c r="C283" s="48" t="s">
        <v>32</v>
      </c>
      <c r="D283" s="48"/>
      <c r="E283" s="49">
        <v>271.33370181818157</v>
      </c>
      <c r="F283" s="50">
        <v>271.33370181818157</v>
      </c>
      <c r="G283" s="52"/>
    </row>
    <row r="284" spans="2:7">
      <c r="B284" s="44"/>
      <c r="C284" s="48" t="s">
        <v>33</v>
      </c>
      <c r="D284" s="48"/>
      <c r="E284" s="49">
        <v>0</v>
      </c>
      <c r="F284" s="50">
        <v>0</v>
      </c>
      <c r="G284" s="52"/>
    </row>
    <row r="285" spans="2:7">
      <c r="B285" s="44"/>
      <c r="C285" s="48" t="s">
        <v>34</v>
      </c>
      <c r="D285" s="48"/>
      <c r="E285" s="49">
        <v>0</v>
      </c>
      <c r="F285" s="50">
        <v>0</v>
      </c>
      <c r="G285" s="52"/>
    </row>
    <row r="286" spans="2:7">
      <c r="B286" s="44"/>
      <c r="C286" s="48" t="s">
        <v>35</v>
      </c>
      <c r="D286" s="48"/>
      <c r="E286" s="49">
        <v>0</v>
      </c>
      <c r="F286" s="50">
        <v>0</v>
      </c>
      <c r="G286" s="52"/>
    </row>
    <row r="287" spans="2:7">
      <c r="B287" s="44"/>
      <c r="C287" s="53" t="s">
        <v>26</v>
      </c>
      <c r="D287" s="53"/>
      <c r="E287" s="36">
        <v>271.33370181818157</v>
      </c>
      <c r="F287" s="54">
        <v>271.33370181818157</v>
      </c>
      <c r="G287" s="52"/>
    </row>
    <row r="288" spans="2:7">
      <c r="B288" s="44">
        <v>123</v>
      </c>
      <c r="C288" s="39" t="s">
        <v>36</v>
      </c>
      <c r="D288" s="39"/>
      <c r="E288" s="56"/>
      <c r="F288" s="57"/>
      <c r="G288" s="52"/>
    </row>
    <row r="289" spans="2:7">
      <c r="B289" s="44"/>
      <c r="C289" s="48" t="s">
        <v>37</v>
      </c>
      <c r="D289" s="48"/>
      <c r="E289" s="49">
        <v>222.00030148760285</v>
      </c>
      <c r="F289" s="50">
        <v>222.00030148760285</v>
      </c>
      <c r="G289" s="52"/>
    </row>
    <row r="290" spans="2:7">
      <c r="B290" s="44"/>
      <c r="C290" s="48" t="s">
        <v>38</v>
      </c>
      <c r="D290" s="48"/>
      <c r="E290" s="49">
        <v>1825.3358122314014</v>
      </c>
      <c r="F290" s="50">
        <v>1825.3358122314014</v>
      </c>
      <c r="G290" s="52"/>
    </row>
    <row r="291" spans="2:7">
      <c r="B291" s="44"/>
      <c r="C291" s="48" t="s">
        <v>39</v>
      </c>
      <c r="D291" s="48"/>
      <c r="E291" s="49">
        <v>222.00030148760285</v>
      </c>
      <c r="F291" s="50">
        <v>222.00030148760285</v>
      </c>
      <c r="G291" s="52"/>
    </row>
    <row r="292" spans="2:7">
      <c r="B292" s="44"/>
      <c r="C292" s="48" t="s">
        <v>40</v>
      </c>
      <c r="D292" s="48"/>
      <c r="E292" s="49">
        <v>0</v>
      </c>
      <c r="F292" s="50">
        <v>0</v>
      </c>
      <c r="G292" s="52"/>
    </row>
    <row r="293" spans="2:7">
      <c r="B293" s="44"/>
      <c r="C293" s="48" t="s">
        <v>41</v>
      </c>
      <c r="D293" s="48"/>
      <c r="E293" s="49">
        <v>0</v>
      </c>
      <c r="F293" s="50">
        <v>0</v>
      </c>
      <c r="G293" s="52"/>
    </row>
    <row r="294" spans="2:7">
      <c r="B294" s="44"/>
      <c r="C294" s="48" t="s">
        <v>42</v>
      </c>
      <c r="D294" s="48"/>
      <c r="E294" s="49">
        <v>444.00060297520571</v>
      </c>
      <c r="F294" s="50">
        <v>444.00060297520571</v>
      </c>
      <c r="G294" s="52"/>
    </row>
    <row r="295" spans="2:7">
      <c r="B295" s="44"/>
      <c r="C295" s="53" t="s">
        <v>26</v>
      </c>
      <c r="D295" s="53"/>
      <c r="E295" s="36">
        <v>2713.3370181818127</v>
      </c>
      <c r="F295" s="54">
        <v>2713.3370181818127</v>
      </c>
      <c r="G295" s="52"/>
    </row>
    <row r="296" spans="2:7">
      <c r="B296" s="44">
        <v>124</v>
      </c>
      <c r="C296" s="39" t="s">
        <v>43</v>
      </c>
      <c r="D296" s="39"/>
      <c r="E296" s="56"/>
      <c r="F296" s="57"/>
      <c r="G296" s="52"/>
    </row>
    <row r="297" spans="2:7">
      <c r="B297" s="44"/>
      <c r="C297" s="48" t="s">
        <v>44</v>
      </c>
      <c r="D297" s="48"/>
      <c r="E297" s="49">
        <v>0</v>
      </c>
      <c r="F297" s="50">
        <v>0</v>
      </c>
      <c r="G297" s="52"/>
    </row>
    <row r="298" spans="2:7">
      <c r="B298" s="44"/>
      <c r="C298" s="48" t="s">
        <v>45</v>
      </c>
      <c r="D298" s="48"/>
      <c r="E298" s="49">
        <v>2102.8361890909068</v>
      </c>
      <c r="F298" s="50">
        <v>2102.8361890909068</v>
      </c>
      <c r="G298" s="52"/>
    </row>
    <row r="299" spans="2:7">
      <c r="B299" s="44"/>
      <c r="C299" s="48" t="s">
        <v>46</v>
      </c>
      <c r="D299" s="48"/>
      <c r="E299" s="49">
        <v>0</v>
      </c>
      <c r="F299" s="50">
        <v>0</v>
      </c>
      <c r="G299" s="52"/>
    </row>
    <row r="300" spans="2:7">
      <c r="B300" s="44"/>
      <c r="C300" s="53" t="s">
        <v>26</v>
      </c>
      <c r="D300" s="53"/>
      <c r="E300" s="36">
        <v>2102.8361890909068</v>
      </c>
      <c r="F300" s="54">
        <v>2102.8361890909068</v>
      </c>
      <c r="G300" s="52"/>
    </row>
    <row r="301" spans="2:7">
      <c r="B301" s="44">
        <v>125</v>
      </c>
      <c r="C301" s="39" t="s">
        <v>47</v>
      </c>
      <c r="D301" s="39"/>
      <c r="E301" s="36"/>
      <c r="F301" s="50"/>
      <c r="G301" s="52"/>
    </row>
    <row r="302" spans="2:7">
      <c r="B302" s="44"/>
      <c r="C302" s="48" t="s">
        <v>48</v>
      </c>
      <c r="D302" s="48"/>
      <c r="E302" s="58">
        <v>0</v>
      </c>
      <c r="F302" s="50">
        <v>0</v>
      </c>
      <c r="G302" s="52"/>
    </row>
    <row r="303" spans="2:7">
      <c r="B303" s="44"/>
      <c r="C303" s="48" t="s">
        <v>49</v>
      </c>
      <c r="D303" s="48"/>
      <c r="E303" s="58">
        <v>0</v>
      </c>
      <c r="F303" s="50">
        <v>0</v>
      </c>
      <c r="G303" s="52"/>
    </row>
    <row r="304" spans="2:7">
      <c r="B304" s="44"/>
      <c r="C304" s="48" t="s">
        <v>50</v>
      </c>
      <c r="D304" s="48"/>
      <c r="E304" s="58">
        <v>881.83453090909018</v>
      </c>
      <c r="F304" s="50">
        <v>881.83453090909018</v>
      </c>
      <c r="G304" s="52"/>
    </row>
    <row r="305" spans="2:7">
      <c r="B305" s="44"/>
      <c r="C305" s="48" t="s">
        <v>51</v>
      </c>
      <c r="D305" s="48"/>
      <c r="E305" s="58">
        <v>0</v>
      </c>
      <c r="F305" s="50">
        <v>0</v>
      </c>
      <c r="G305" s="52"/>
    </row>
    <row r="306" spans="2:7">
      <c r="B306" s="44"/>
      <c r="C306" s="53" t="s">
        <v>26</v>
      </c>
      <c r="D306" s="53"/>
      <c r="E306" s="56">
        <v>881.83453090909018</v>
      </c>
      <c r="F306" s="54">
        <v>881.83453090909018</v>
      </c>
      <c r="G306" s="52"/>
    </row>
    <row r="307" spans="2:7">
      <c r="B307" s="44">
        <v>126</v>
      </c>
      <c r="C307" s="39" t="s">
        <v>52</v>
      </c>
      <c r="D307" s="39"/>
      <c r="E307" s="56"/>
      <c r="F307" s="50"/>
      <c r="G307" s="52"/>
    </row>
    <row r="308" spans="2:7">
      <c r="B308" s="44"/>
      <c r="C308" s="48" t="s">
        <v>53</v>
      </c>
      <c r="D308" s="48"/>
      <c r="E308" s="49">
        <v>0</v>
      </c>
      <c r="F308" s="50">
        <v>0</v>
      </c>
      <c r="G308" s="52"/>
    </row>
    <row r="309" spans="2:7">
      <c r="B309" s="44"/>
      <c r="C309" s="48" t="s">
        <v>54</v>
      </c>
      <c r="D309" s="48"/>
      <c r="E309" s="49">
        <v>0</v>
      </c>
      <c r="F309" s="50"/>
      <c r="G309" s="52"/>
    </row>
    <row r="310" spans="2:7">
      <c r="B310" s="44"/>
      <c r="C310" s="48" t="s">
        <v>55</v>
      </c>
      <c r="D310" s="48"/>
      <c r="E310" s="49">
        <v>0</v>
      </c>
      <c r="F310" s="50"/>
      <c r="G310" s="52"/>
    </row>
    <row r="311" spans="2:7">
      <c r="B311" s="44"/>
      <c r="C311" s="48" t="s">
        <v>56</v>
      </c>
      <c r="D311" s="48"/>
      <c r="E311" s="49">
        <v>0</v>
      </c>
      <c r="F311" s="57"/>
      <c r="G311" s="52"/>
    </row>
    <row r="312" spans="2:7">
      <c r="B312" s="44"/>
      <c r="C312" s="53" t="s">
        <v>26</v>
      </c>
      <c r="D312" s="53"/>
      <c r="E312" s="56">
        <v>0</v>
      </c>
      <c r="F312" s="54">
        <v>0</v>
      </c>
      <c r="G312" s="52"/>
    </row>
    <row r="313" spans="2:7">
      <c r="B313" s="44">
        <v>127</v>
      </c>
      <c r="C313" s="39" t="s">
        <v>57</v>
      </c>
      <c r="D313" s="39"/>
      <c r="E313" s="56"/>
      <c r="F313" s="54"/>
      <c r="G313" s="52"/>
    </row>
    <row r="314" spans="2:7">
      <c r="B314" s="44"/>
      <c r="C314" s="48" t="s">
        <v>58</v>
      </c>
      <c r="D314" s="48"/>
      <c r="E314" s="49">
        <v>0</v>
      </c>
      <c r="F314" s="50">
        <v>0</v>
      </c>
      <c r="G314" s="52"/>
    </row>
    <row r="315" spans="2:7">
      <c r="B315" s="44"/>
      <c r="C315" s="48" t="s">
        <v>59</v>
      </c>
      <c r="D315" s="48"/>
      <c r="E315" s="49">
        <v>0</v>
      </c>
      <c r="F315" s="50">
        <v>0</v>
      </c>
      <c r="G315" s="52"/>
    </row>
    <row r="316" spans="2:7">
      <c r="B316" s="44"/>
      <c r="C316" s="48" t="s">
        <v>60</v>
      </c>
      <c r="D316" s="48"/>
      <c r="E316" s="49">
        <v>0</v>
      </c>
      <c r="F316" s="50">
        <v>0</v>
      </c>
      <c r="G316" s="52"/>
    </row>
    <row r="317" spans="2:7">
      <c r="B317" s="44"/>
      <c r="C317" s="59" t="s">
        <v>61</v>
      </c>
      <c r="D317" s="59"/>
      <c r="E317" s="49">
        <v>0</v>
      </c>
      <c r="F317" s="50">
        <v>0</v>
      </c>
      <c r="G317" s="52"/>
    </row>
    <row r="318" spans="2:7">
      <c r="B318" s="44"/>
      <c r="C318" s="53" t="s">
        <v>26</v>
      </c>
      <c r="D318" s="53"/>
      <c r="E318" s="56">
        <v>0</v>
      </c>
      <c r="F318" s="54">
        <v>0</v>
      </c>
      <c r="G318" s="52"/>
    </row>
    <row r="319" spans="2:7">
      <c r="B319" s="44">
        <v>128</v>
      </c>
      <c r="C319" s="39" t="s">
        <v>62</v>
      </c>
      <c r="D319" s="39"/>
      <c r="E319" s="56"/>
      <c r="F319" s="54"/>
      <c r="G319" s="52"/>
    </row>
    <row r="320" spans="2:7">
      <c r="B320" s="44"/>
      <c r="C320" s="48" t="s">
        <v>63</v>
      </c>
      <c r="D320" s="48"/>
      <c r="E320" s="49">
        <v>0</v>
      </c>
      <c r="F320" s="50">
        <v>0</v>
      </c>
      <c r="G320" s="52"/>
    </row>
    <row r="321" spans="2:7">
      <c r="B321" s="44"/>
      <c r="C321" s="48" t="s">
        <v>64</v>
      </c>
      <c r="D321" s="48"/>
      <c r="E321" s="49">
        <v>0</v>
      </c>
      <c r="F321" s="50">
        <v>0</v>
      </c>
      <c r="G321" s="52"/>
    </row>
    <row r="322" spans="2:7">
      <c r="B322" s="44"/>
      <c r="C322" s="48" t="s">
        <v>65</v>
      </c>
      <c r="D322" s="48"/>
      <c r="E322" s="49">
        <v>0</v>
      </c>
      <c r="F322" s="50">
        <v>0</v>
      </c>
      <c r="G322" s="52"/>
    </row>
    <row r="323" spans="2:7">
      <c r="B323" s="44"/>
      <c r="C323" s="48" t="s">
        <v>66</v>
      </c>
      <c r="D323" s="48"/>
      <c r="E323" s="49">
        <v>0</v>
      </c>
      <c r="F323" s="50">
        <v>0</v>
      </c>
      <c r="G323" s="52"/>
    </row>
    <row r="324" spans="2:7">
      <c r="B324" s="44"/>
      <c r="C324" s="48" t="s">
        <v>67</v>
      </c>
      <c r="D324" s="48"/>
      <c r="E324" s="49">
        <v>0</v>
      </c>
      <c r="F324" s="50">
        <v>0</v>
      </c>
      <c r="G324" s="52"/>
    </row>
    <row r="325" spans="2:7">
      <c r="B325" s="44"/>
      <c r="C325" s="53" t="s">
        <v>26</v>
      </c>
      <c r="D325" s="53"/>
      <c r="E325" s="56">
        <v>0</v>
      </c>
      <c r="F325" s="54">
        <v>0</v>
      </c>
      <c r="G325" s="52"/>
    </row>
    <row r="326" spans="2:7">
      <c r="B326" s="44">
        <v>135</v>
      </c>
      <c r="C326" s="39" t="s">
        <v>68</v>
      </c>
      <c r="D326" s="39"/>
      <c r="E326" s="56"/>
      <c r="F326" s="50"/>
      <c r="G326" s="52"/>
    </row>
    <row r="327" spans="2:7">
      <c r="B327" s="44"/>
      <c r="C327" s="48" t="s">
        <v>69</v>
      </c>
      <c r="D327" s="48"/>
      <c r="E327" s="49">
        <v>0</v>
      </c>
      <c r="F327" s="50">
        <v>0</v>
      </c>
      <c r="G327" s="52"/>
    </row>
    <row r="328" spans="2:7">
      <c r="B328" s="44"/>
      <c r="C328" s="48" t="s">
        <v>70</v>
      </c>
      <c r="D328" s="48"/>
      <c r="E328" s="49">
        <v>0</v>
      </c>
      <c r="F328" s="50">
        <v>0</v>
      </c>
      <c r="G328" s="52"/>
    </row>
    <row r="329" spans="2:7">
      <c r="B329" s="44"/>
      <c r="C329" s="48" t="s">
        <v>71</v>
      </c>
      <c r="D329" s="48"/>
      <c r="E329" s="49">
        <v>0</v>
      </c>
      <c r="F329" s="50">
        <v>0</v>
      </c>
      <c r="G329" s="52"/>
    </row>
    <row r="330" spans="2:7">
      <c r="B330" s="44"/>
      <c r="C330" s="48" t="s">
        <v>72</v>
      </c>
      <c r="D330" s="48"/>
      <c r="E330" s="49">
        <v>0</v>
      </c>
      <c r="F330" s="50">
        <v>0</v>
      </c>
      <c r="G330" s="52"/>
    </row>
    <row r="331" spans="2:7">
      <c r="B331" s="44"/>
      <c r="C331" s="48" t="s">
        <v>73</v>
      </c>
      <c r="D331" s="48"/>
      <c r="E331" s="49">
        <v>0</v>
      </c>
      <c r="F331" s="50">
        <v>0</v>
      </c>
      <c r="G331" s="52"/>
    </row>
    <row r="332" spans="2:7">
      <c r="B332" s="44"/>
      <c r="C332" s="48" t="s">
        <v>74</v>
      </c>
      <c r="D332" s="48"/>
      <c r="E332" s="49">
        <v>0</v>
      </c>
      <c r="F332" s="50">
        <v>0</v>
      </c>
      <c r="G332" s="52"/>
    </row>
    <row r="333" spans="2:7">
      <c r="B333" s="44"/>
      <c r="C333" s="48" t="s">
        <v>75</v>
      </c>
      <c r="D333" s="48"/>
      <c r="E333" s="49">
        <v>0</v>
      </c>
      <c r="F333" s="50">
        <v>0</v>
      </c>
      <c r="G333" s="52"/>
    </row>
    <row r="334" spans="2:7">
      <c r="B334" s="44"/>
      <c r="C334" s="48" t="s">
        <v>76</v>
      </c>
      <c r="D334" s="48"/>
      <c r="E334" s="49">
        <v>0</v>
      </c>
      <c r="F334" s="50">
        <v>0</v>
      </c>
      <c r="G334" s="52"/>
    </row>
    <row r="335" spans="2:7">
      <c r="B335" s="44"/>
      <c r="C335" s="48" t="s">
        <v>77</v>
      </c>
      <c r="D335" s="48"/>
      <c r="E335" s="49">
        <v>0</v>
      </c>
      <c r="F335" s="50">
        <v>0</v>
      </c>
      <c r="G335" s="52"/>
    </row>
    <row r="336" spans="2:7">
      <c r="B336" s="44"/>
      <c r="C336" s="53" t="s">
        <v>26</v>
      </c>
      <c r="D336" s="53"/>
      <c r="E336" s="56">
        <v>0</v>
      </c>
      <c r="F336" s="54">
        <v>0</v>
      </c>
      <c r="G336" s="52"/>
    </row>
    <row r="337" spans="2:7">
      <c r="B337" s="44">
        <v>136</v>
      </c>
      <c r="C337" s="39" t="s">
        <v>78</v>
      </c>
      <c r="D337" s="39"/>
      <c r="E337" s="56"/>
      <c r="F337" s="50"/>
      <c r="G337" s="52"/>
    </row>
    <row r="338" spans="2:7">
      <c r="B338" s="44"/>
      <c r="C338" s="48" t="s">
        <v>79</v>
      </c>
      <c r="D338" s="48"/>
      <c r="E338" s="49">
        <v>0</v>
      </c>
      <c r="F338" s="50">
        <v>0</v>
      </c>
      <c r="G338" s="52"/>
    </row>
    <row r="339" spans="2:7">
      <c r="B339" s="44"/>
      <c r="C339" s="48" t="s">
        <v>80</v>
      </c>
      <c r="D339" s="48"/>
      <c r="E339" s="49">
        <v>0</v>
      </c>
      <c r="F339" s="50">
        <v>0</v>
      </c>
      <c r="G339" s="52"/>
    </row>
    <row r="340" spans="2:7">
      <c r="B340" s="44"/>
      <c r="C340" s="48" t="s">
        <v>81</v>
      </c>
      <c r="D340" s="48"/>
      <c r="E340" s="49">
        <v>0</v>
      </c>
      <c r="F340" s="50">
        <v>0</v>
      </c>
      <c r="G340" s="52"/>
    </row>
    <row r="341" spans="2:7">
      <c r="B341" s="44"/>
      <c r="C341" s="48" t="s">
        <v>82</v>
      </c>
      <c r="D341" s="48"/>
      <c r="E341" s="49">
        <v>0</v>
      </c>
      <c r="F341" s="50">
        <v>0</v>
      </c>
      <c r="G341" s="52"/>
    </row>
    <row r="342" spans="2:7">
      <c r="B342" s="44"/>
      <c r="C342" s="48" t="s">
        <v>83</v>
      </c>
      <c r="D342" s="48"/>
      <c r="E342" s="49">
        <v>0</v>
      </c>
      <c r="F342" s="50">
        <v>0</v>
      </c>
      <c r="G342" s="52"/>
    </row>
    <row r="343" spans="2:7">
      <c r="B343" s="44"/>
      <c r="C343" s="48" t="s">
        <v>84</v>
      </c>
      <c r="D343" s="48"/>
      <c r="E343" s="49">
        <v>0</v>
      </c>
      <c r="F343" s="50">
        <v>0</v>
      </c>
      <c r="G343" s="52"/>
    </row>
    <row r="344" spans="2:7">
      <c r="B344" s="44"/>
      <c r="C344" s="53" t="s">
        <v>26</v>
      </c>
      <c r="D344" s="53"/>
      <c r="E344" s="56">
        <v>0</v>
      </c>
      <c r="F344" s="54">
        <v>0</v>
      </c>
      <c r="G344" s="52"/>
    </row>
    <row r="345" spans="2:7">
      <c r="B345" s="44">
        <v>142</v>
      </c>
      <c r="C345" s="39" t="s">
        <v>85</v>
      </c>
      <c r="D345" s="39"/>
      <c r="E345" s="56"/>
      <c r="F345" s="50"/>
      <c r="G345" s="52"/>
    </row>
    <row r="346" spans="2:7">
      <c r="B346" s="44"/>
      <c r="C346" s="48" t="s">
        <v>86</v>
      </c>
      <c r="D346" s="48"/>
      <c r="E346" s="49">
        <v>0</v>
      </c>
      <c r="F346" s="50">
        <v>0</v>
      </c>
      <c r="G346" s="52"/>
    </row>
    <row r="347" spans="2:7">
      <c r="B347" s="44"/>
      <c r="C347" s="48" t="s">
        <v>87</v>
      </c>
      <c r="D347" s="48"/>
      <c r="E347" s="49">
        <v>0</v>
      </c>
      <c r="F347" s="50">
        <v>0</v>
      </c>
      <c r="G347" s="52"/>
    </row>
    <row r="348" spans="2:7">
      <c r="B348" s="44"/>
      <c r="C348" s="53" t="s">
        <v>26</v>
      </c>
      <c r="D348" s="53"/>
      <c r="E348" s="56">
        <v>0</v>
      </c>
      <c r="F348" s="54">
        <v>0</v>
      </c>
      <c r="G348" s="52"/>
    </row>
    <row r="349" spans="2:7">
      <c r="B349" s="44">
        <v>144</v>
      </c>
      <c r="C349" s="39" t="s">
        <v>88</v>
      </c>
      <c r="D349" s="39"/>
      <c r="E349" s="49">
        <v>0</v>
      </c>
      <c r="F349" s="54">
        <v>0</v>
      </c>
      <c r="G349" s="52"/>
    </row>
    <row r="350" spans="2:7">
      <c r="B350" s="44">
        <v>221</v>
      </c>
      <c r="C350" s="39" t="s">
        <v>89</v>
      </c>
      <c r="D350" s="39"/>
      <c r="E350" s="49">
        <v>0</v>
      </c>
      <c r="F350" s="54">
        <v>0</v>
      </c>
      <c r="G350" s="52"/>
    </row>
    <row r="351" spans="2:7">
      <c r="B351" s="44">
        <v>222</v>
      </c>
      <c r="C351" s="39" t="s">
        <v>90</v>
      </c>
      <c r="D351" s="39"/>
      <c r="E351" s="49">
        <v>0</v>
      </c>
      <c r="F351" s="54">
        <v>0</v>
      </c>
      <c r="G351" s="52"/>
    </row>
    <row r="352" spans="2:7">
      <c r="B352" s="44">
        <v>224</v>
      </c>
      <c r="C352" s="39" t="s">
        <v>91</v>
      </c>
      <c r="D352" s="39"/>
      <c r="E352" s="49">
        <v>0</v>
      </c>
      <c r="F352" s="54">
        <v>0</v>
      </c>
      <c r="G352" s="52"/>
    </row>
    <row r="353" spans="2:7">
      <c r="B353" s="44">
        <v>225</v>
      </c>
      <c r="C353" s="39" t="s">
        <v>92</v>
      </c>
      <c r="D353" s="39"/>
      <c r="E353" s="49">
        <v>0</v>
      </c>
      <c r="F353" s="54">
        <v>0</v>
      </c>
      <c r="G353" s="38"/>
    </row>
    <row r="354" spans="2:7">
      <c r="B354" s="44">
        <v>226</v>
      </c>
      <c r="C354" s="39" t="s">
        <v>93</v>
      </c>
      <c r="D354" s="39"/>
      <c r="E354" s="49">
        <v>0</v>
      </c>
      <c r="F354" s="54">
        <v>0</v>
      </c>
      <c r="G354" s="60"/>
    </row>
    <row r="355" spans="2:7" ht="15.75" thickBot="1">
      <c r="B355" s="61"/>
      <c r="C355" s="62" t="s">
        <v>94</v>
      </c>
      <c r="D355" s="62"/>
      <c r="E355" s="94">
        <v>0</v>
      </c>
      <c r="F355" s="63">
        <v>0</v>
      </c>
      <c r="G355" s="38"/>
    </row>
    <row r="356" spans="2:7">
      <c r="B356" s="64"/>
      <c r="C356" s="65" t="s">
        <v>95</v>
      </c>
      <c r="D356" s="66"/>
      <c r="E356" s="67">
        <v>6783.3425454545359</v>
      </c>
      <c r="F356" s="68">
        <v>6783.3425454545359</v>
      </c>
      <c r="G356" s="69"/>
    </row>
    <row r="357" spans="2:7" ht="15.75" thickBot="1">
      <c r="B357" s="64"/>
      <c r="C357" s="70"/>
      <c r="D357" s="71"/>
      <c r="E357" s="72"/>
      <c r="F357" s="73"/>
      <c r="G357" s="69"/>
    </row>
    <row r="358" spans="2:7" ht="15.75" thickBot="1">
      <c r="B358" s="64"/>
      <c r="C358" s="70" t="s">
        <v>96</v>
      </c>
      <c r="D358" s="71"/>
      <c r="E358" s="74">
        <v>11557.091775867782</v>
      </c>
      <c r="F358" s="75">
        <v>11557.091775867782</v>
      </c>
      <c r="G358" s="76"/>
    </row>
    <row r="359" spans="2:7" ht="8.25" customHeight="1" thickBot="1">
      <c r="B359" s="77"/>
      <c r="C359" s="81"/>
      <c r="D359" s="81"/>
      <c r="E359" s="78"/>
      <c r="F359" s="78"/>
      <c r="G359" s="79"/>
    </row>
    <row r="360" spans="2:7">
      <c r="B360" s="85"/>
      <c r="C360" s="84"/>
      <c r="D360" s="84"/>
      <c r="E360" s="85"/>
      <c r="F360" s="85"/>
      <c r="G360" s="85"/>
    </row>
  </sheetData>
  <mergeCells count="3">
    <mergeCell ref="C8:E8"/>
    <mergeCell ref="C128:E128"/>
    <mergeCell ref="C248:E248"/>
  </mergeCells>
  <dataValidations count="1">
    <dataValidation type="list" allowBlank="1" showInputMessage="1" showErrorMessage="1" sqref="C136 C16 C256" xr:uid="{7BDB5007-29B1-41D5-8246-D9A4EF7EFD0F}">
      <formula1>FacList</formula1>
    </dataValidation>
  </dataValidations>
  <hyperlinks>
    <hyperlink ref="F12" r:id="rId1" xr:uid="{291E25AF-94D0-47F3-B72F-4BE163531914}"/>
    <hyperlink ref="F132" r:id="rId2" xr:uid="{ECC7B0D3-464D-4201-A1A3-61CE1E9E006A}"/>
    <hyperlink ref="F252" r:id="rId3" xr:uid="{3DB974C2-0C90-4B1F-8BD2-3734877DFB0A}"/>
  </hyperlinks>
  <pageMargins left="0.7" right="0.7" top="0.75" bottom="0.75" header="0.3" footer="0.3"/>
  <drawing r:id="rId4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6AD49-D241-4377-A7E4-010AF2CA636C}">
  <dimension ref="A1:G360"/>
  <sheetViews>
    <sheetView zoomScale="90" zoomScaleNormal="90" workbookViewId="0">
      <selection sqref="A1:XFD1048576"/>
    </sheetView>
  </sheetViews>
  <sheetFormatPr defaultColWidth="8.85546875" defaultRowHeight="15"/>
  <cols>
    <col min="1" max="1" width="1.140625" customWidth="1"/>
    <col min="2" max="2" width="27.42578125" customWidth="1"/>
    <col min="3" max="3" width="42.7109375" bestFit="1" customWidth="1"/>
    <col min="4" max="4" width="4" customWidth="1"/>
    <col min="5" max="5" width="25.42578125" customWidth="1"/>
    <col min="6" max="6" width="27.42578125" customWidth="1"/>
    <col min="7" max="7" width="4.7109375" customWidth="1"/>
  </cols>
  <sheetData>
    <row r="1" spans="1:7" ht="6" customHeight="1" thickBot="1"/>
    <row r="2" spans="1:7">
      <c r="B2" s="1"/>
      <c r="C2" s="2"/>
      <c r="D2" s="2"/>
      <c r="E2" s="2"/>
      <c r="F2" s="2"/>
      <c r="G2" s="3"/>
    </row>
    <row r="3" spans="1:7">
      <c r="B3" s="4"/>
      <c r="C3" s="5"/>
      <c r="D3" s="5"/>
      <c r="E3" s="5"/>
      <c r="F3" s="5"/>
      <c r="G3" s="6"/>
    </row>
    <row r="4" spans="1:7">
      <c r="B4" s="4"/>
      <c r="C4" s="5"/>
      <c r="D4" s="5"/>
      <c r="E4" s="5"/>
      <c r="F4" s="5"/>
      <c r="G4" s="6"/>
    </row>
    <row r="5" spans="1:7">
      <c r="B5" s="4"/>
      <c r="C5" s="5"/>
      <c r="D5" s="5"/>
      <c r="E5" s="5"/>
      <c r="F5" s="5"/>
      <c r="G5" s="6"/>
    </row>
    <row r="6" spans="1:7">
      <c r="B6" s="4"/>
      <c r="C6" s="5"/>
      <c r="D6" s="5"/>
      <c r="E6" s="5"/>
      <c r="F6" s="5"/>
      <c r="G6" s="6"/>
    </row>
    <row r="7" spans="1:7" ht="16.5" customHeight="1">
      <c r="B7" s="4"/>
      <c r="C7" s="5"/>
      <c r="D7" s="5"/>
      <c r="E7" s="5"/>
      <c r="F7" s="5"/>
      <c r="G7" s="6"/>
    </row>
    <row r="8" spans="1:7" ht="22.5" customHeight="1" thickBot="1">
      <c r="B8" s="4"/>
      <c r="C8" s="95" t="s">
        <v>0</v>
      </c>
      <c r="D8" s="95"/>
      <c r="E8" s="95"/>
      <c r="F8" s="5"/>
      <c r="G8" s="6"/>
    </row>
    <row r="9" spans="1:7" ht="21" thickTop="1">
      <c r="B9" s="4"/>
      <c r="C9" s="7"/>
      <c r="D9" s="7"/>
      <c r="E9" s="5"/>
      <c r="F9" s="5"/>
      <c r="G9" s="6"/>
    </row>
    <row r="10" spans="1:7">
      <c r="B10" s="8" t="s">
        <v>1</v>
      </c>
      <c r="C10" s="9" t="s">
        <v>97</v>
      </c>
      <c r="D10" s="5"/>
      <c r="E10" s="10" t="s">
        <v>2</v>
      </c>
      <c r="F10" s="9" t="s">
        <v>98</v>
      </c>
      <c r="G10" s="6"/>
    </row>
    <row r="11" spans="1:7" ht="3.75" customHeight="1">
      <c r="A11" s="80"/>
      <c r="B11" s="5"/>
      <c r="C11" s="5"/>
      <c r="D11" s="5"/>
      <c r="E11" s="11"/>
      <c r="F11" s="5"/>
      <c r="G11" s="6"/>
    </row>
    <row r="12" spans="1:7">
      <c r="A12" s="80"/>
      <c r="B12" s="12" t="s">
        <v>3</v>
      </c>
      <c r="C12" s="9" t="s">
        <v>99</v>
      </c>
      <c r="D12" s="5"/>
      <c r="E12" s="10" t="s">
        <v>4</v>
      </c>
      <c r="F12" s="82" t="s">
        <v>100</v>
      </c>
      <c r="G12" s="6"/>
    </row>
    <row r="13" spans="1:7" ht="3.75" customHeight="1">
      <c r="A13" s="80"/>
      <c r="B13" s="5"/>
      <c r="C13" s="5"/>
      <c r="D13" s="5"/>
      <c r="E13" s="11"/>
      <c r="F13" s="5"/>
      <c r="G13" s="6"/>
    </row>
    <row r="14" spans="1:7">
      <c r="A14" s="80"/>
      <c r="B14" s="10" t="s">
        <v>5</v>
      </c>
      <c r="C14" s="9" t="s">
        <v>101</v>
      </c>
      <c r="D14" s="5"/>
      <c r="E14" s="10" t="s">
        <v>6</v>
      </c>
      <c r="F14" s="9" t="s">
        <v>107</v>
      </c>
      <c r="G14" s="6"/>
    </row>
    <row r="15" spans="1:7" ht="4.5" customHeight="1">
      <c r="A15" s="80"/>
      <c r="B15" s="13"/>
      <c r="C15" s="5"/>
      <c r="D15" s="5"/>
      <c r="E15" s="11"/>
      <c r="F15" s="5"/>
      <c r="G15" s="6"/>
    </row>
    <row r="16" spans="1:7">
      <c r="A16" s="80"/>
      <c r="B16" s="10" t="s">
        <v>7</v>
      </c>
      <c r="C16" s="9" t="s">
        <v>129</v>
      </c>
      <c r="D16" s="5"/>
      <c r="E16" s="11"/>
      <c r="F16" s="5"/>
      <c r="G16" s="6"/>
    </row>
    <row r="17" spans="1:7" ht="3.75" customHeight="1">
      <c r="A17" s="80"/>
      <c r="B17" s="5"/>
      <c r="C17" s="5"/>
      <c r="D17" s="5"/>
      <c r="E17" s="11"/>
      <c r="F17" s="5"/>
      <c r="G17" s="6"/>
    </row>
    <row r="18" spans="1:7">
      <c r="B18" s="14" t="s">
        <v>8</v>
      </c>
      <c r="C18" s="15" t="s">
        <v>103</v>
      </c>
      <c r="D18" s="5"/>
      <c r="E18" s="86" t="s">
        <v>109</v>
      </c>
      <c r="F18" s="87">
        <v>45292</v>
      </c>
      <c r="G18" s="6"/>
    </row>
    <row r="19" spans="1:7">
      <c r="B19" s="16" t="s">
        <v>9</v>
      </c>
      <c r="C19" s="17" t="s">
        <v>130</v>
      </c>
      <c r="D19" s="5"/>
      <c r="E19" s="88" t="s">
        <v>110</v>
      </c>
      <c r="F19" s="89">
        <v>45322</v>
      </c>
      <c r="G19" s="18"/>
    </row>
    <row r="20" spans="1:7" ht="15.75" thickBot="1">
      <c r="B20" s="4"/>
      <c r="C20" s="19"/>
      <c r="D20" s="19"/>
      <c r="E20" s="20"/>
      <c r="F20" s="21"/>
      <c r="G20" s="18"/>
    </row>
    <row r="21" spans="1:7" ht="18.75" thickBot="1">
      <c r="B21" s="4"/>
      <c r="C21" s="22" t="s">
        <v>10</v>
      </c>
      <c r="D21" s="23"/>
      <c r="E21" s="24"/>
      <c r="F21" s="25" t="s">
        <v>11</v>
      </c>
      <c r="G21" s="18"/>
    </row>
    <row r="22" spans="1:7">
      <c r="B22" s="4"/>
      <c r="C22" s="26" t="s">
        <v>12</v>
      </c>
      <c r="D22" s="26"/>
      <c r="E22" s="27">
        <v>10709.59024859505</v>
      </c>
      <c r="F22" s="28">
        <v>10709.59024859505</v>
      </c>
      <c r="G22" s="29"/>
    </row>
    <row r="23" spans="1:7">
      <c r="B23" s="30">
        <v>143</v>
      </c>
      <c r="C23" s="31" t="s">
        <v>13</v>
      </c>
      <c r="D23" s="31"/>
      <c r="E23" s="27">
        <v>4578.6174545454505</v>
      </c>
      <c r="F23" s="32">
        <v>4578.6174545454505</v>
      </c>
      <c r="G23" s="33"/>
    </row>
    <row r="24" spans="1:7">
      <c r="B24" s="30"/>
      <c r="C24" s="34" t="s">
        <v>14</v>
      </c>
      <c r="D24" s="34"/>
      <c r="E24" s="27">
        <v>0</v>
      </c>
      <c r="F24" s="32">
        <v>0</v>
      </c>
      <c r="G24" s="33"/>
    </row>
    <row r="25" spans="1:7">
      <c r="B25" s="30"/>
      <c r="C25" s="34" t="s">
        <v>15</v>
      </c>
      <c r="D25" s="34"/>
      <c r="E25" s="27">
        <v>0</v>
      </c>
      <c r="F25" s="32">
        <v>0</v>
      </c>
      <c r="G25" s="33"/>
    </row>
    <row r="26" spans="1:7">
      <c r="B26" s="30"/>
      <c r="C26" s="34" t="s">
        <v>16</v>
      </c>
      <c r="D26" s="34"/>
      <c r="E26" s="27">
        <v>0</v>
      </c>
      <c r="F26" s="32">
        <v>0</v>
      </c>
      <c r="G26" s="33"/>
    </row>
    <row r="27" spans="1:7">
      <c r="B27" s="30"/>
      <c r="C27" s="34" t="s">
        <v>17</v>
      </c>
      <c r="D27" s="34"/>
      <c r="E27" s="27">
        <v>0</v>
      </c>
      <c r="F27" s="32">
        <v>0</v>
      </c>
      <c r="G27" s="33"/>
    </row>
    <row r="28" spans="1:7">
      <c r="B28" s="30"/>
      <c r="C28" s="35" t="s">
        <v>18</v>
      </c>
      <c r="D28" s="35"/>
      <c r="E28" s="36">
        <v>15288.207703140501</v>
      </c>
      <c r="F28" s="37">
        <v>15288.207703140501</v>
      </c>
      <c r="G28" s="38"/>
    </row>
    <row r="29" spans="1:7" ht="15.75" thickBot="1">
      <c r="B29" s="30"/>
      <c r="C29" s="39"/>
      <c r="D29" s="39"/>
      <c r="E29" s="40"/>
      <c r="F29" s="41"/>
      <c r="G29" s="38"/>
    </row>
    <row r="30" spans="1:7" ht="18.75" thickBot="1">
      <c r="B30" s="30"/>
      <c r="C30" s="22" t="s">
        <v>19</v>
      </c>
      <c r="D30" s="23"/>
      <c r="E30" s="42"/>
      <c r="F30" s="43"/>
      <c r="G30" s="38"/>
    </row>
    <row r="31" spans="1:7">
      <c r="B31" s="44">
        <v>121</v>
      </c>
      <c r="C31" s="39" t="s">
        <v>20</v>
      </c>
      <c r="D31" s="39"/>
      <c r="E31" s="45"/>
      <c r="F31" s="46"/>
      <c r="G31" s="47"/>
    </row>
    <row r="32" spans="1:7">
      <c r="B32" s="44"/>
      <c r="C32" s="48" t="s">
        <v>21</v>
      </c>
      <c r="D32" s="48"/>
      <c r="E32" s="49">
        <v>296.77123636363604</v>
      </c>
      <c r="F32" s="50">
        <v>296.77123636363604</v>
      </c>
      <c r="G32" s="47"/>
    </row>
    <row r="33" spans="2:7">
      <c r="B33" s="44"/>
      <c r="C33" s="48" t="s">
        <v>22</v>
      </c>
      <c r="D33" s="48"/>
      <c r="E33" s="49">
        <v>305.25041454545385</v>
      </c>
      <c r="F33" s="50">
        <v>305.25041454545385</v>
      </c>
      <c r="G33" s="47"/>
    </row>
    <row r="34" spans="2:7">
      <c r="B34" s="51"/>
      <c r="C34" s="48" t="s">
        <v>23</v>
      </c>
      <c r="D34" s="48"/>
      <c r="E34" s="49">
        <v>364.60466181818146</v>
      </c>
      <c r="F34" s="50">
        <v>364.60466181818146</v>
      </c>
      <c r="G34" s="52"/>
    </row>
    <row r="35" spans="2:7">
      <c r="B35" s="51"/>
      <c r="C35" s="48" t="s">
        <v>24</v>
      </c>
      <c r="D35" s="48"/>
      <c r="E35" s="49">
        <v>249.75033917355319</v>
      </c>
      <c r="F35" s="50">
        <v>249.75033917355319</v>
      </c>
      <c r="G35" s="52"/>
    </row>
    <row r="36" spans="2:7">
      <c r="B36" s="44"/>
      <c r="C36" s="48" t="s">
        <v>25</v>
      </c>
      <c r="D36" s="48"/>
      <c r="E36" s="49">
        <v>0</v>
      </c>
      <c r="F36" s="50">
        <v>0</v>
      </c>
      <c r="G36" s="52"/>
    </row>
    <row r="37" spans="2:7">
      <c r="B37" s="44"/>
      <c r="C37" s="53" t="s">
        <v>26</v>
      </c>
      <c r="D37" s="53"/>
      <c r="E37" s="36">
        <v>1216.3766519008245</v>
      </c>
      <c r="F37" s="54">
        <v>1216.3766519008245</v>
      </c>
      <c r="G37" s="52"/>
    </row>
    <row r="38" spans="2:7">
      <c r="B38" s="44">
        <v>122</v>
      </c>
      <c r="C38" s="39" t="s">
        <v>27</v>
      </c>
      <c r="D38" s="39"/>
      <c r="E38" s="36"/>
      <c r="F38" s="50"/>
      <c r="G38" s="55"/>
    </row>
    <row r="39" spans="2:7">
      <c r="B39" s="44"/>
      <c r="C39" s="48" t="s">
        <v>28</v>
      </c>
      <c r="D39" s="48"/>
      <c r="E39" s="49">
        <v>144.14602909090897</v>
      </c>
      <c r="F39" s="50">
        <v>144.14602909090897</v>
      </c>
      <c r="G39" s="52"/>
    </row>
    <row r="40" spans="2:7">
      <c r="B40" s="44"/>
      <c r="C40" s="48" t="s">
        <v>29</v>
      </c>
      <c r="D40" s="48"/>
      <c r="E40" s="49">
        <v>0</v>
      </c>
      <c r="F40" s="50">
        <v>0</v>
      </c>
      <c r="G40" s="52"/>
    </row>
    <row r="41" spans="2:7">
      <c r="B41" s="44"/>
      <c r="C41" s="48" t="s">
        <v>30</v>
      </c>
      <c r="D41" s="48"/>
      <c r="E41" s="49">
        <v>191.16692628099148</v>
      </c>
      <c r="F41" s="50">
        <v>191.16692628099148</v>
      </c>
      <c r="G41" s="52"/>
    </row>
    <row r="42" spans="2:7">
      <c r="B42" s="44"/>
      <c r="C42" s="48" t="s">
        <v>31</v>
      </c>
      <c r="D42" s="48"/>
      <c r="E42" s="49">
        <v>33.916712727272696</v>
      </c>
      <c r="F42" s="50">
        <v>33.916712727272696</v>
      </c>
      <c r="G42" s="52"/>
    </row>
    <row r="43" spans="2:7">
      <c r="B43" s="44"/>
      <c r="C43" s="48" t="s">
        <v>32</v>
      </c>
      <c r="D43" s="48"/>
      <c r="E43" s="49">
        <v>135.66685090909078</v>
      </c>
      <c r="F43" s="50">
        <v>135.66685090909078</v>
      </c>
      <c r="G43" s="52"/>
    </row>
    <row r="44" spans="2:7">
      <c r="B44" s="44"/>
      <c r="C44" s="48" t="s">
        <v>33</v>
      </c>
      <c r="D44" s="48"/>
      <c r="E44" s="49">
        <v>0</v>
      </c>
      <c r="F44" s="50">
        <v>0</v>
      </c>
      <c r="G44" s="52"/>
    </row>
    <row r="45" spans="2:7">
      <c r="B45" s="44"/>
      <c r="C45" s="48" t="s">
        <v>34</v>
      </c>
      <c r="D45" s="48"/>
      <c r="E45" s="49">
        <v>0</v>
      </c>
      <c r="F45" s="50">
        <v>0</v>
      </c>
      <c r="G45" s="52"/>
    </row>
    <row r="46" spans="2:7">
      <c r="B46" s="44"/>
      <c r="C46" s="48" t="s">
        <v>35</v>
      </c>
      <c r="D46" s="48"/>
      <c r="E46" s="49">
        <v>0</v>
      </c>
      <c r="F46" s="50">
        <v>0</v>
      </c>
      <c r="G46" s="52"/>
    </row>
    <row r="47" spans="2:7">
      <c r="B47" s="44"/>
      <c r="C47" s="53" t="s">
        <v>26</v>
      </c>
      <c r="D47" s="53"/>
      <c r="E47" s="36">
        <v>504.89651900826391</v>
      </c>
      <c r="F47" s="54">
        <v>504.89651900826391</v>
      </c>
      <c r="G47" s="52"/>
    </row>
    <row r="48" spans="2:7">
      <c r="B48" s="44">
        <v>123</v>
      </c>
      <c r="C48" s="39" t="s">
        <v>36</v>
      </c>
      <c r="D48" s="39"/>
      <c r="E48" s="56"/>
      <c r="F48" s="57"/>
      <c r="G48" s="52"/>
    </row>
    <row r="49" spans="2:7">
      <c r="B49" s="44"/>
      <c r="C49" s="48" t="s">
        <v>37</v>
      </c>
      <c r="D49" s="48"/>
      <c r="E49" s="49">
        <v>123.33350082644611</v>
      </c>
      <c r="F49" s="50">
        <v>123.33350082644611</v>
      </c>
      <c r="G49" s="52"/>
    </row>
    <row r="50" spans="2:7">
      <c r="B50" s="44"/>
      <c r="C50" s="48" t="s">
        <v>38</v>
      </c>
      <c r="D50" s="48"/>
      <c r="E50" s="49">
        <v>0</v>
      </c>
      <c r="F50" s="50">
        <v>0</v>
      </c>
      <c r="G50" s="52"/>
    </row>
    <row r="51" spans="2:7">
      <c r="B51" s="44"/>
      <c r="C51" s="48" t="s">
        <v>39</v>
      </c>
      <c r="D51" s="48"/>
      <c r="E51" s="49">
        <v>144.91686347107415</v>
      </c>
      <c r="F51" s="50">
        <v>144.91686347107415</v>
      </c>
      <c r="G51" s="52"/>
    </row>
    <row r="52" spans="2:7">
      <c r="B52" s="44"/>
      <c r="C52" s="48" t="s">
        <v>40</v>
      </c>
      <c r="D52" s="48"/>
      <c r="E52" s="49">
        <v>111.00015074380143</v>
      </c>
      <c r="F52" s="50">
        <v>111.00015074380143</v>
      </c>
      <c r="G52" s="52"/>
    </row>
    <row r="53" spans="2:7">
      <c r="B53" s="44"/>
      <c r="C53" s="48" t="s">
        <v>41</v>
      </c>
      <c r="D53" s="48"/>
      <c r="E53" s="49">
        <v>0</v>
      </c>
      <c r="F53" s="50">
        <v>0</v>
      </c>
      <c r="G53" s="52"/>
    </row>
    <row r="54" spans="2:7">
      <c r="B54" s="44"/>
      <c r="C54" s="48" t="s">
        <v>42</v>
      </c>
      <c r="D54" s="48"/>
      <c r="E54" s="49">
        <v>195.02109818181799</v>
      </c>
      <c r="F54" s="50">
        <v>195.02109818181799</v>
      </c>
      <c r="G54" s="52"/>
    </row>
    <row r="55" spans="2:7">
      <c r="B55" s="44"/>
      <c r="C55" s="53" t="s">
        <v>26</v>
      </c>
      <c r="D55" s="53"/>
      <c r="E55" s="36">
        <v>574.27161322313964</v>
      </c>
      <c r="F55" s="54">
        <v>574.27161322313964</v>
      </c>
      <c r="G55" s="52"/>
    </row>
    <row r="56" spans="2:7">
      <c r="B56" s="44">
        <v>124</v>
      </c>
      <c r="C56" s="39" t="s">
        <v>43</v>
      </c>
      <c r="D56" s="39"/>
      <c r="E56" s="56"/>
      <c r="F56" s="57"/>
      <c r="G56" s="52"/>
    </row>
    <row r="57" spans="2:7">
      <c r="B57" s="44"/>
      <c r="C57" s="48" t="s">
        <v>44</v>
      </c>
      <c r="D57" s="48"/>
      <c r="E57" s="49">
        <v>366.91716495867701</v>
      </c>
      <c r="F57" s="50">
        <v>366.91716495867701</v>
      </c>
      <c r="G57" s="52"/>
    </row>
    <row r="58" spans="2:7">
      <c r="B58" s="44"/>
      <c r="C58" s="48" t="s">
        <v>45</v>
      </c>
      <c r="D58" s="48"/>
      <c r="E58" s="49">
        <v>0</v>
      </c>
      <c r="F58" s="50">
        <v>0</v>
      </c>
      <c r="G58" s="52"/>
    </row>
    <row r="59" spans="2:7">
      <c r="B59" s="44"/>
      <c r="C59" s="48" t="s">
        <v>46</v>
      </c>
      <c r="D59" s="48"/>
      <c r="E59" s="49">
        <v>0</v>
      </c>
      <c r="F59" s="50">
        <v>0</v>
      </c>
      <c r="G59" s="52"/>
    </row>
    <row r="60" spans="2:7">
      <c r="B60" s="44"/>
      <c r="C60" s="53" t="s">
        <v>26</v>
      </c>
      <c r="D60" s="53"/>
      <c r="E60" s="36">
        <v>366.91716495867701</v>
      </c>
      <c r="F60" s="54">
        <v>366.91716495867701</v>
      </c>
      <c r="G60" s="52"/>
    </row>
    <row r="61" spans="2:7">
      <c r="B61" s="44">
        <v>125</v>
      </c>
      <c r="C61" s="39" t="s">
        <v>47</v>
      </c>
      <c r="D61" s="39"/>
      <c r="E61" s="36"/>
      <c r="F61" s="50"/>
      <c r="G61" s="52"/>
    </row>
    <row r="62" spans="2:7">
      <c r="B62" s="44"/>
      <c r="C62" s="48" t="s">
        <v>48</v>
      </c>
      <c r="D62" s="48"/>
      <c r="E62" s="58">
        <v>0</v>
      </c>
      <c r="F62" s="50">
        <v>0</v>
      </c>
      <c r="G62" s="52"/>
    </row>
    <row r="63" spans="2:7">
      <c r="B63" s="44"/>
      <c r="C63" s="48" t="s">
        <v>49</v>
      </c>
      <c r="D63" s="48"/>
      <c r="E63" s="58">
        <v>0</v>
      </c>
      <c r="F63" s="50">
        <v>0</v>
      </c>
      <c r="G63" s="52"/>
    </row>
    <row r="64" spans="2:7">
      <c r="B64" s="44"/>
      <c r="C64" s="48" t="s">
        <v>50</v>
      </c>
      <c r="D64" s="48"/>
      <c r="E64" s="58">
        <v>593.54247272727218</v>
      </c>
      <c r="F64" s="50">
        <v>593.54247272727218</v>
      </c>
      <c r="G64" s="52"/>
    </row>
    <row r="65" spans="2:7">
      <c r="B65" s="44"/>
      <c r="C65" s="48" t="s">
        <v>51</v>
      </c>
      <c r="D65" s="48"/>
      <c r="E65" s="58">
        <v>135.66685090909078</v>
      </c>
      <c r="F65" s="50">
        <v>135.66685090909078</v>
      </c>
      <c r="G65" s="52"/>
    </row>
    <row r="66" spans="2:7">
      <c r="B66" s="44"/>
      <c r="C66" s="53" t="s">
        <v>26</v>
      </c>
      <c r="D66" s="53"/>
      <c r="E66" s="56">
        <v>729.20932363636302</v>
      </c>
      <c r="F66" s="54">
        <v>729.20932363636302</v>
      </c>
      <c r="G66" s="52"/>
    </row>
    <row r="67" spans="2:7">
      <c r="B67" s="44">
        <v>126</v>
      </c>
      <c r="C67" s="39" t="s">
        <v>52</v>
      </c>
      <c r="D67" s="39"/>
      <c r="E67" s="56"/>
      <c r="F67" s="50"/>
      <c r="G67" s="52"/>
    </row>
    <row r="68" spans="2:7">
      <c r="B68" s="44"/>
      <c r="C68" s="48" t="s">
        <v>53</v>
      </c>
      <c r="D68" s="48"/>
      <c r="E68" s="49">
        <v>0</v>
      </c>
      <c r="F68" s="50">
        <v>0</v>
      </c>
      <c r="G68" s="52"/>
    </row>
    <row r="69" spans="2:7">
      <c r="B69" s="44"/>
      <c r="C69" s="48" t="s">
        <v>54</v>
      </c>
      <c r="D69" s="48"/>
      <c r="E69" s="49">
        <v>0</v>
      </c>
      <c r="F69" s="50"/>
      <c r="G69" s="52"/>
    </row>
    <row r="70" spans="2:7">
      <c r="B70" s="44"/>
      <c r="C70" s="48" t="s">
        <v>55</v>
      </c>
      <c r="D70" s="48"/>
      <c r="E70" s="49">
        <v>0</v>
      </c>
      <c r="F70" s="50"/>
      <c r="G70" s="52"/>
    </row>
    <row r="71" spans="2:7">
      <c r="B71" s="44"/>
      <c r="C71" s="48" t="s">
        <v>56</v>
      </c>
      <c r="D71" s="48"/>
      <c r="E71" s="49">
        <v>0</v>
      </c>
      <c r="F71" s="57"/>
      <c r="G71" s="52"/>
    </row>
    <row r="72" spans="2:7">
      <c r="B72" s="44"/>
      <c r="C72" s="53" t="s">
        <v>26</v>
      </c>
      <c r="D72" s="53"/>
      <c r="E72" s="56">
        <v>0</v>
      </c>
      <c r="F72" s="54">
        <v>0</v>
      </c>
      <c r="G72" s="52"/>
    </row>
    <row r="73" spans="2:7">
      <c r="B73" s="44">
        <v>127</v>
      </c>
      <c r="C73" s="39" t="s">
        <v>57</v>
      </c>
      <c r="D73" s="39"/>
      <c r="E73" s="56"/>
      <c r="F73" s="54"/>
      <c r="G73" s="52"/>
    </row>
    <row r="74" spans="2:7">
      <c r="B74" s="44"/>
      <c r="C74" s="48" t="s">
        <v>58</v>
      </c>
      <c r="D74" s="48"/>
      <c r="E74" s="49">
        <v>0</v>
      </c>
      <c r="F74" s="50">
        <v>0</v>
      </c>
      <c r="G74" s="52"/>
    </row>
    <row r="75" spans="2:7">
      <c r="B75" s="44"/>
      <c r="C75" s="48" t="s">
        <v>59</v>
      </c>
      <c r="D75" s="48"/>
      <c r="E75" s="49">
        <v>0</v>
      </c>
      <c r="F75" s="50">
        <v>0</v>
      </c>
      <c r="G75" s="52"/>
    </row>
    <row r="76" spans="2:7">
      <c r="B76" s="44"/>
      <c r="C76" s="48" t="s">
        <v>60</v>
      </c>
      <c r="D76" s="48"/>
      <c r="E76" s="49">
        <v>0</v>
      </c>
      <c r="F76" s="50">
        <v>0</v>
      </c>
      <c r="G76" s="52"/>
    </row>
    <row r="77" spans="2:7">
      <c r="B77" s="44"/>
      <c r="C77" s="59" t="s">
        <v>61</v>
      </c>
      <c r="D77" s="59"/>
      <c r="E77" s="49">
        <v>0</v>
      </c>
      <c r="F77" s="50">
        <v>0</v>
      </c>
      <c r="G77" s="52"/>
    </row>
    <row r="78" spans="2:7">
      <c r="B78" s="44"/>
      <c r="C78" s="53" t="s">
        <v>26</v>
      </c>
      <c r="D78" s="53"/>
      <c r="E78" s="56">
        <v>0</v>
      </c>
      <c r="F78" s="54">
        <v>0</v>
      </c>
      <c r="G78" s="52"/>
    </row>
    <row r="79" spans="2:7">
      <c r="B79" s="44">
        <v>128</v>
      </c>
      <c r="C79" s="39" t="s">
        <v>62</v>
      </c>
      <c r="D79" s="39"/>
      <c r="E79" s="56"/>
      <c r="F79" s="54"/>
      <c r="G79" s="52"/>
    </row>
    <row r="80" spans="2:7">
      <c r="B80" s="44"/>
      <c r="C80" s="48" t="s">
        <v>63</v>
      </c>
      <c r="D80" s="48"/>
      <c r="E80" s="49">
        <v>0</v>
      </c>
      <c r="F80" s="50">
        <v>0</v>
      </c>
      <c r="G80" s="52"/>
    </row>
    <row r="81" spans="2:7">
      <c r="B81" s="44"/>
      <c r="C81" s="48" t="s">
        <v>64</v>
      </c>
      <c r="D81" s="48"/>
      <c r="E81" s="49">
        <v>0</v>
      </c>
      <c r="F81" s="50">
        <v>0</v>
      </c>
      <c r="G81" s="52"/>
    </row>
    <row r="82" spans="2:7">
      <c r="B82" s="44"/>
      <c r="C82" s="48" t="s">
        <v>65</v>
      </c>
      <c r="D82" s="48"/>
      <c r="E82" s="49">
        <v>0</v>
      </c>
      <c r="F82" s="50">
        <v>0</v>
      </c>
      <c r="G82" s="52"/>
    </row>
    <row r="83" spans="2:7">
      <c r="B83" s="44"/>
      <c r="C83" s="48" t="s">
        <v>66</v>
      </c>
      <c r="D83" s="48"/>
      <c r="E83" s="49">
        <v>0</v>
      </c>
      <c r="F83" s="50">
        <v>0</v>
      </c>
      <c r="G83" s="52"/>
    </row>
    <row r="84" spans="2:7">
      <c r="B84" s="44"/>
      <c r="C84" s="48" t="s">
        <v>67</v>
      </c>
      <c r="D84" s="48"/>
      <c r="E84" s="49">
        <v>0</v>
      </c>
      <c r="F84" s="50">
        <v>0</v>
      </c>
      <c r="G84" s="52"/>
    </row>
    <row r="85" spans="2:7">
      <c r="B85" s="44"/>
      <c r="C85" s="53" t="s">
        <v>26</v>
      </c>
      <c r="D85" s="53"/>
      <c r="E85" s="56">
        <v>0</v>
      </c>
      <c r="F85" s="54">
        <v>0</v>
      </c>
      <c r="G85" s="52"/>
    </row>
    <row r="86" spans="2:7">
      <c r="B86" s="44">
        <v>135</v>
      </c>
      <c r="C86" s="39" t="s">
        <v>68</v>
      </c>
      <c r="D86" s="39"/>
      <c r="E86" s="56"/>
      <c r="F86" s="50"/>
      <c r="G86" s="52"/>
    </row>
    <row r="87" spans="2:7">
      <c r="B87" s="44"/>
      <c r="C87" s="48" t="s">
        <v>69</v>
      </c>
      <c r="D87" s="48"/>
      <c r="E87" s="49">
        <v>0</v>
      </c>
      <c r="F87" s="50">
        <v>0</v>
      </c>
      <c r="G87" s="52"/>
    </row>
    <row r="88" spans="2:7">
      <c r="B88" s="44"/>
      <c r="C88" s="48" t="s">
        <v>70</v>
      </c>
      <c r="D88" s="48"/>
      <c r="E88" s="49">
        <v>0</v>
      </c>
      <c r="F88" s="50">
        <v>0</v>
      </c>
      <c r="G88" s="52"/>
    </row>
    <row r="89" spans="2:7">
      <c r="B89" s="44"/>
      <c r="C89" s="48" t="s">
        <v>71</v>
      </c>
      <c r="D89" s="48"/>
      <c r="E89" s="49">
        <v>0</v>
      </c>
      <c r="F89" s="50">
        <v>0</v>
      </c>
      <c r="G89" s="52"/>
    </row>
    <row r="90" spans="2:7">
      <c r="B90" s="44"/>
      <c r="C90" s="48" t="s">
        <v>72</v>
      </c>
      <c r="D90" s="48"/>
      <c r="E90" s="49">
        <v>0</v>
      </c>
      <c r="F90" s="50">
        <v>0</v>
      </c>
      <c r="G90" s="52"/>
    </row>
    <row r="91" spans="2:7">
      <c r="B91" s="44"/>
      <c r="C91" s="48" t="s">
        <v>73</v>
      </c>
      <c r="D91" s="48"/>
      <c r="E91" s="49">
        <v>0</v>
      </c>
      <c r="F91" s="50">
        <v>0</v>
      </c>
      <c r="G91" s="52"/>
    </row>
    <row r="92" spans="2:7">
      <c r="B92" s="44"/>
      <c r="C92" s="48" t="s">
        <v>74</v>
      </c>
      <c r="D92" s="48"/>
      <c r="E92" s="49">
        <v>0</v>
      </c>
      <c r="F92" s="50">
        <v>0</v>
      </c>
      <c r="G92" s="52"/>
    </row>
    <row r="93" spans="2:7">
      <c r="B93" s="44"/>
      <c r="C93" s="48" t="s">
        <v>75</v>
      </c>
      <c r="D93" s="48"/>
      <c r="E93" s="49">
        <v>0</v>
      </c>
      <c r="F93" s="50">
        <v>0</v>
      </c>
      <c r="G93" s="52"/>
    </row>
    <row r="94" spans="2:7">
      <c r="B94" s="44"/>
      <c r="C94" s="48" t="s">
        <v>76</v>
      </c>
      <c r="D94" s="48"/>
      <c r="E94" s="49">
        <v>0</v>
      </c>
      <c r="F94" s="50">
        <v>0</v>
      </c>
      <c r="G94" s="52"/>
    </row>
    <row r="95" spans="2:7">
      <c r="B95" s="44"/>
      <c r="C95" s="48" t="s">
        <v>77</v>
      </c>
      <c r="D95" s="48"/>
      <c r="E95" s="49">
        <v>0</v>
      </c>
      <c r="F95" s="50">
        <v>0</v>
      </c>
      <c r="G95" s="52"/>
    </row>
    <row r="96" spans="2:7">
      <c r="B96" s="44"/>
      <c r="C96" s="53" t="s">
        <v>26</v>
      </c>
      <c r="D96" s="53"/>
      <c r="E96" s="56">
        <v>0</v>
      </c>
      <c r="F96" s="54">
        <v>0</v>
      </c>
      <c r="G96" s="52"/>
    </row>
    <row r="97" spans="2:7">
      <c r="B97" s="44">
        <v>136</v>
      </c>
      <c r="C97" s="39" t="s">
        <v>78</v>
      </c>
      <c r="D97" s="39"/>
      <c r="E97" s="56"/>
      <c r="F97" s="50"/>
      <c r="G97" s="52"/>
    </row>
    <row r="98" spans="2:7">
      <c r="B98" s="44"/>
      <c r="C98" s="48" t="s">
        <v>79</v>
      </c>
      <c r="D98" s="48"/>
      <c r="E98" s="49">
        <v>0</v>
      </c>
      <c r="F98" s="50">
        <v>0</v>
      </c>
      <c r="G98" s="52"/>
    </row>
    <row r="99" spans="2:7">
      <c r="B99" s="44"/>
      <c r="C99" s="48" t="s">
        <v>80</v>
      </c>
      <c r="D99" s="48"/>
      <c r="E99" s="49">
        <v>0</v>
      </c>
      <c r="F99" s="50">
        <v>0</v>
      </c>
      <c r="G99" s="52"/>
    </row>
    <row r="100" spans="2:7">
      <c r="B100" s="44"/>
      <c r="C100" s="48" t="s">
        <v>81</v>
      </c>
      <c r="D100" s="48"/>
      <c r="E100" s="49">
        <v>0</v>
      </c>
      <c r="F100" s="50">
        <v>0</v>
      </c>
      <c r="G100" s="52"/>
    </row>
    <row r="101" spans="2:7">
      <c r="B101" s="44"/>
      <c r="C101" s="48" t="s">
        <v>82</v>
      </c>
      <c r="D101" s="48"/>
      <c r="E101" s="49">
        <v>0</v>
      </c>
      <c r="F101" s="50">
        <v>0</v>
      </c>
      <c r="G101" s="52"/>
    </row>
    <row r="102" spans="2:7">
      <c r="B102" s="44"/>
      <c r="C102" s="48" t="s">
        <v>83</v>
      </c>
      <c r="D102" s="48"/>
      <c r="E102" s="49">
        <v>0</v>
      </c>
      <c r="F102" s="50">
        <v>0</v>
      </c>
      <c r="G102" s="52"/>
    </row>
    <row r="103" spans="2:7">
      <c r="B103" s="44"/>
      <c r="C103" s="48" t="s">
        <v>84</v>
      </c>
      <c r="D103" s="48"/>
      <c r="E103" s="49">
        <v>0</v>
      </c>
      <c r="F103" s="50">
        <v>0</v>
      </c>
      <c r="G103" s="52"/>
    </row>
    <row r="104" spans="2:7">
      <c r="B104" s="44"/>
      <c r="C104" s="53" t="s">
        <v>26</v>
      </c>
      <c r="D104" s="53"/>
      <c r="E104" s="56">
        <v>0</v>
      </c>
      <c r="F104" s="54">
        <v>0</v>
      </c>
      <c r="G104" s="52"/>
    </row>
    <row r="105" spans="2:7">
      <c r="B105" s="44">
        <v>142</v>
      </c>
      <c r="C105" s="39" t="s">
        <v>85</v>
      </c>
      <c r="D105" s="39"/>
      <c r="E105" s="56"/>
      <c r="F105" s="50"/>
      <c r="G105" s="52"/>
    </row>
    <row r="106" spans="2:7">
      <c r="B106" s="44"/>
      <c r="C106" s="48" t="s">
        <v>86</v>
      </c>
      <c r="D106" s="48"/>
      <c r="E106" s="49">
        <v>0</v>
      </c>
      <c r="F106" s="50">
        <v>0</v>
      </c>
      <c r="G106" s="52"/>
    </row>
    <row r="107" spans="2:7">
      <c r="B107" s="44"/>
      <c r="C107" s="48" t="s">
        <v>87</v>
      </c>
      <c r="D107" s="48"/>
      <c r="E107" s="49">
        <v>0</v>
      </c>
      <c r="F107" s="50">
        <v>0</v>
      </c>
      <c r="G107" s="52"/>
    </row>
    <row r="108" spans="2:7">
      <c r="B108" s="44"/>
      <c r="C108" s="53" t="s">
        <v>26</v>
      </c>
      <c r="D108" s="53"/>
      <c r="E108" s="56">
        <v>0</v>
      </c>
      <c r="F108" s="54">
        <v>0</v>
      </c>
      <c r="G108" s="52"/>
    </row>
    <row r="109" spans="2:7">
      <c r="B109" s="44">
        <v>144</v>
      </c>
      <c r="C109" s="39" t="s">
        <v>88</v>
      </c>
      <c r="D109" s="39"/>
      <c r="E109" s="49">
        <v>0</v>
      </c>
      <c r="F109" s="54">
        <v>0</v>
      </c>
      <c r="G109" s="52"/>
    </row>
    <row r="110" spans="2:7">
      <c r="B110" s="44">
        <v>221</v>
      </c>
      <c r="C110" s="39" t="s">
        <v>89</v>
      </c>
      <c r="D110" s="39"/>
      <c r="E110" s="49">
        <v>0</v>
      </c>
      <c r="F110" s="54">
        <v>0</v>
      </c>
      <c r="G110" s="52"/>
    </row>
    <row r="111" spans="2:7">
      <c r="B111" s="44">
        <v>222</v>
      </c>
      <c r="C111" s="39" t="s">
        <v>90</v>
      </c>
      <c r="D111" s="39"/>
      <c r="E111" s="49">
        <v>0</v>
      </c>
      <c r="F111" s="54">
        <v>0</v>
      </c>
      <c r="G111" s="52"/>
    </row>
    <row r="112" spans="2:7">
      <c r="B112" s="44">
        <v>224</v>
      </c>
      <c r="C112" s="39" t="s">
        <v>91</v>
      </c>
      <c r="D112" s="39"/>
      <c r="E112" s="49">
        <v>0</v>
      </c>
      <c r="F112" s="54">
        <v>0</v>
      </c>
      <c r="G112" s="52"/>
    </row>
    <row r="113" spans="2:7">
      <c r="B113" s="44">
        <v>225</v>
      </c>
      <c r="C113" s="39" t="s">
        <v>92</v>
      </c>
      <c r="D113" s="39"/>
      <c r="E113" s="49">
        <v>0</v>
      </c>
      <c r="F113" s="54">
        <v>0</v>
      </c>
      <c r="G113" s="38"/>
    </row>
    <row r="114" spans="2:7">
      <c r="B114" s="44">
        <v>226</v>
      </c>
      <c r="C114" s="39" t="s">
        <v>93</v>
      </c>
      <c r="D114" s="39"/>
      <c r="E114" s="49">
        <v>0</v>
      </c>
      <c r="F114" s="54">
        <v>0</v>
      </c>
      <c r="G114" s="60"/>
    </row>
    <row r="115" spans="2:7" ht="15.75" thickBot="1">
      <c r="B115" s="61"/>
      <c r="C115" s="62" t="s">
        <v>94</v>
      </c>
      <c r="D115" s="62"/>
      <c r="E115" s="90">
        <v>0</v>
      </c>
      <c r="F115" s="63">
        <v>0</v>
      </c>
      <c r="G115" s="38"/>
    </row>
    <row r="116" spans="2:7">
      <c r="B116" s="64"/>
      <c r="C116" s="65" t="s">
        <v>95</v>
      </c>
      <c r="D116" s="66"/>
      <c r="E116" s="91">
        <v>3391.6712727272684</v>
      </c>
      <c r="F116" s="68">
        <v>3391.6712727272684</v>
      </c>
      <c r="G116" s="69"/>
    </row>
    <row r="117" spans="2:7" ht="15.75" thickBot="1">
      <c r="B117" s="64"/>
      <c r="C117" s="70"/>
      <c r="D117" s="71"/>
      <c r="E117" s="92"/>
      <c r="F117" s="73"/>
      <c r="G117" s="69"/>
    </row>
    <row r="118" spans="2:7" ht="15.75" thickBot="1">
      <c r="B118" s="64"/>
      <c r="C118" s="70" t="s">
        <v>96</v>
      </c>
      <c r="D118" s="71"/>
      <c r="E118" s="93">
        <v>11896.536430413233</v>
      </c>
      <c r="F118" s="75">
        <v>11896.536430413233</v>
      </c>
      <c r="G118" s="76"/>
    </row>
    <row r="119" spans="2:7" ht="8.25" customHeight="1" thickBot="1">
      <c r="B119" s="77"/>
      <c r="C119" s="81"/>
      <c r="D119" s="81"/>
      <c r="E119" s="78"/>
      <c r="F119" s="78"/>
      <c r="G119" s="79"/>
    </row>
    <row r="120" spans="2:7">
      <c r="B120" s="83"/>
      <c r="C120" s="84"/>
      <c r="D120" s="84"/>
      <c r="E120" s="85"/>
      <c r="F120" s="83"/>
      <c r="G120" s="85"/>
    </row>
    <row r="121" spans="2:7" ht="6" customHeight="1" thickBot="1"/>
    <row r="122" spans="2:7">
      <c r="B122" s="1"/>
      <c r="C122" s="2"/>
      <c r="D122" s="2"/>
      <c r="E122" s="2"/>
      <c r="F122" s="2"/>
      <c r="G122" s="3"/>
    </row>
    <row r="123" spans="2:7">
      <c r="B123" s="4"/>
      <c r="C123" s="5"/>
      <c r="D123" s="5"/>
      <c r="E123" s="5"/>
      <c r="F123" s="5"/>
      <c r="G123" s="6"/>
    </row>
    <row r="124" spans="2:7">
      <c r="B124" s="4"/>
      <c r="C124" s="5"/>
      <c r="D124" s="5"/>
      <c r="E124" s="5"/>
      <c r="F124" s="5"/>
      <c r="G124" s="6"/>
    </row>
    <row r="125" spans="2:7">
      <c r="B125" s="4"/>
      <c r="C125" s="5"/>
      <c r="D125" s="5"/>
      <c r="E125" s="5"/>
      <c r="F125" s="5"/>
      <c r="G125" s="6"/>
    </row>
    <row r="126" spans="2:7">
      <c r="B126" s="4"/>
      <c r="C126" s="5"/>
      <c r="D126" s="5"/>
      <c r="E126" s="5"/>
      <c r="F126" s="5"/>
      <c r="G126" s="6"/>
    </row>
    <row r="127" spans="2:7" ht="16.5" customHeight="1">
      <c r="B127" s="4"/>
      <c r="C127" s="5"/>
      <c r="D127" s="5"/>
      <c r="E127" s="5"/>
      <c r="F127" s="5"/>
      <c r="G127" s="6"/>
    </row>
    <row r="128" spans="2:7" ht="22.5" customHeight="1" thickBot="1">
      <c r="B128" s="4"/>
      <c r="C128" s="95" t="s">
        <v>0</v>
      </c>
      <c r="D128" s="95"/>
      <c r="E128" s="95"/>
      <c r="F128" s="5"/>
      <c r="G128" s="6"/>
    </row>
    <row r="129" spans="1:7" ht="21" thickTop="1">
      <c r="B129" s="4"/>
      <c r="C129" s="7"/>
      <c r="D129" s="7"/>
      <c r="E129" s="5"/>
      <c r="F129" s="5"/>
      <c r="G129" s="6"/>
    </row>
    <row r="130" spans="1:7">
      <c r="B130" s="8" t="s">
        <v>1</v>
      </c>
      <c r="C130" s="9" t="s">
        <v>97</v>
      </c>
      <c r="D130" s="5"/>
      <c r="E130" s="10" t="s">
        <v>2</v>
      </c>
      <c r="F130" s="9" t="s">
        <v>98</v>
      </c>
      <c r="G130" s="6"/>
    </row>
    <row r="131" spans="1:7" ht="3.75" customHeight="1">
      <c r="A131" s="80"/>
      <c r="B131" s="5"/>
      <c r="C131" s="5"/>
      <c r="D131" s="5"/>
      <c r="E131" s="11"/>
      <c r="F131" s="5"/>
      <c r="G131" s="6"/>
    </row>
    <row r="132" spans="1:7">
      <c r="A132" s="80"/>
      <c r="B132" s="12" t="s">
        <v>3</v>
      </c>
      <c r="C132" s="9" t="s">
        <v>99</v>
      </c>
      <c r="D132" s="5"/>
      <c r="E132" s="10" t="s">
        <v>4</v>
      </c>
      <c r="F132" s="82" t="s">
        <v>100</v>
      </c>
      <c r="G132" s="6"/>
    </row>
    <row r="133" spans="1:7" ht="3.75" customHeight="1">
      <c r="A133" s="80"/>
      <c r="B133" s="5"/>
      <c r="C133" s="5"/>
      <c r="D133" s="5"/>
      <c r="E133" s="11"/>
      <c r="F133" s="5"/>
      <c r="G133" s="6"/>
    </row>
    <row r="134" spans="1:7">
      <c r="A134" s="80"/>
      <c r="B134" s="10" t="s">
        <v>5</v>
      </c>
      <c r="C134" s="9" t="s">
        <v>101</v>
      </c>
      <c r="D134" s="5"/>
      <c r="E134" s="10" t="s">
        <v>6</v>
      </c>
      <c r="F134" s="9" t="s">
        <v>107</v>
      </c>
      <c r="G134" s="6"/>
    </row>
    <row r="135" spans="1:7" ht="4.5" customHeight="1">
      <c r="A135" s="80"/>
      <c r="B135" s="13"/>
      <c r="C135" s="5"/>
      <c r="D135" s="5"/>
      <c r="E135" s="11"/>
      <c r="F135" s="5"/>
      <c r="G135" s="6"/>
    </row>
    <row r="136" spans="1:7">
      <c r="A136" s="80"/>
      <c r="B136" s="10" t="s">
        <v>7</v>
      </c>
      <c r="C136" s="9" t="s">
        <v>129</v>
      </c>
      <c r="D136" s="5"/>
      <c r="E136" s="11"/>
      <c r="F136" s="5"/>
      <c r="G136" s="6"/>
    </row>
    <row r="137" spans="1:7" ht="3.75" customHeight="1">
      <c r="A137" s="80"/>
      <c r="B137" s="5"/>
      <c r="C137" s="5"/>
      <c r="D137" s="5"/>
      <c r="E137" s="11"/>
      <c r="F137" s="5"/>
      <c r="G137" s="6"/>
    </row>
    <row r="138" spans="1:7">
      <c r="B138" s="14" t="s">
        <v>8</v>
      </c>
      <c r="C138" s="15" t="s">
        <v>104</v>
      </c>
      <c r="D138" s="5"/>
      <c r="E138" s="86" t="s">
        <v>109</v>
      </c>
      <c r="F138" s="87">
        <v>45323</v>
      </c>
      <c r="G138" s="6"/>
    </row>
    <row r="139" spans="1:7">
      <c r="B139" s="16" t="s">
        <v>9</v>
      </c>
      <c r="C139" s="17" t="s">
        <v>130</v>
      </c>
      <c r="D139" s="5"/>
      <c r="E139" s="88" t="s">
        <v>110</v>
      </c>
      <c r="F139" s="89">
        <v>45351</v>
      </c>
      <c r="G139" s="18"/>
    </row>
    <row r="140" spans="1:7" ht="15.75" thickBot="1">
      <c r="B140" s="4"/>
      <c r="C140" s="19"/>
      <c r="D140" s="19"/>
      <c r="E140" s="20"/>
      <c r="F140" s="21"/>
      <c r="G140" s="18"/>
    </row>
    <row r="141" spans="1:7" ht="18.75" thickBot="1">
      <c r="B141" s="4"/>
      <c r="C141" s="22" t="s">
        <v>10</v>
      </c>
      <c r="D141" s="23"/>
      <c r="E141" s="24"/>
      <c r="F141" s="25" t="s">
        <v>11</v>
      </c>
      <c r="G141" s="18"/>
    </row>
    <row r="142" spans="1:7">
      <c r="B142" s="4"/>
      <c r="C142" s="26" t="s">
        <v>12</v>
      </c>
      <c r="D142" s="26"/>
      <c r="E142" s="27">
        <v>11896.536430413233</v>
      </c>
      <c r="F142" s="28">
        <v>11896.536430413233</v>
      </c>
      <c r="G142" s="29"/>
    </row>
    <row r="143" spans="1:7">
      <c r="B143" s="30">
        <v>143</v>
      </c>
      <c r="C143" s="31" t="s">
        <v>13</v>
      </c>
      <c r="D143" s="31"/>
      <c r="E143" s="27">
        <v>4578.6174545454505</v>
      </c>
      <c r="F143" s="32">
        <v>4578.6174545454505</v>
      </c>
      <c r="G143" s="33"/>
    </row>
    <row r="144" spans="1:7">
      <c r="B144" s="30"/>
      <c r="C144" s="34" t="s">
        <v>14</v>
      </c>
      <c r="D144" s="34"/>
      <c r="E144" s="27">
        <v>0</v>
      </c>
      <c r="F144" s="32">
        <v>0</v>
      </c>
      <c r="G144" s="33"/>
    </row>
    <row r="145" spans="2:7">
      <c r="B145" s="30"/>
      <c r="C145" s="34" t="s">
        <v>15</v>
      </c>
      <c r="D145" s="34"/>
      <c r="E145" s="27">
        <v>0</v>
      </c>
      <c r="F145" s="32">
        <v>0</v>
      </c>
      <c r="G145" s="33"/>
    </row>
    <row r="146" spans="2:7">
      <c r="B146" s="30"/>
      <c r="C146" s="34" t="s">
        <v>16</v>
      </c>
      <c r="D146" s="34"/>
      <c r="E146" s="27">
        <v>0</v>
      </c>
      <c r="F146" s="32">
        <v>0</v>
      </c>
      <c r="G146" s="33"/>
    </row>
    <row r="147" spans="2:7">
      <c r="B147" s="30"/>
      <c r="C147" s="34" t="s">
        <v>17</v>
      </c>
      <c r="D147" s="34"/>
      <c r="E147" s="27">
        <v>0</v>
      </c>
      <c r="F147" s="32">
        <v>0</v>
      </c>
      <c r="G147" s="33"/>
    </row>
    <row r="148" spans="2:7">
      <c r="B148" s="30"/>
      <c r="C148" s="35" t="s">
        <v>18</v>
      </c>
      <c r="D148" s="35"/>
      <c r="E148" s="36">
        <v>16475.153884958683</v>
      </c>
      <c r="F148" s="37">
        <v>16475.153884958683</v>
      </c>
      <c r="G148" s="38"/>
    </row>
    <row r="149" spans="2:7" ht="15.75" thickBot="1">
      <c r="B149" s="30"/>
      <c r="C149" s="39"/>
      <c r="D149" s="39"/>
      <c r="E149" s="40"/>
      <c r="F149" s="41"/>
      <c r="G149" s="38"/>
    </row>
    <row r="150" spans="2:7" ht="18.75" thickBot="1">
      <c r="B150" s="30"/>
      <c r="C150" s="22" t="s">
        <v>19</v>
      </c>
      <c r="D150" s="23"/>
      <c r="E150" s="42"/>
      <c r="F150" s="43"/>
      <c r="G150" s="38"/>
    </row>
    <row r="151" spans="2:7">
      <c r="B151" s="44">
        <v>121</v>
      </c>
      <c r="C151" s="39" t="s">
        <v>20</v>
      </c>
      <c r="D151" s="39"/>
      <c r="E151" s="45"/>
      <c r="F151" s="46"/>
      <c r="G151" s="47"/>
    </row>
    <row r="152" spans="2:7">
      <c r="B152" s="44"/>
      <c r="C152" s="48" t="s">
        <v>21</v>
      </c>
      <c r="D152" s="48"/>
      <c r="E152" s="49">
        <v>0</v>
      </c>
      <c r="F152" s="50">
        <v>0</v>
      </c>
      <c r="G152" s="47"/>
    </row>
    <row r="153" spans="2:7">
      <c r="B153" s="44"/>
      <c r="C153" s="48" t="s">
        <v>22</v>
      </c>
      <c r="D153" s="48"/>
      <c r="E153" s="49">
        <v>0</v>
      </c>
      <c r="F153" s="50">
        <v>0</v>
      </c>
      <c r="G153" s="47"/>
    </row>
    <row r="154" spans="2:7">
      <c r="B154" s="51"/>
      <c r="C154" s="48" t="s">
        <v>23</v>
      </c>
      <c r="D154" s="48"/>
      <c r="E154" s="49">
        <v>0</v>
      </c>
      <c r="F154" s="50">
        <v>0</v>
      </c>
      <c r="G154" s="52"/>
    </row>
    <row r="155" spans="2:7">
      <c r="B155" s="51"/>
      <c r="C155" s="48" t="s">
        <v>24</v>
      </c>
      <c r="D155" s="48"/>
      <c r="E155" s="49">
        <v>0</v>
      </c>
      <c r="F155" s="50">
        <v>0</v>
      </c>
      <c r="G155" s="52"/>
    </row>
    <row r="156" spans="2:7">
      <c r="B156" s="44"/>
      <c r="C156" s="48" t="s">
        <v>25</v>
      </c>
      <c r="D156" s="48"/>
      <c r="E156" s="49">
        <v>0</v>
      </c>
      <c r="F156" s="50">
        <v>0</v>
      </c>
      <c r="G156" s="52"/>
    </row>
    <row r="157" spans="2:7">
      <c r="B157" s="44"/>
      <c r="C157" s="53" t="s">
        <v>26</v>
      </c>
      <c r="D157" s="53"/>
      <c r="E157" s="36">
        <v>0</v>
      </c>
      <c r="F157" s="54">
        <v>0</v>
      </c>
      <c r="G157" s="52"/>
    </row>
    <row r="158" spans="2:7">
      <c r="B158" s="44">
        <v>122</v>
      </c>
      <c r="C158" s="39" t="s">
        <v>27</v>
      </c>
      <c r="D158" s="39"/>
      <c r="E158" s="36"/>
      <c r="F158" s="50"/>
      <c r="G158" s="55"/>
    </row>
    <row r="159" spans="2:7">
      <c r="B159" s="44"/>
      <c r="C159" s="48" t="s">
        <v>28</v>
      </c>
      <c r="D159" s="48"/>
      <c r="E159" s="49">
        <v>0</v>
      </c>
      <c r="F159" s="50">
        <v>0</v>
      </c>
      <c r="G159" s="52"/>
    </row>
    <row r="160" spans="2:7">
      <c r="B160" s="44"/>
      <c r="C160" s="48" t="s">
        <v>29</v>
      </c>
      <c r="D160" s="48"/>
      <c r="E160" s="49">
        <v>0</v>
      </c>
      <c r="F160" s="50">
        <v>0</v>
      </c>
      <c r="G160" s="52"/>
    </row>
    <row r="161" spans="2:7">
      <c r="B161" s="44"/>
      <c r="C161" s="48" t="s">
        <v>30</v>
      </c>
      <c r="D161" s="48"/>
      <c r="E161" s="49">
        <v>0</v>
      </c>
      <c r="F161" s="50">
        <v>0</v>
      </c>
      <c r="G161" s="52"/>
    </row>
    <row r="162" spans="2:7">
      <c r="B162" s="44"/>
      <c r="C162" s="48" t="s">
        <v>31</v>
      </c>
      <c r="D162" s="48"/>
      <c r="E162" s="49">
        <v>0</v>
      </c>
      <c r="F162" s="50">
        <v>0</v>
      </c>
      <c r="G162" s="52"/>
    </row>
    <row r="163" spans="2:7">
      <c r="B163" s="44"/>
      <c r="C163" s="48" t="s">
        <v>32</v>
      </c>
      <c r="D163" s="48"/>
      <c r="E163" s="49">
        <v>88.800120595041136</v>
      </c>
      <c r="F163" s="50">
        <v>88.800120595041136</v>
      </c>
      <c r="G163" s="52"/>
    </row>
    <row r="164" spans="2:7">
      <c r="B164" s="44"/>
      <c r="C164" s="48" t="s">
        <v>33</v>
      </c>
      <c r="D164" s="48"/>
      <c r="E164" s="49">
        <v>0</v>
      </c>
      <c r="F164" s="50">
        <v>0</v>
      </c>
      <c r="G164" s="52"/>
    </row>
    <row r="165" spans="2:7">
      <c r="B165" s="44"/>
      <c r="C165" s="48" t="s">
        <v>34</v>
      </c>
      <c r="D165" s="48"/>
      <c r="E165" s="49">
        <v>0</v>
      </c>
      <c r="F165" s="50">
        <v>0</v>
      </c>
      <c r="G165" s="52"/>
    </row>
    <row r="166" spans="2:7">
      <c r="B166" s="44"/>
      <c r="C166" s="48" t="s">
        <v>35</v>
      </c>
      <c r="D166" s="48"/>
      <c r="E166" s="49">
        <v>0</v>
      </c>
      <c r="F166" s="50">
        <v>0</v>
      </c>
      <c r="G166" s="52"/>
    </row>
    <row r="167" spans="2:7">
      <c r="B167" s="44"/>
      <c r="C167" s="53" t="s">
        <v>26</v>
      </c>
      <c r="D167" s="53"/>
      <c r="E167" s="36">
        <v>88.800120595041136</v>
      </c>
      <c r="F167" s="54">
        <v>88.800120595041136</v>
      </c>
      <c r="G167" s="52"/>
    </row>
    <row r="168" spans="2:7">
      <c r="B168" s="44">
        <v>123</v>
      </c>
      <c r="C168" s="39" t="s">
        <v>36</v>
      </c>
      <c r="D168" s="39"/>
      <c r="E168" s="56"/>
      <c r="F168" s="57"/>
      <c r="G168" s="52"/>
    </row>
    <row r="169" spans="2:7">
      <c r="B169" s="44"/>
      <c r="C169" s="48" t="s">
        <v>37</v>
      </c>
      <c r="D169" s="48"/>
      <c r="E169" s="49">
        <v>88.800120595041136</v>
      </c>
      <c r="F169" s="50">
        <v>88.800120595041136</v>
      </c>
      <c r="G169" s="52"/>
    </row>
    <row r="170" spans="2:7">
      <c r="B170" s="44"/>
      <c r="C170" s="48" t="s">
        <v>38</v>
      </c>
      <c r="D170" s="48"/>
      <c r="E170" s="49">
        <v>0</v>
      </c>
      <c r="F170" s="50">
        <v>0</v>
      </c>
      <c r="G170" s="52"/>
    </row>
    <row r="171" spans="2:7">
      <c r="B171" s="44"/>
      <c r="C171" s="48" t="s">
        <v>39</v>
      </c>
      <c r="D171" s="48"/>
      <c r="E171" s="49">
        <v>769.60104515702335</v>
      </c>
      <c r="F171" s="50">
        <v>769.60104515702335</v>
      </c>
      <c r="G171" s="52"/>
    </row>
    <row r="172" spans="2:7">
      <c r="B172" s="44"/>
      <c r="C172" s="48" t="s">
        <v>40</v>
      </c>
      <c r="D172" s="48"/>
      <c r="E172" s="49">
        <v>0</v>
      </c>
      <c r="F172" s="50">
        <v>0</v>
      </c>
      <c r="G172" s="52"/>
    </row>
    <row r="173" spans="2:7">
      <c r="B173" s="44"/>
      <c r="C173" s="48" t="s">
        <v>41</v>
      </c>
      <c r="D173" s="48"/>
      <c r="E173" s="49">
        <v>0</v>
      </c>
      <c r="F173" s="50">
        <v>0</v>
      </c>
      <c r="G173" s="52"/>
    </row>
    <row r="174" spans="2:7">
      <c r="B174" s="44"/>
      <c r="C174" s="48" t="s">
        <v>42</v>
      </c>
      <c r="D174" s="48"/>
      <c r="E174" s="49">
        <v>177.60024119008227</v>
      </c>
      <c r="F174" s="50">
        <v>177.60024119008227</v>
      </c>
      <c r="G174" s="52"/>
    </row>
    <row r="175" spans="2:7">
      <c r="B175" s="44"/>
      <c r="C175" s="53" t="s">
        <v>26</v>
      </c>
      <c r="D175" s="53"/>
      <c r="E175" s="36">
        <v>1036.0014069421468</v>
      </c>
      <c r="F175" s="54">
        <v>1036.0014069421468</v>
      </c>
      <c r="G175" s="52"/>
    </row>
    <row r="176" spans="2:7">
      <c r="B176" s="44">
        <v>124</v>
      </c>
      <c r="C176" s="39" t="s">
        <v>43</v>
      </c>
      <c r="D176" s="39"/>
      <c r="E176" s="56"/>
      <c r="F176" s="57"/>
      <c r="G176" s="52"/>
    </row>
    <row r="177" spans="2:7">
      <c r="B177" s="44"/>
      <c r="C177" s="48" t="s">
        <v>44</v>
      </c>
      <c r="D177" s="48"/>
      <c r="E177" s="49">
        <v>135.66685090909075</v>
      </c>
      <c r="F177" s="50">
        <v>135.66685090909075</v>
      </c>
      <c r="G177" s="52"/>
    </row>
    <row r="178" spans="2:7">
      <c r="B178" s="44"/>
      <c r="C178" s="48" t="s">
        <v>45</v>
      </c>
      <c r="D178" s="48"/>
      <c r="E178" s="49">
        <v>0</v>
      </c>
      <c r="F178" s="50">
        <v>0</v>
      </c>
      <c r="G178" s="52"/>
    </row>
    <row r="179" spans="2:7">
      <c r="B179" s="44"/>
      <c r="C179" s="48" t="s">
        <v>46</v>
      </c>
      <c r="D179" s="48"/>
      <c r="E179" s="49">
        <v>0</v>
      </c>
      <c r="F179" s="50">
        <v>0</v>
      </c>
      <c r="G179" s="52"/>
    </row>
    <row r="180" spans="2:7">
      <c r="B180" s="44"/>
      <c r="C180" s="53" t="s">
        <v>26</v>
      </c>
      <c r="D180" s="53"/>
      <c r="E180" s="36">
        <v>135.66685090909075</v>
      </c>
      <c r="F180" s="54">
        <v>135.66685090909075</v>
      </c>
      <c r="G180" s="52"/>
    </row>
    <row r="181" spans="2:7">
      <c r="B181" s="44">
        <v>125</v>
      </c>
      <c r="C181" s="39" t="s">
        <v>47</v>
      </c>
      <c r="D181" s="39"/>
      <c r="E181" s="36"/>
      <c r="F181" s="50"/>
      <c r="G181" s="52"/>
    </row>
    <row r="182" spans="2:7">
      <c r="B182" s="44"/>
      <c r="C182" s="48" t="s">
        <v>48</v>
      </c>
      <c r="D182" s="48"/>
      <c r="E182" s="58">
        <v>0</v>
      </c>
      <c r="F182" s="50">
        <v>0</v>
      </c>
      <c r="G182" s="52"/>
    </row>
    <row r="183" spans="2:7">
      <c r="B183" s="44"/>
      <c r="C183" s="48" t="s">
        <v>49</v>
      </c>
      <c r="D183" s="48"/>
      <c r="E183" s="58">
        <v>0</v>
      </c>
      <c r="F183" s="50">
        <v>0</v>
      </c>
      <c r="G183" s="52"/>
    </row>
    <row r="184" spans="2:7">
      <c r="B184" s="44"/>
      <c r="C184" s="48" t="s">
        <v>50</v>
      </c>
      <c r="D184" s="48"/>
      <c r="E184" s="58">
        <v>108.5334807272726</v>
      </c>
      <c r="F184" s="50">
        <v>108.5334807272726</v>
      </c>
      <c r="G184" s="52"/>
    </row>
    <row r="185" spans="2:7">
      <c r="B185" s="44"/>
      <c r="C185" s="48" t="s">
        <v>51</v>
      </c>
      <c r="D185" s="48"/>
      <c r="E185" s="58">
        <v>0</v>
      </c>
      <c r="F185" s="50">
        <v>0</v>
      </c>
      <c r="G185" s="52"/>
    </row>
    <row r="186" spans="2:7">
      <c r="B186" s="44"/>
      <c r="C186" s="53" t="s">
        <v>26</v>
      </c>
      <c r="D186" s="53"/>
      <c r="E186" s="56">
        <v>108.5334807272726</v>
      </c>
      <c r="F186" s="54">
        <v>108.5334807272726</v>
      </c>
      <c r="G186" s="52"/>
    </row>
    <row r="187" spans="2:7">
      <c r="B187" s="44">
        <v>126</v>
      </c>
      <c r="C187" s="39" t="s">
        <v>52</v>
      </c>
      <c r="D187" s="39"/>
      <c r="E187" s="56"/>
      <c r="F187" s="50"/>
      <c r="G187" s="52"/>
    </row>
    <row r="188" spans="2:7">
      <c r="B188" s="44"/>
      <c r="C188" s="48" t="s">
        <v>53</v>
      </c>
      <c r="D188" s="48"/>
      <c r="E188" s="49">
        <v>0</v>
      </c>
      <c r="F188" s="50">
        <v>0</v>
      </c>
      <c r="G188" s="52"/>
    </row>
    <row r="189" spans="2:7">
      <c r="B189" s="44"/>
      <c r="C189" s="48" t="s">
        <v>54</v>
      </c>
      <c r="D189" s="48"/>
      <c r="E189" s="49">
        <v>0</v>
      </c>
      <c r="F189" s="50"/>
      <c r="G189" s="52"/>
    </row>
    <row r="190" spans="2:7">
      <c r="B190" s="44"/>
      <c r="C190" s="48" t="s">
        <v>55</v>
      </c>
      <c r="D190" s="48"/>
      <c r="E190" s="49">
        <v>0</v>
      </c>
      <c r="F190" s="50"/>
      <c r="G190" s="52"/>
    </row>
    <row r="191" spans="2:7">
      <c r="B191" s="44"/>
      <c r="C191" s="48" t="s">
        <v>56</v>
      </c>
      <c r="D191" s="48"/>
      <c r="E191" s="49">
        <v>0</v>
      </c>
      <c r="F191" s="57"/>
      <c r="G191" s="52"/>
    </row>
    <row r="192" spans="2:7">
      <c r="B192" s="44"/>
      <c r="C192" s="53" t="s">
        <v>26</v>
      </c>
      <c r="D192" s="53"/>
      <c r="E192" s="56">
        <v>0</v>
      </c>
      <c r="F192" s="54">
        <v>0</v>
      </c>
      <c r="G192" s="52"/>
    </row>
    <row r="193" spans="2:7">
      <c r="B193" s="44">
        <v>127</v>
      </c>
      <c r="C193" s="39" t="s">
        <v>57</v>
      </c>
      <c r="D193" s="39"/>
      <c r="E193" s="56"/>
      <c r="F193" s="54"/>
      <c r="G193" s="52"/>
    </row>
    <row r="194" spans="2:7">
      <c r="B194" s="44"/>
      <c r="C194" s="48" t="s">
        <v>58</v>
      </c>
      <c r="D194" s="48"/>
      <c r="E194" s="49">
        <v>0</v>
      </c>
      <c r="F194" s="50">
        <v>0</v>
      </c>
      <c r="G194" s="52"/>
    </row>
    <row r="195" spans="2:7">
      <c r="B195" s="44"/>
      <c r="C195" s="48" t="s">
        <v>59</v>
      </c>
      <c r="D195" s="48"/>
      <c r="E195" s="49">
        <v>0</v>
      </c>
      <c r="F195" s="50">
        <v>0</v>
      </c>
      <c r="G195" s="52"/>
    </row>
    <row r="196" spans="2:7">
      <c r="B196" s="44"/>
      <c r="C196" s="48" t="s">
        <v>60</v>
      </c>
      <c r="D196" s="48"/>
      <c r="E196" s="49">
        <v>0</v>
      </c>
      <c r="F196" s="50">
        <v>0</v>
      </c>
      <c r="G196" s="52"/>
    </row>
    <row r="197" spans="2:7">
      <c r="B197" s="44"/>
      <c r="C197" s="59" t="s">
        <v>61</v>
      </c>
      <c r="D197" s="59"/>
      <c r="E197" s="49">
        <v>0</v>
      </c>
      <c r="F197" s="50">
        <v>0</v>
      </c>
      <c r="G197" s="52"/>
    </row>
    <row r="198" spans="2:7">
      <c r="B198" s="44"/>
      <c r="C198" s="53" t="s">
        <v>26</v>
      </c>
      <c r="D198" s="53"/>
      <c r="E198" s="56">
        <v>0</v>
      </c>
      <c r="F198" s="54">
        <v>0</v>
      </c>
      <c r="G198" s="52"/>
    </row>
    <row r="199" spans="2:7">
      <c r="B199" s="44">
        <v>128</v>
      </c>
      <c r="C199" s="39" t="s">
        <v>62</v>
      </c>
      <c r="D199" s="39"/>
      <c r="E199" s="56"/>
      <c r="F199" s="54"/>
      <c r="G199" s="52"/>
    </row>
    <row r="200" spans="2:7">
      <c r="B200" s="44"/>
      <c r="C200" s="48" t="s">
        <v>63</v>
      </c>
      <c r="D200" s="48"/>
      <c r="E200" s="49">
        <v>0</v>
      </c>
      <c r="F200" s="50">
        <v>0</v>
      </c>
      <c r="G200" s="52"/>
    </row>
    <row r="201" spans="2:7">
      <c r="B201" s="44"/>
      <c r="C201" s="48" t="s">
        <v>64</v>
      </c>
      <c r="D201" s="48"/>
      <c r="E201" s="49">
        <v>0</v>
      </c>
      <c r="F201" s="50">
        <v>0</v>
      </c>
      <c r="G201" s="52"/>
    </row>
    <row r="202" spans="2:7">
      <c r="B202" s="44"/>
      <c r="C202" s="48" t="s">
        <v>65</v>
      </c>
      <c r="D202" s="48"/>
      <c r="E202" s="49">
        <v>325.60044218181781</v>
      </c>
      <c r="F202" s="50">
        <v>325.60044218181781</v>
      </c>
      <c r="G202" s="52"/>
    </row>
    <row r="203" spans="2:7">
      <c r="B203" s="44"/>
      <c r="C203" s="48" t="s">
        <v>66</v>
      </c>
      <c r="D203" s="48"/>
      <c r="E203" s="49">
        <v>0</v>
      </c>
      <c r="F203" s="50">
        <v>0</v>
      </c>
      <c r="G203" s="52"/>
    </row>
    <row r="204" spans="2:7">
      <c r="B204" s="44"/>
      <c r="C204" s="48" t="s">
        <v>67</v>
      </c>
      <c r="D204" s="48"/>
      <c r="E204" s="49">
        <v>0</v>
      </c>
      <c r="F204" s="50">
        <v>0</v>
      </c>
      <c r="G204" s="52"/>
    </row>
    <row r="205" spans="2:7">
      <c r="B205" s="44"/>
      <c r="C205" s="53" t="s">
        <v>26</v>
      </c>
      <c r="D205" s="53"/>
      <c r="E205" s="56">
        <v>325.60044218181781</v>
      </c>
      <c r="F205" s="54">
        <v>325.60044218181781</v>
      </c>
      <c r="G205" s="52"/>
    </row>
    <row r="206" spans="2:7">
      <c r="B206" s="44">
        <v>135</v>
      </c>
      <c r="C206" s="39" t="s">
        <v>68</v>
      </c>
      <c r="D206" s="39"/>
      <c r="E206" s="56"/>
      <c r="F206" s="50"/>
      <c r="G206" s="52"/>
    </row>
    <row r="207" spans="2:7">
      <c r="B207" s="44"/>
      <c r="C207" s="48" t="s">
        <v>69</v>
      </c>
      <c r="D207" s="48"/>
      <c r="E207" s="49">
        <v>0</v>
      </c>
      <c r="F207" s="50">
        <v>0</v>
      </c>
      <c r="G207" s="52"/>
    </row>
    <row r="208" spans="2:7">
      <c r="B208" s="44"/>
      <c r="C208" s="48" t="s">
        <v>70</v>
      </c>
      <c r="D208" s="48"/>
      <c r="E208" s="49">
        <v>0</v>
      </c>
      <c r="F208" s="50">
        <v>0</v>
      </c>
      <c r="G208" s="52"/>
    </row>
    <row r="209" spans="2:7">
      <c r="B209" s="44"/>
      <c r="C209" s="48" t="s">
        <v>71</v>
      </c>
      <c r="D209" s="48"/>
      <c r="E209" s="49">
        <v>0</v>
      </c>
      <c r="F209" s="50">
        <v>0</v>
      </c>
      <c r="G209" s="52"/>
    </row>
    <row r="210" spans="2:7">
      <c r="B210" s="44"/>
      <c r="C210" s="48" t="s">
        <v>72</v>
      </c>
      <c r="D210" s="48"/>
      <c r="E210" s="49">
        <v>0</v>
      </c>
      <c r="F210" s="50">
        <v>0</v>
      </c>
      <c r="G210" s="52"/>
    </row>
    <row r="211" spans="2:7">
      <c r="B211" s="44"/>
      <c r="C211" s="48" t="s">
        <v>73</v>
      </c>
      <c r="D211" s="48"/>
      <c r="E211" s="49">
        <v>177.60024119008227</v>
      </c>
      <c r="F211" s="50">
        <v>177.60024119008227</v>
      </c>
      <c r="G211" s="52"/>
    </row>
    <row r="212" spans="2:7">
      <c r="B212" s="44"/>
      <c r="C212" s="48" t="s">
        <v>74</v>
      </c>
      <c r="D212" s="48"/>
      <c r="E212" s="49">
        <v>0</v>
      </c>
      <c r="F212" s="50">
        <v>0</v>
      </c>
      <c r="G212" s="52"/>
    </row>
    <row r="213" spans="2:7">
      <c r="B213" s="44"/>
      <c r="C213" s="48" t="s">
        <v>75</v>
      </c>
      <c r="D213" s="48"/>
      <c r="E213" s="49">
        <v>841.13447563636271</v>
      </c>
      <c r="F213" s="50">
        <v>841.13447563636271</v>
      </c>
      <c r="G213" s="52"/>
    </row>
    <row r="214" spans="2:7">
      <c r="B214" s="44"/>
      <c r="C214" s="48" t="s">
        <v>76</v>
      </c>
      <c r="D214" s="48"/>
      <c r="E214" s="49">
        <v>0</v>
      </c>
      <c r="F214" s="50">
        <v>0</v>
      </c>
      <c r="G214" s="52"/>
    </row>
    <row r="215" spans="2:7">
      <c r="B215" s="44"/>
      <c r="C215" s="48" t="s">
        <v>77</v>
      </c>
      <c r="D215" s="48"/>
      <c r="E215" s="49">
        <v>0</v>
      </c>
      <c r="F215" s="50">
        <v>0</v>
      </c>
      <c r="G215" s="52"/>
    </row>
    <row r="216" spans="2:7">
      <c r="B216" s="44"/>
      <c r="C216" s="53" t="s">
        <v>26</v>
      </c>
      <c r="D216" s="53"/>
      <c r="E216" s="56">
        <v>1018.734716826445</v>
      </c>
      <c r="F216" s="54">
        <v>1018.734716826445</v>
      </c>
      <c r="G216" s="52"/>
    </row>
    <row r="217" spans="2:7">
      <c r="B217" s="44">
        <v>136</v>
      </c>
      <c r="C217" s="39" t="s">
        <v>78</v>
      </c>
      <c r="D217" s="39"/>
      <c r="E217" s="56"/>
      <c r="F217" s="50"/>
      <c r="G217" s="52"/>
    </row>
    <row r="218" spans="2:7">
      <c r="B218" s="44"/>
      <c r="C218" s="48" t="s">
        <v>79</v>
      </c>
      <c r="D218" s="48"/>
      <c r="E218" s="49">
        <v>0</v>
      </c>
      <c r="F218" s="50">
        <v>0</v>
      </c>
      <c r="G218" s="52"/>
    </row>
    <row r="219" spans="2:7">
      <c r="B219" s="44"/>
      <c r="C219" s="48" t="s">
        <v>80</v>
      </c>
      <c r="D219" s="48"/>
      <c r="E219" s="49">
        <v>0</v>
      </c>
      <c r="F219" s="50">
        <v>0</v>
      </c>
      <c r="G219" s="52"/>
    </row>
    <row r="220" spans="2:7">
      <c r="B220" s="44"/>
      <c r="C220" s="48" t="s">
        <v>81</v>
      </c>
      <c r="D220" s="48"/>
      <c r="E220" s="49">
        <v>0</v>
      </c>
      <c r="F220" s="50">
        <v>0</v>
      </c>
      <c r="G220" s="52"/>
    </row>
    <row r="221" spans="2:7">
      <c r="B221" s="44"/>
      <c r="C221" s="48" t="s">
        <v>82</v>
      </c>
      <c r="D221" s="48"/>
      <c r="E221" s="49">
        <v>0</v>
      </c>
      <c r="F221" s="50">
        <v>0</v>
      </c>
      <c r="G221" s="52"/>
    </row>
    <row r="222" spans="2:7">
      <c r="B222" s="44"/>
      <c r="C222" s="48" t="s">
        <v>83</v>
      </c>
      <c r="D222" s="48"/>
      <c r="E222" s="49">
        <v>0</v>
      </c>
      <c r="F222" s="50">
        <v>0</v>
      </c>
      <c r="G222" s="52"/>
    </row>
    <row r="223" spans="2:7">
      <c r="B223" s="44"/>
      <c r="C223" s="48" t="s">
        <v>84</v>
      </c>
      <c r="D223" s="48"/>
      <c r="E223" s="49">
        <v>0</v>
      </c>
      <c r="F223" s="50">
        <v>0</v>
      </c>
      <c r="G223" s="52"/>
    </row>
    <row r="224" spans="2:7">
      <c r="B224" s="44"/>
      <c r="C224" s="53" t="s">
        <v>26</v>
      </c>
      <c r="D224" s="53"/>
      <c r="E224" s="56">
        <v>0</v>
      </c>
      <c r="F224" s="54">
        <v>0</v>
      </c>
      <c r="G224" s="52"/>
    </row>
    <row r="225" spans="2:7">
      <c r="B225" s="44">
        <v>142</v>
      </c>
      <c r="C225" s="39" t="s">
        <v>85</v>
      </c>
      <c r="D225" s="39"/>
      <c r="E225" s="56"/>
      <c r="F225" s="50"/>
      <c r="G225" s="52"/>
    </row>
    <row r="226" spans="2:7">
      <c r="B226" s="44"/>
      <c r="C226" s="48" t="s">
        <v>86</v>
      </c>
      <c r="D226" s="48"/>
      <c r="E226" s="49">
        <v>0</v>
      </c>
      <c r="F226" s="50">
        <v>0</v>
      </c>
      <c r="G226" s="52"/>
    </row>
    <row r="227" spans="2:7">
      <c r="B227" s="44"/>
      <c r="C227" s="48" t="s">
        <v>87</v>
      </c>
      <c r="D227" s="48"/>
      <c r="E227" s="49">
        <v>0</v>
      </c>
      <c r="F227" s="50">
        <v>0</v>
      </c>
      <c r="G227" s="52"/>
    </row>
    <row r="228" spans="2:7">
      <c r="B228" s="44"/>
      <c r="C228" s="53" t="s">
        <v>26</v>
      </c>
      <c r="D228" s="53"/>
      <c r="E228" s="56">
        <v>0</v>
      </c>
      <c r="F228" s="54">
        <v>0</v>
      </c>
      <c r="G228" s="52"/>
    </row>
    <row r="229" spans="2:7">
      <c r="B229" s="44">
        <v>144</v>
      </c>
      <c r="C229" s="39" t="s">
        <v>88</v>
      </c>
      <c r="D229" s="39"/>
      <c r="E229" s="49">
        <v>0</v>
      </c>
      <c r="F229" s="54">
        <v>0</v>
      </c>
      <c r="G229" s="52"/>
    </row>
    <row r="230" spans="2:7">
      <c r="B230" s="44">
        <v>221</v>
      </c>
      <c r="C230" s="39" t="s">
        <v>89</v>
      </c>
      <c r="D230" s="39"/>
      <c r="E230" s="49">
        <v>0</v>
      </c>
      <c r="F230" s="54">
        <v>0</v>
      </c>
      <c r="G230" s="52"/>
    </row>
    <row r="231" spans="2:7">
      <c r="B231" s="44">
        <v>222</v>
      </c>
      <c r="C231" s="39" t="s">
        <v>90</v>
      </c>
      <c r="D231" s="39"/>
      <c r="E231" s="49">
        <v>0</v>
      </c>
      <c r="F231" s="54">
        <v>0</v>
      </c>
      <c r="G231" s="52"/>
    </row>
    <row r="232" spans="2:7">
      <c r="B232" s="44">
        <v>224</v>
      </c>
      <c r="C232" s="39" t="s">
        <v>91</v>
      </c>
      <c r="D232" s="39"/>
      <c r="E232" s="49">
        <v>0</v>
      </c>
      <c r="F232" s="54">
        <v>0</v>
      </c>
      <c r="G232" s="52"/>
    </row>
    <row r="233" spans="2:7">
      <c r="B233" s="44">
        <v>225</v>
      </c>
      <c r="C233" s="39" t="s">
        <v>92</v>
      </c>
      <c r="D233" s="39"/>
      <c r="E233" s="49">
        <v>0</v>
      </c>
      <c r="F233" s="54">
        <v>0</v>
      </c>
      <c r="G233" s="38"/>
    </row>
    <row r="234" spans="2:7">
      <c r="B234" s="44">
        <v>226</v>
      </c>
      <c r="C234" s="39" t="s">
        <v>93</v>
      </c>
      <c r="D234" s="39"/>
      <c r="E234" s="49">
        <v>0</v>
      </c>
      <c r="F234" s="54">
        <v>0</v>
      </c>
      <c r="G234" s="60"/>
    </row>
    <row r="235" spans="2:7" ht="15.75" thickBot="1">
      <c r="B235" s="61"/>
      <c r="C235" s="62" t="s">
        <v>94</v>
      </c>
      <c r="D235" s="62"/>
      <c r="E235" s="94">
        <v>0</v>
      </c>
      <c r="F235" s="63">
        <v>0</v>
      </c>
      <c r="G235" s="38"/>
    </row>
    <row r="236" spans="2:7">
      <c r="B236" s="64"/>
      <c r="C236" s="65" t="s">
        <v>95</v>
      </c>
      <c r="D236" s="66"/>
      <c r="E236" s="67">
        <v>2713.3370181818141</v>
      </c>
      <c r="F236" s="68">
        <v>2713.3370181818141</v>
      </c>
      <c r="G236" s="69"/>
    </row>
    <row r="237" spans="2:7" ht="15.75" thickBot="1">
      <c r="B237" s="64"/>
      <c r="C237" s="70"/>
      <c r="D237" s="71"/>
      <c r="E237" s="72"/>
      <c r="F237" s="73"/>
      <c r="G237" s="69"/>
    </row>
    <row r="238" spans="2:7" ht="15.75" thickBot="1">
      <c r="B238" s="64"/>
      <c r="C238" s="70" t="s">
        <v>96</v>
      </c>
      <c r="D238" s="71"/>
      <c r="E238" s="74">
        <v>13761.81686677687</v>
      </c>
      <c r="F238" s="75">
        <v>13761.81686677687</v>
      </c>
      <c r="G238" s="76"/>
    </row>
    <row r="239" spans="2:7" ht="8.25" customHeight="1" thickBot="1">
      <c r="B239" s="77"/>
      <c r="C239" s="81"/>
      <c r="D239" s="81"/>
      <c r="E239" s="78"/>
      <c r="F239" s="78"/>
      <c r="G239" s="79"/>
    </row>
    <row r="240" spans="2:7">
      <c r="B240" s="85"/>
      <c r="C240" s="84"/>
      <c r="D240" s="84"/>
      <c r="E240" s="85"/>
      <c r="F240" s="85"/>
      <c r="G240" s="85"/>
    </row>
    <row r="241" spans="1:7" ht="6" customHeight="1" thickBot="1"/>
    <row r="242" spans="1:7">
      <c r="B242" s="1"/>
      <c r="C242" s="2"/>
      <c r="D242" s="2"/>
      <c r="E242" s="2"/>
      <c r="F242" s="2"/>
      <c r="G242" s="3"/>
    </row>
    <row r="243" spans="1:7">
      <c r="B243" s="4"/>
      <c r="C243" s="5"/>
      <c r="D243" s="5"/>
      <c r="E243" s="5"/>
      <c r="F243" s="5"/>
      <c r="G243" s="6"/>
    </row>
    <row r="244" spans="1:7">
      <c r="B244" s="4"/>
      <c r="C244" s="5"/>
      <c r="D244" s="5"/>
      <c r="E244" s="5"/>
      <c r="F244" s="5"/>
      <c r="G244" s="6"/>
    </row>
    <row r="245" spans="1:7">
      <c r="B245" s="4"/>
      <c r="C245" s="5"/>
      <c r="D245" s="5"/>
      <c r="E245" s="5"/>
      <c r="F245" s="5"/>
      <c r="G245" s="6"/>
    </row>
    <row r="246" spans="1:7">
      <c r="B246" s="4"/>
      <c r="C246" s="5"/>
      <c r="D246" s="5"/>
      <c r="E246" s="5"/>
      <c r="F246" s="5"/>
      <c r="G246" s="6"/>
    </row>
    <row r="247" spans="1:7" ht="16.5" customHeight="1">
      <c r="B247" s="4"/>
      <c r="C247" s="5"/>
      <c r="D247" s="5"/>
      <c r="E247" s="5"/>
      <c r="F247" s="5"/>
      <c r="G247" s="6"/>
    </row>
    <row r="248" spans="1:7" ht="22.5" customHeight="1" thickBot="1">
      <c r="B248" s="4"/>
      <c r="C248" s="95" t="s">
        <v>0</v>
      </c>
      <c r="D248" s="95"/>
      <c r="E248" s="95"/>
      <c r="F248" s="5"/>
      <c r="G248" s="6"/>
    </row>
    <row r="249" spans="1:7" ht="21" thickTop="1">
      <c r="B249" s="4"/>
      <c r="C249" s="7"/>
      <c r="D249" s="7"/>
      <c r="E249" s="5"/>
      <c r="F249" s="5"/>
      <c r="G249" s="6"/>
    </row>
    <row r="250" spans="1:7">
      <c r="B250" s="8" t="s">
        <v>1</v>
      </c>
      <c r="C250" s="9" t="s">
        <v>97</v>
      </c>
      <c r="D250" s="5"/>
      <c r="E250" s="10" t="s">
        <v>2</v>
      </c>
      <c r="F250" s="9" t="s">
        <v>98</v>
      </c>
      <c r="G250" s="6"/>
    </row>
    <row r="251" spans="1:7" ht="3.75" customHeight="1">
      <c r="A251" s="80"/>
      <c r="B251" s="5"/>
      <c r="C251" s="5"/>
      <c r="D251" s="5"/>
      <c r="E251" s="11"/>
      <c r="F251" s="5"/>
      <c r="G251" s="6"/>
    </row>
    <row r="252" spans="1:7">
      <c r="A252" s="80"/>
      <c r="B252" s="12" t="s">
        <v>3</v>
      </c>
      <c r="C252" s="9" t="s">
        <v>99</v>
      </c>
      <c r="D252" s="5"/>
      <c r="E252" s="10" t="s">
        <v>4</v>
      </c>
      <c r="F252" s="82" t="s">
        <v>100</v>
      </c>
      <c r="G252" s="6"/>
    </row>
    <row r="253" spans="1:7" ht="3.75" customHeight="1">
      <c r="A253" s="80"/>
      <c r="B253" s="5"/>
      <c r="C253" s="5"/>
      <c r="D253" s="5"/>
      <c r="E253" s="11"/>
      <c r="F253" s="5"/>
      <c r="G253" s="6"/>
    </row>
    <row r="254" spans="1:7">
      <c r="A254" s="80"/>
      <c r="B254" s="10" t="s">
        <v>5</v>
      </c>
      <c r="C254" s="9" t="s">
        <v>101</v>
      </c>
      <c r="D254" s="5"/>
      <c r="E254" s="10" t="s">
        <v>6</v>
      </c>
      <c r="F254" s="9" t="s">
        <v>107</v>
      </c>
      <c r="G254" s="6"/>
    </row>
    <row r="255" spans="1:7" ht="4.5" customHeight="1">
      <c r="A255" s="80"/>
      <c r="B255" s="13"/>
      <c r="C255" s="5"/>
      <c r="D255" s="5"/>
      <c r="E255" s="11"/>
      <c r="F255" s="5"/>
      <c r="G255" s="6"/>
    </row>
    <row r="256" spans="1:7">
      <c r="A256" s="80"/>
      <c r="B256" s="10" t="s">
        <v>7</v>
      </c>
      <c r="C256" s="9" t="s">
        <v>129</v>
      </c>
      <c r="D256" s="5"/>
      <c r="E256" s="11"/>
      <c r="F256" s="5"/>
      <c r="G256" s="6"/>
    </row>
    <row r="257" spans="1:7" ht="3.75" customHeight="1">
      <c r="A257" s="80"/>
      <c r="B257" s="5"/>
      <c r="C257" s="5"/>
      <c r="D257" s="5"/>
      <c r="E257" s="11"/>
      <c r="F257" s="5"/>
      <c r="G257" s="6"/>
    </row>
    <row r="258" spans="1:7">
      <c r="B258" s="14" t="s">
        <v>8</v>
      </c>
      <c r="C258" s="15" t="s">
        <v>105</v>
      </c>
      <c r="D258" s="5"/>
      <c r="E258" s="86" t="s">
        <v>109</v>
      </c>
      <c r="F258" s="87">
        <v>45352</v>
      </c>
      <c r="G258" s="6"/>
    </row>
    <row r="259" spans="1:7">
      <c r="B259" s="16" t="s">
        <v>9</v>
      </c>
      <c r="C259" s="17" t="s">
        <v>130</v>
      </c>
      <c r="D259" s="5"/>
      <c r="E259" s="88" t="s">
        <v>110</v>
      </c>
      <c r="F259" s="89">
        <v>45382</v>
      </c>
      <c r="G259" s="18"/>
    </row>
    <row r="260" spans="1:7" ht="15.75" thickBot="1">
      <c r="B260" s="4"/>
      <c r="C260" s="19"/>
      <c r="D260" s="19"/>
      <c r="E260" s="20"/>
      <c r="F260" s="21"/>
      <c r="G260" s="18"/>
    </row>
    <row r="261" spans="1:7" ht="18.75" thickBot="1">
      <c r="B261" s="4"/>
      <c r="C261" s="22" t="s">
        <v>10</v>
      </c>
      <c r="D261" s="23"/>
      <c r="E261" s="24"/>
      <c r="F261" s="25" t="s">
        <v>11</v>
      </c>
      <c r="G261" s="18"/>
    </row>
    <row r="262" spans="1:7">
      <c r="B262" s="4"/>
      <c r="C262" s="26" t="s">
        <v>12</v>
      </c>
      <c r="D262" s="26"/>
      <c r="E262" s="27">
        <v>13761.81686677687</v>
      </c>
      <c r="F262" s="28">
        <v>13761.81686677687</v>
      </c>
      <c r="G262" s="29"/>
    </row>
    <row r="263" spans="1:7">
      <c r="B263" s="30">
        <v>143</v>
      </c>
      <c r="C263" s="31" t="s">
        <v>13</v>
      </c>
      <c r="D263" s="31"/>
      <c r="E263" s="27">
        <v>4578.6174545454505</v>
      </c>
      <c r="F263" s="32">
        <v>4578.6174545454505</v>
      </c>
      <c r="G263" s="33"/>
    </row>
    <row r="264" spans="1:7">
      <c r="B264" s="30"/>
      <c r="C264" s="34" t="s">
        <v>14</v>
      </c>
      <c r="D264" s="34"/>
      <c r="E264" s="27">
        <v>0</v>
      </c>
      <c r="F264" s="32">
        <v>0</v>
      </c>
      <c r="G264" s="33"/>
    </row>
    <row r="265" spans="1:7">
      <c r="B265" s="30"/>
      <c r="C265" s="34" t="s">
        <v>15</v>
      </c>
      <c r="D265" s="34"/>
      <c r="E265" s="27">
        <v>0</v>
      </c>
      <c r="F265" s="32">
        <v>0</v>
      </c>
      <c r="G265" s="33"/>
    </row>
    <row r="266" spans="1:7">
      <c r="B266" s="30"/>
      <c r="C266" s="34" t="s">
        <v>16</v>
      </c>
      <c r="D266" s="34"/>
      <c r="E266" s="27">
        <v>0</v>
      </c>
      <c r="F266" s="32">
        <v>0</v>
      </c>
      <c r="G266" s="33"/>
    </row>
    <row r="267" spans="1:7">
      <c r="B267" s="30"/>
      <c r="C267" s="34" t="s">
        <v>17</v>
      </c>
      <c r="D267" s="34"/>
      <c r="E267" s="27">
        <v>0</v>
      </c>
      <c r="F267" s="32">
        <v>0</v>
      </c>
      <c r="G267" s="33"/>
    </row>
    <row r="268" spans="1:7">
      <c r="B268" s="30"/>
      <c r="C268" s="35" t="s">
        <v>18</v>
      </c>
      <c r="D268" s="35"/>
      <c r="E268" s="36">
        <v>18340.434321322318</v>
      </c>
      <c r="F268" s="37">
        <v>18340.434321322318</v>
      </c>
      <c r="G268" s="38"/>
    </row>
    <row r="269" spans="1:7" ht="15.75" thickBot="1">
      <c r="B269" s="30"/>
      <c r="C269" s="39"/>
      <c r="D269" s="39"/>
      <c r="E269" s="40"/>
      <c r="F269" s="41"/>
      <c r="G269" s="38"/>
    </row>
    <row r="270" spans="1:7" ht="18.75" thickBot="1">
      <c r="B270" s="30"/>
      <c r="C270" s="22" t="s">
        <v>19</v>
      </c>
      <c r="D270" s="23"/>
      <c r="E270" s="42"/>
      <c r="F270" s="43"/>
      <c r="G270" s="38"/>
    </row>
    <row r="271" spans="1:7">
      <c r="B271" s="44">
        <v>121</v>
      </c>
      <c r="C271" s="39" t="s">
        <v>20</v>
      </c>
      <c r="D271" s="39"/>
      <c r="E271" s="45"/>
      <c r="F271" s="46"/>
      <c r="G271" s="47"/>
    </row>
    <row r="272" spans="1:7">
      <c r="B272" s="44"/>
      <c r="C272" s="48" t="s">
        <v>21</v>
      </c>
      <c r="D272" s="48"/>
      <c r="E272" s="49">
        <v>0</v>
      </c>
      <c r="F272" s="50">
        <v>0</v>
      </c>
      <c r="G272" s="47"/>
    </row>
    <row r="273" spans="2:7">
      <c r="B273" s="44"/>
      <c r="C273" s="48" t="s">
        <v>22</v>
      </c>
      <c r="D273" s="48"/>
      <c r="E273" s="49">
        <v>0</v>
      </c>
      <c r="F273" s="50">
        <v>0</v>
      </c>
      <c r="G273" s="47"/>
    </row>
    <row r="274" spans="2:7">
      <c r="B274" s="51"/>
      <c r="C274" s="48" t="s">
        <v>23</v>
      </c>
      <c r="D274" s="48"/>
      <c r="E274" s="49">
        <v>0</v>
      </c>
      <c r="F274" s="50">
        <v>0</v>
      </c>
      <c r="G274" s="52"/>
    </row>
    <row r="275" spans="2:7">
      <c r="B275" s="51"/>
      <c r="C275" s="48" t="s">
        <v>24</v>
      </c>
      <c r="D275" s="48"/>
      <c r="E275" s="49">
        <v>814.0011054545447</v>
      </c>
      <c r="F275" s="50">
        <v>814.0011054545447</v>
      </c>
      <c r="G275" s="52"/>
    </row>
    <row r="276" spans="2:7">
      <c r="B276" s="44"/>
      <c r="C276" s="48" t="s">
        <v>25</v>
      </c>
      <c r="D276" s="48"/>
      <c r="E276" s="49">
        <v>0</v>
      </c>
      <c r="F276" s="50">
        <v>0</v>
      </c>
      <c r="G276" s="52"/>
    </row>
    <row r="277" spans="2:7">
      <c r="B277" s="44"/>
      <c r="C277" s="53" t="s">
        <v>26</v>
      </c>
      <c r="D277" s="53"/>
      <c r="E277" s="36">
        <v>814.0011054545447</v>
      </c>
      <c r="F277" s="54">
        <v>814.0011054545447</v>
      </c>
      <c r="G277" s="52"/>
    </row>
    <row r="278" spans="2:7">
      <c r="B278" s="44">
        <v>122</v>
      </c>
      <c r="C278" s="39" t="s">
        <v>27</v>
      </c>
      <c r="D278" s="39"/>
      <c r="E278" s="36"/>
      <c r="F278" s="50"/>
      <c r="G278" s="55"/>
    </row>
    <row r="279" spans="2:7">
      <c r="B279" s="44"/>
      <c r="C279" s="48" t="s">
        <v>28</v>
      </c>
      <c r="D279" s="48"/>
      <c r="E279" s="49">
        <v>0</v>
      </c>
      <c r="F279" s="50">
        <v>0</v>
      </c>
      <c r="G279" s="52"/>
    </row>
    <row r="280" spans="2:7">
      <c r="B280" s="44"/>
      <c r="C280" s="48" t="s">
        <v>29</v>
      </c>
      <c r="D280" s="48"/>
      <c r="E280" s="49">
        <v>0</v>
      </c>
      <c r="F280" s="50">
        <v>0</v>
      </c>
      <c r="G280" s="52"/>
    </row>
    <row r="281" spans="2:7">
      <c r="B281" s="44"/>
      <c r="C281" s="48" t="s">
        <v>30</v>
      </c>
      <c r="D281" s="48"/>
      <c r="E281" s="49">
        <v>0</v>
      </c>
      <c r="F281" s="50">
        <v>0</v>
      </c>
      <c r="G281" s="52"/>
    </row>
    <row r="282" spans="2:7">
      <c r="B282" s="44"/>
      <c r="C282" s="48" t="s">
        <v>31</v>
      </c>
      <c r="D282" s="48"/>
      <c r="E282" s="49">
        <v>0</v>
      </c>
      <c r="F282" s="50">
        <v>0</v>
      </c>
      <c r="G282" s="52"/>
    </row>
    <row r="283" spans="2:7">
      <c r="B283" s="44"/>
      <c r="C283" s="48" t="s">
        <v>32</v>
      </c>
      <c r="D283" s="48"/>
      <c r="E283" s="49">
        <v>271.33370181818157</v>
      </c>
      <c r="F283" s="50">
        <v>271.33370181818157</v>
      </c>
      <c r="G283" s="52"/>
    </row>
    <row r="284" spans="2:7">
      <c r="B284" s="44"/>
      <c r="C284" s="48" t="s">
        <v>33</v>
      </c>
      <c r="D284" s="48"/>
      <c r="E284" s="49">
        <v>0</v>
      </c>
      <c r="F284" s="50">
        <v>0</v>
      </c>
      <c r="G284" s="52"/>
    </row>
    <row r="285" spans="2:7">
      <c r="B285" s="44"/>
      <c r="C285" s="48" t="s">
        <v>34</v>
      </c>
      <c r="D285" s="48"/>
      <c r="E285" s="49">
        <v>0</v>
      </c>
      <c r="F285" s="50">
        <v>0</v>
      </c>
      <c r="G285" s="52"/>
    </row>
    <row r="286" spans="2:7">
      <c r="B286" s="44"/>
      <c r="C286" s="48" t="s">
        <v>35</v>
      </c>
      <c r="D286" s="48"/>
      <c r="E286" s="49">
        <v>0</v>
      </c>
      <c r="F286" s="50">
        <v>0</v>
      </c>
      <c r="G286" s="52"/>
    </row>
    <row r="287" spans="2:7">
      <c r="B287" s="44"/>
      <c r="C287" s="53" t="s">
        <v>26</v>
      </c>
      <c r="D287" s="53"/>
      <c r="E287" s="36">
        <v>271.33370181818157</v>
      </c>
      <c r="F287" s="54">
        <v>271.33370181818157</v>
      </c>
      <c r="G287" s="52"/>
    </row>
    <row r="288" spans="2:7">
      <c r="B288" s="44">
        <v>123</v>
      </c>
      <c r="C288" s="39" t="s">
        <v>36</v>
      </c>
      <c r="D288" s="39"/>
      <c r="E288" s="56"/>
      <c r="F288" s="57"/>
      <c r="G288" s="52"/>
    </row>
    <row r="289" spans="2:7">
      <c r="B289" s="44"/>
      <c r="C289" s="48" t="s">
        <v>37</v>
      </c>
      <c r="D289" s="48"/>
      <c r="E289" s="49">
        <v>222.00030148760285</v>
      </c>
      <c r="F289" s="50">
        <v>222.00030148760285</v>
      </c>
      <c r="G289" s="52"/>
    </row>
    <row r="290" spans="2:7">
      <c r="B290" s="44"/>
      <c r="C290" s="48" t="s">
        <v>38</v>
      </c>
      <c r="D290" s="48"/>
      <c r="E290" s="49">
        <v>1825.3358122314014</v>
      </c>
      <c r="F290" s="50">
        <v>1825.3358122314014</v>
      </c>
      <c r="G290" s="52"/>
    </row>
    <row r="291" spans="2:7">
      <c r="B291" s="44"/>
      <c r="C291" s="48" t="s">
        <v>39</v>
      </c>
      <c r="D291" s="48"/>
      <c r="E291" s="49">
        <v>222.00030148760285</v>
      </c>
      <c r="F291" s="50">
        <v>222.00030148760285</v>
      </c>
      <c r="G291" s="52"/>
    </row>
    <row r="292" spans="2:7">
      <c r="B292" s="44"/>
      <c r="C292" s="48" t="s">
        <v>40</v>
      </c>
      <c r="D292" s="48"/>
      <c r="E292" s="49">
        <v>0</v>
      </c>
      <c r="F292" s="50">
        <v>0</v>
      </c>
      <c r="G292" s="52"/>
    </row>
    <row r="293" spans="2:7">
      <c r="B293" s="44"/>
      <c r="C293" s="48" t="s">
        <v>41</v>
      </c>
      <c r="D293" s="48"/>
      <c r="E293" s="49">
        <v>0</v>
      </c>
      <c r="F293" s="50">
        <v>0</v>
      </c>
      <c r="G293" s="52"/>
    </row>
    <row r="294" spans="2:7">
      <c r="B294" s="44"/>
      <c r="C294" s="48" t="s">
        <v>42</v>
      </c>
      <c r="D294" s="48"/>
      <c r="E294" s="49">
        <v>444.00060297520571</v>
      </c>
      <c r="F294" s="50">
        <v>444.00060297520571</v>
      </c>
      <c r="G294" s="52"/>
    </row>
    <row r="295" spans="2:7">
      <c r="B295" s="44"/>
      <c r="C295" s="53" t="s">
        <v>26</v>
      </c>
      <c r="D295" s="53"/>
      <c r="E295" s="36">
        <v>2713.3370181818127</v>
      </c>
      <c r="F295" s="54">
        <v>2713.3370181818127</v>
      </c>
      <c r="G295" s="52"/>
    </row>
    <row r="296" spans="2:7">
      <c r="B296" s="44">
        <v>124</v>
      </c>
      <c r="C296" s="39" t="s">
        <v>43</v>
      </c>
      <c r="D296" s="39"/>
      <c r="E296" s="56"/>
      <c r="F296" s="57"/>
      <c r="G296" s="52"/>
    </row>
    <row r="297" spans="2:7">
      <c r="B297" s="44"/>
      <c r="C297" s="48" t="s">
        <v>44</v>
      </c>
      <c r="D297" s="48"/>
      <c r="E297" s="49">
        <v>0</v>
      </c>
      <c r="F297" s="50">
        <v>0</v>
      </c>
      <c r="G297" s="52"/>
    </row>
    <row r="298" spans="2:7">
      <c r="B298" s="44"/>
      <c r="C298" s="48" t="s">
        <v>45</v>
      </c>
      <c r="D298" s="48"/>
      <c r="E298" s="49">
        <v>2102.8361890909068</v>
      </c>
      <c r="F298" s="50">
        <v>2102.8361890909068</v>
      </c>
      <c r="G298" s="52"/>
    </row>
    <row r="299" spans="2:7">
      <c r="B299" s="44"/>
      <c r="C299" s="48" t="s">
        <v>46</v>
      </c>
      <c r="D299" s="48"/>
      <c r="E299" s="49">
        <v>0</v>
      </c>
      <c r="F299" s="50">
        <v>0</v>
      </c>
      <c r="G299" s="52"/>
    </row>
    <row r="300" spans="2:7">
      <c r="B300" s="44"/>
      <c r="C300" s="53" t="s">
        <v>26</v>
      </c>
      <c r="D300" s="53"/>
      <c r="E300" s="36">
        <v>2102.8361890909068</v>
      </c>
      <c r="F300" s="54">
        <v>2102.8361890909068</v>
      </c>
      <c r="G300" s="52"/>
    </row>
    <row r="301" spans="2:7">
      <c r="B301" s="44">
        <v>125</v>
      </c>
      <c r="C301" s="39" t="s">
        <v>47</v>
      </c>
      <c r="D301" s="39"/>
      <c r="E301" s="36"/>
      <c r="F301" s="50"/>
      <c r="G301" s="52"/>
    </row>
    <row r="302" spans="2:7">
      <c r="B302" s="44"/>
      <c r="C302" s="48" t="s">
        <v>48</v>
      </c>
      <c r="D302" s="48"/>
      <c r="E302" s="58">
        <v>0</v>
      </c>
      <c r="F302" s="50">
        <v>0</v>
      </c>
      <c r="G302" s="52"/>
    </row>
    <row r="303" spans="2:7">
      <c r="B303" s="44"/>
      <c r="C303" s="48" t="s">
        <v>49</v>
      </c>
      <c r="D303" s="48"/>
      <c r="E303" s="58">
        <v>0</v>
      </c>
      <c r="F303" s="50">
        <v>0</v>
      </c>
      <c r="G303" s="52"/>
    </row>
    <row r="304" spans="2:7">
      <c r="B304" s="44"/>
      <c r="C304" s="48" t="s">
        <v>50</v>
      </c>
      <c r="D304" s="48"/>
      <c r="E304" s="58">
        <v>881.83453090909018</v>
      </c>
      <c r="F304" s="50">
        <v>881.83453090909018</v>
      </c>
      <c r="G304" s="52"/>
    </row>
    <row r="305" spans="2:7">
      <c r="B305" s="44"/>
      <c r="C305" s="48" t="s">
        <v>51</v>
      </c>
      <c r="D305" s="48"/>
      <c r="E305" s="58">
        <v>0</v>
      </c>
      <c r="F305" s="50">
        <v>0</v>
      </c>
      <c r="G305" s="52"/>
    </row>
    <row r="306" spans="2:7">
      <c r="B306" s="44"/>
      <c r="C306" s="53" t="s">
        <v>26</v>
      </c>
      <c r="D306" s="53"/>
      <c r="E306" s="56">
        <v>881.83453090909018</v>
      </c>
      <c r="F306" s="54">
        <v>881.83453090909018</v>
      </c>
      <c r="G306" s="52"/>
    </row>
    <row r="307" spans="2:7">
      <c r="B307" s="44">
        <v>126</v>
      </c>
      <c r="C307" s="39" t="s">
        <v>52</v>
      </c>
      <c r="D307" s="39"/>
      <c r="E307" s="56"/>
      <c r="F307" s="50"/>
      <c r="G307" s="52"/>
    </row>
    <row r="308" spans="2:7">
      <c r="B308" s="44"/>
      <c r="C308" s="48" t="s">
        <v>53</v>
      </c>
      <c r="D308" s="48"/>
      <c r="E308" s="49">
        <v>0</v>
      </c>
      <c r="F308" s="50">
        <v>0</v>
      </c>
      <c r="G308" s="52"/>
    </row>
    <row r="309" spans="2:7">
      <c r="B309" s="44"/>
      <c r="C309" s="48" t="s">
        <v>54</v>
      </c>
      <c r="D309" s="48"/>
      <c r="E309" s="49">
        <v>0</v>
      </c>
      <c r="F309" s="50"/>
      <c r="G309" s="52"/>
    </row>
    <row r="310" spans="2:7">
      <c r="B310" s="44"/>
      <c r="C310" s="48" t="s">
        <v>55</v>
      </c>
      <c r="D310" s="48"/>
      <c r="E310" s="49">
        <v>0</v>
      </c>
      <c r="F310" s="50"/>
      <c r="G310" s="52"/>
    </row>
    <row r="311" spans="2:7">
      <c r="B311" s="44"/>
      <c r="C311" s="48" t="s">
        <v>56</v>
      </c>
      <c r="D311" s="48"/>
      <c r="E311" s="49">
        <v>0</v>
      </c>
      <c r="F311" s="57"/>
      <c r="G311" s="52"/>
    </row>
    <row r="312" spans="2:7">
      <c r="B312" s="44"/>
      <c r="C312" s="53" t="s">
        <v>26</v>
      </c>
      <c r="D312" s="53"/>
      <c r="E312" s="56">
        <v>0</v>
      </c>
      <c r="F312" s="54">
        <v>0</v>
      </c>
      <c r="G312" s="52"/>
    </row>
    <row r="313" spans="2:7">
      <c r="B313" s="44">
        <v>127</v>
      </c>
      <c r="C313" s="39" t="s">
        <v>57</v>
      </c>
      <c r="D313" s="39"/>
      <c r="E313" s="56"/>
      <c r="F313" s="54"/>
      <c r="G313" s="52"/>
    </row>
    <row r="314" spans="2:7">
      <c r="B314" s="44"/>
      <c r="C314" s="48" t="s">
        <v>58</v>
      </c>
      <c r="D314" s="48"/>
      <c r="E314" s="49">
        <v>0</v>
      </c>
      <c r="F314" s="50">
        <v>0</v>
      </c>
      <c r="G314" s="52"/>
    </row>
    <row r="315" spans="2:7">
      <c r="B315" s="44"/>
      <c r="C315" s="48" t="s">
        <v>59</v>
      </c>
      <c r="D315" s="48"/>
      <c r="E315" s="49">
        <v>0</v>
      </c>
      <c r="F315" s="50">
        <v>0</v>
      </c>
      <c r="G315" s="52"/>
    </row>
    <row r="316" spans="2:7">
      <c r="B316" s="44"/>
      <c r="C316" s="48" t="s">
        <v>60</v>
      </c>
      <c r="D316" s="48"/>
      <c r="E316" s="49">
        <v>0</v>
      </c>
      <c r="F316" s="50">
        <v>0</v>
      </c>
      <c r="G316" s="52"/>
    </row>
    <row r="317" spans="2:7">
      <c r="B317" s="44"/>
      <c r="C317" s="59" t="s">
        <v>61</v>
      </c>
      <c r="D317" s="59"/>
      <c r="E317" s="49">
        <v>0</v>
      </c>
      <c r="F317" s="50">
        <v>0</v>
      </c>
      <c r="G317" s="52"/>
    </row>
    <row r="318" spans="2:7">
      <c r="B318" s="44"/>
      <c r="C318" s="53" t="s">
        <v>26</v>
      </c>
      <c r="D318" s="53"/>
      <c r="E318" s="56">
        <v>0</v>
      </c>
      <c r="F318" s="54">
        <v>0</v>
      </c>
      <c r="G318" s="52"/>
    </row>
    <row r="319" spans="2:7">
      <c r="B319" s="44">
        <v>128</v>
      </c>
      <c r="C319" s="39" t="s">
        <v>62</v>
      </c>
      <c r="D319" s="39"/>
      <c r="E319" s="56"/>
      <c r="F319" s="54"/>
      <c r="G319" s="52"/>
    </row>
    <row r="320" spans="2:7">
      <c r="B320" s="44"/>
      <c r="C320" s="48" t="s">
        <v>63</v>
      </c>
      <c r="D320" s="48"/>
      <c r="E320" s="49">
        <v>0</v>
      </c>
      <c r="F320" s="50">
        <v>0</v>
      </c>
      <c r="G320" s="52"/>
    </row>
    <row r="321" spans="2:7">
      <c r="B321" s="44"/>
      <c r="C321" s="48" t="s">
        <v>64</v>
      </c>
      <c r="D321" s="48"/>
      <c r="E321" s="49">
        <v>0</v>
      </c>
      <c r="F321" s="50">
        <v>0</v>
      </c>
      <c r="G321" s="52"/>
    </row>
    <row r="322" spans="2:7">
      <c r="B322" s="44"/>
      <c r="C322" s="48" t="s">
        <v>65</v>
      </c>
      <c r="D322" s="48"/>
      <c r="E322" s="49">
        <v>0</v>
      </c>
      <c r="F322" s="50">
        <v>0</v>
      </c>
      <c r="G322" s="52"/>
    </row>
    <row r="323" spans="2:7">
      <c r="B323" s="44"/>
      <c r="C323" s="48" t="s">
        <v>66</v>
      </c>
      <c r="D323" s="48"/>
      <c r="E323" s="49">
        <v>0</v>
      </c>
      <c r="F323" s="50">
        <v>0</v>
      </c>
      <c r="G323" s="52"/>
    </row>
    <row r="324" spans="2:7">
      <c r="B324" s="44"/>
      <c r="C324" s="48" t="s">
        <v>67</v>
      </c>
      <c r="D324" s="48"/>
      <c r="E324" s="49">
        <v>0</v>
      </c>
      <c r="F324" s="50">
        <v>0</v>
      </c>
      <c r="G324" s="52"/>
    </row>
    <row r="325" spans="2:7">
      <c r="B325" s="44"/>
      <c r="C325" s="53" t="s">
        <v>26</v>
      </c>
      <c r="D325" s="53"/>
      <c r="E325" s="56">
        <v>0</v>
      </c>
      <c r="F325" s="54">
        <v>0</v>
      </c>
      <c r="G325" s="52"/>
    </row>
    <row r="326" spans="2:7">
      <c r="B326" s="44">
        <v>135</v>
      </c>
      <c r="C326" s="39" t="s">
        <v>68</v>
      </c>
      <c r="D326" s="39"/>
      <c r="E326" s="56"/>
      <c r="F326" s="50"/>
      <c r="G326" s="52"/>
    </row>
    <row r="327" spans="2:7">
      <c r="B327" s="44"/>
      <c r="C327" s="48" t="s">
        <v>69</v>
      </c>
      <c r="D327" s="48"/>
      <c r="E327" s="49">
        <v>0</v>
      </c>
      <c r="F327" s="50">
        <v>0</v>
      </c>
      <c r="G327" s="52"/>
    </row>
    <row r="328" spans="2:7">
      <c r="B328" s="44"/>
      <c r="C328" s="48" t="s">
        <v>70</v>
      </c>
      <c r="D328" s="48"/>
      <c r="E328" s="49">
        <v>0</v>
      </c>
      <c r="F328" s="50">
        <v>0</v>
      </c>
      <c r="G328" s="52"/>
    </row>
    <row r="329" spans="2:7">
      <c r="B329" s="44"/>
      <c r="C329" s="48" t="s">
        <v>71</v>
      </c>
      <c r="D329" s="48"/>
      <c r="E329" s="49">
        <v>0</v>
      </c>
      <c r="F329" s="50">
        <v>0</v>
      </c>
      <c r="G329" s="52"/>
    </row>
    <row r="330" spans="2:7">
      <c r="B330" s="44"/>
      <c r="C330" s="48" t="s">
        <v>72</v>
      </c>
      <c r="D330" s="48"/>
      <c r="E330" s="49">
        <v>0</v>
      </c>
      <c r="F330" s="50">
        <v>0</v>
      </c>
      <c r="G330" s="52"/>
    </row>
    <row r="331" spans="2:7">
      <c r="B331" s="44"/>
      <c r="C331" s="48" t="s">
        <v>73</v>
      </c>
      <c r="D331" s="48"/>
      <c r="E331" s="49">
        <v>0</v>
      </c>
      <c r="F331" s="50">
        <v>0</v>
      </c>
      <c r="G331" s="52"/>
    </row>
    <row r="332" spans="2:7">
      <c r="B332" s="44"/>
      <c r="C332" s="48" t="s">
        <v>74</v>
      </c>
      <c r="D332" s="48"/>
      <c r="E332" s="49">
        <v>0</v>
      </c>
      <c r="F332" s="50">
        <v>0</v>
      </c>
      <c r="G332" s="52"/>
    </row>
    <row r="333" spans="2:7">
      <c r="B333" s="44"/>
      <c r="C333" s="48" t="s">
        <v>75</v>
      </c>
      <c r="D333" s="48"/>
      <c r="E333" s="49">
        <v>0</v>
      </c>
      <c r="F333" s="50">
        <v>0</v>
      </c>
      <c r="G333" s="52"/>
    </row>
    <row r="334" spans="2:7">
      <c r="B334" s="44"/>
      <c r="C334" s="48" t="s">
        <v>76</v>
      </c>
      <c r="D334" s="48"/>
      <c r="E334" s="49">
        <v>0</v>
      </c>
      <c r="F334" s="50">
        <v>0</v>
      </c>
      <c r="G334" s="52"/>
    </row>
    <row r="335" spans="2:7">
      <c r="B335" s="44"/>
      <c r="C335" s="48" t="s">
        <v>77</v>
      </c>
      <c r="D335" s="48"/>
      <c r="E335" s="49">
        <v>0</v>
      </c>
      <c r="F335" s="50">
        <v>0</v>
      </c>
      <c r="G335" s="52"/>
    </row>
    <row r="336" spans="2:7">
      <c r="B336" s="44"/>
      <c r="C336" s="53" t="s">
        <v>26</v>
      </c>
      <c r="D336" s="53"/>
      <c r="E336" s="56">
        <v>0</v>
      </c>
      <c r="F336" s="54">
        <v>0</v>
      </c>
      <c r="G336" s="52"/>
    </row>
    <row r="337" spans="2:7">
      <c r="B337" s="44">
        <v>136</v>
      </c>
      <c r="C337" s="39" t="s">
        <v>78</v>
      </c>
      <c r="D337" s="39"/>
      <c r="E337" s="56"/>
      <c r="F337" s="50"/>
      <c r="G337" s="52"/>
    </row>
    <row r="338" spans="2:7">
      <c r="B338" s="44"/>
      <c r="C338" s="48" t="s">
        <v>79</v>
      </c>
      <c r="D338" s="48"/>
      <c r="E338" s="49">
        <v>0</v>
      </c>
      <c r="F338" s="50">
        <v>0</v>
      </c>
      <c r="G338" s="52"/>
    </row>
    <row r="339" spans="2:7">
      <c r="B339" s="44"/>
      <c r="C339" s="48" t="s">
        <v>80</v>
      </c>
      <c r="D339" s="48"/>
      <c r="E339" s="49">
        <v>0</v>
      </c>
      <c r="F339" s="50">
        <v>0</v>
      </c>
      <c r="G339" s="52"/>
    </row>
    <row r="340" spans="2:7">
      <c r="B340" s="44"/>
      <c r="C340" s="48" t="s">
        <v>81</v>
      </c>
      <c r="D340" s="48"/>
      <c r="E340" s="49">
        <v>0</v>
      </c>
      <c r="F340" s="50">
        <v>0</v>
      </c>
      <c r="G340" s="52"/>
    </row>
    <row r="341" spans="2:7">
      <c r="B341" s="44"/>
      <c r="C341" s="48" t="s">
        <v>82</v>
      </c>
      <c r="D341" s="48"/>
      <c r="E341" s="49">
        <v>0</v>
      </c>
      <c r="F341" s="50">
        <v>0</v>
      </c>
      <c r="G341" s="52"/>
    </row>
    <row r="342" spans="2:7">
      <c r="B342" s="44"/>
      <c r="C342" s="48" t="s">
        <v>83</v>
      </c>
      <c r="D342" s="48"/>
      <c r="E342" s="49">
        <v>0</v>
      </c>
      <c r="F342" s="50">
        <v>0</v>
      </c>
      <c r="G342" s="52"/>
    </row>
    <row r="343" spans="2:7">
      <c r="B343" s="44"/>
      <c r="C343" s="48" t="s">
        <v>84</v>
      </c>
      <c r="D343" s="48"/>
      <c r="E343" s="49">
        <v>0</v>
      </c>
      <c r="F343" s="50">
        <v>0</v>
      </c>
      <c r="G343" s="52"/>
    </row>
    <row r="344" spans="2:7">
      <c r="B344" s="44"/>
      <c r="C344" s="53" t="s">
        <v>26</v>
      </c>
      <c r="D344" s="53"/>
      <c r="E344" s="56">
        <v>0</v>
      </c>
      <c r="F344" s="54">
        <v>0</v>
      </c>
      <c r="G344" s="52"/>
    </row>
    <row r="345" spans="2:7">
      <c r="B345" s="44">
        <v>142</v>
      </c>
      <c r="C345" s="39" t="s">
        <v>85</v>
      </c>
      <c r="D345" s="39"/>
      <c r="E345" s="56"/>
      <c r="F345" s="50"/>
      <c r="G345" s="52"/>
    </row>
    <row r="346" spans="2:7">
      <c r="B346" s="44"/>
      <c r="C346" s="48" t="s">
        <v>86</v>
      </c>
      <c r="D346" s="48"/>
      <c r="E346" s="49">
        <v>0</v>
      </c>
      <c r="F346" s="50">
        <v>0</v>
      </c>
      <c r="G346" s="52"/>
    </row>
    <row r="347" spans="2:7">
      <c r="B347" s="44"/>
      <c r="C347" s="48" t="s">
        <v>87</v>
      </c>
      <c r="D347" s="48"/>
      <c r="E347" s="49">
        <v>0</v>
      </c>
      <c r="F347" s="50">
        <v>0</v>
      </c>
      <c r="G347" s="52"/>
    </row>
    <row r="348" spans="2:7">
      <c r="B348" s="44"/>
      <c r="C348" s="53" t="s">
        <v>26</v>
      </c>
      <c r="D348" s="53"/>
      <c r="E348" s="56">
        <v>0</v>
      </c>
      <c r="F348" s="54">
        <v>0</v>
      </c>
      <c r="G348" s="52"/>
    </row>
    <row r="349" spans="2:7">
      <c r="B349" s="44">
        <v>144</v>
      </c>
      <c r="C349" s="39" t="s">
        <v>88</v>
      </c>
      <c r="D349" s="39"/>
      <c r="E349" s="49">
        <v>0</v>
      </c>
      <c r="F349" s="54">
        <v>0</v>
      </c>
      <c r="G349" s="52"/>
    </row>
    <row r="350" spans="2:7">
      <c r="B350" s="44">
        <v>221</v>
      </c>
      <c r="C350" s="39" t="s">
        <v>89</v>
      </c>
      <c r="D350" s="39"/>
      <c r="E350" s="49">
        <v>0</v>
      </c>
      <c r="F350" s="54">
        <v>0</v>
      </c>
      <c r="G350" s="52"/>
    </row>
    <row r="351" spans="2:7">
      <c r="B351" s="44">
        <v>222</v>
      </c>
      <c r="C351" s="39" t="s">
        <v>90</v>
      </c>
      <c r="D351" s="39"/>
      <c r="E351" s="49">
        <v>0</v>
      </c>
      <c r="F351" s="54">
        <v>0</v>
      </c>
      <c r="G351" s="52"/>
    </row>
    <row r="352" spans="2:7">
      <c r="B352" s="44">
        <v>224</v>
      </c>
      <c r="C352" s="39" t="s">
        <v>91</v>
      </c>
      <c r="D352" s="39"/>
      <c r="E352" s="49">
        <v>0</v>
      </c>
      <c r="F352" s="54">
        <v>0</v>
      </c>
      <c r="G352" s="52"/>
    </row>
    <row r="353" spans="2:7">
      <c r="B353" s="44">
        <v>225</v>
      </c>
      <c r="C353" s="39" t="s">
        <v>92</v>
      </c>
      <c r="D353" s="39"/>
      <c r="E353" s="49">
        <v>0</v>
      </c>
      <c r="F353" s="54">
        <v>0</v>
      </c>
      <c r="G353" s="38"/>
    </row>
    <row r="354" spans="2:7">
      <c r="B354" s="44">
        <v>226</v>
      </c>
      <c r="C354" s="39" t="s">
        <v>93</v>
      </c>
      <c r="D354" s="39"/>
      <c r="E354" s="49">
        <v>0</v>
      </c>
      <c r="F354" s="54">
        <v>0</v>
      </c>
      <c r="G354" s="60"/>
    </row>
    <row r="355" spans="2:7" ht="15.75" thickBot="1">
      <c r="B355" s="61"/>
      <c r="C355" s="62" t="s">
        <v>94</v>
      </c>
      <c r="D355" s="62"/>
      <c r="E355" s="94">
        <v>0</v>
      </c>
      <c r="F355" s="63">
        <v>0</v>
      </c>
      <c r="G355" s="38"/>
    </row>
    <row r="356" spans="2:7">
      <c r="B356" s="64"/>
      <c r="C356" s="65" t="s">
        <v>95</v>
      </c>
      <c r="D356" s="66"/>
      <c r="E356" s="67">
        <v>6783.3425454545359</v>
      </c>
      <c r="F356" s="68">
        <v>6783.3425454545359</v>
      </c>
      <c r="G356" s="69"/>
    </row>
    <row r="357" spans="2:7" ht="15.75" thickBot="1">
      <c r="B357" s="64"/>
      <c r="C357" s="70"/>
      <c r="D357" s="71"/>
      <c r="E357" s="72"/>
      <c r="F357" s="73"/>
      <c r="G357" s="69"/>
    </row>
    <row r="358" spans="2:7" ht="15.75" thickBot="1">
      <c r="B358" s="64"/>
      <c r="C358" s="70" t="s">
        <v>96</v>
      </c>
      <c r="D358" s="71"/>
      <c r="E358" s="74">
        <v>11557.091775867782</v>
      </c>
      <c r="F358" s="75">
        <v>11557.091775867782</v>
      </c>
      <c r="G358" s="76"/>
    </row>
    <row r="359" spans="2:7" ht="8.25" customHeight="1" thickBot="1">
      <c r="B359" s="77"/>
      <c r="C359" s="81"/>
      <c r="D359" s="81"/>
      <c r="E359" s="78"/>
      <c r="F359" s="78"/>
      <c r="G359" s="79"/>
    </row>
    <row r="360" spans="2:7">
      <c r="B360" s="85"/>
      <c r="C360" s="84"/>
      <c r="D360" s="84"/>
      <c r="E360" s="85"/>
      <c r="F360" s="85"/>
      <c r="G360" s="85"/>
    </row>
  </sheetData>
  <mergeCells count="3">
    <mergeCell ref="C8:E8"/>
    <mergeCell ref="C128:E128"/>
    <mergeCell ref="C248:E248"/>
  </mergeCells>
  <dataValidations count="1">
    <dataValidation type="list" allowBlank="1" showInputMessage="1" showErrorMessage="1" sqref="C136 C16 C256" xr:uid="{C8CB6FF3-27BB-47FA-9B6A-9CE8EA1025BF}">
      <formula1>FacList</formula1>
    </dataValidation>
  </dataValidations>
  <hyperlinks>
    <hyperlink ref="F12" r:id="rId1" xr:uid="{EE76F4E9-1644-4879-9C3D-8F1B2DB7D72C}"/>
    <hyperlink ref="F132" r:id="rId2" xr:uid="{A5C43C02-E9A2-43C3-A138-450958CFCA05}"/>
    <hyperlink ref="F252" r:id="rId3" xr:uid="{5DF0C182-F0F2-4E8E-802B-BB0BE9DE5018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Administration</vt:lpstr>
      <vt:lpstr>BalimoDistHosp</vt:lpstr>
      <vt:lpstr>AwabaHSC</vt:lpstr>
      <vt:lpstr>AdibaHSC</vt:lpstr>
      <vt:lpstr>MapodoHSC</vt:lpstr>
      <vt:lpstr>WasuaHSC</vt:lpstr>
      <vt:lpstr>WawoiFallsHSC</vt:lpstr>
      <vt:lpstr>SukiHSC</vt:lpstr>
      <vt:lpstr>UpiaraHSC</vt:lpstr>
      <vt:lpstr>KewaAP</vt:lpstr>
      <vt:lpstr>KimamaAP</vt:lpstr>
      <vt:lpstr>KenewaAP</vt:lpstr>
      <vt:lpstr>SaiwaseAP</vt:lpstr>
      <vt:lpstr>DuwabaAP</vt:lpstr>
      <vt:lpstr>DewaraAP</vt:lpstr>
      <vt:lpstr>DimisisiAP</vt:lpstr>
      <vt:lpstr>KiriwoAP</vt:lpstr>
      <vt:lpstr>LewadaAP</vt:lpstr>
      <vt:lpstr>SomokopaAP</vt:lpstr>
      <vt:lpstr>PariameAP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Ignatius Jerrifia</dc:creator>
  <cp:lastModifiedBy>Hector Morris</cp:lastModifiedBy>
  <dcterms:created xsi:type="dcterms:W3CDTF">2021-07-26T03:41:58Z</dcterms:created>
  <dcterms:modified xsi:type="dcterms:W3CDTF">2025-08-01T12:18:31Z</dcterms:modified>
</cp:coreProperties>
</file>